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aa3eec5c1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muto" sheetId="1" r:id="R4407ff3df45c48b5"/>
    <x:sheet xmlns:r="http://schemas.openxmlformats.org/officeDocument/2006/relationships" name="Beallitasok" sheetId="2" r:id="Rbc5af50005d6420d"/>
    <x:sheet xmlns:r="http://schemas.openxmlformats.org/officeDocument/2006/relationships" name="Artukor_Master" sheetId="3" r:id="Ra2ca6f3c63eb444a"/>
    <x:sheet xmlns:r="http://schemas.openxmlformats.org/officeDocument/2006/relationships" name="Osszesito" sheetId="4" r:id="Ra637834a8a77491c"/>
    <x:sheet xmlns:r="http://schemas.openxmlformats.org/officeDocument/2006/relationships" name="Forrasok" sheetId="5" r:id="R430ea3a59ed64c66"/>
    <x:sheet xmlns:r="http://schemas.openxmlformats.org/officeDocument/2006/relationships" name="Anyag_Beallitasok" sheetId="6" r:id="Rc37fd2fd30f345ea"/>
    <x:sheet xmlns:r="http://schemas.openxmlformats.org/officeDocument/2006/relationships" name="Anyag_Utmutato" sheetId="7" r:id="Re29ae07c3e98489f"/>
    <x:sheet xmlns:r="http://schemas.openxmlformats.org/officeDocument/2006/relationships" name="Anyag_Master" sheetId="8" r:id="Rc0391f10f2f24e0f"/>
    <x:sheet xmlns:r="http://schemas.openxmlformats.org/officeDocument/2006/relationships" name="Anyag_Osszesito" sheetId="9" r:id="Rdda7e2a5b63d4618"/>
    <x:sheet xmlns:r="http://schemas.openxmlformats.org/officeDocument/2006/relationships" name="Anyag_Forrasok" sheetId="10" r:id="R446f5a5adf1f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"/>
    <x:numFmt numFmtId="201" formatCode="#,##0"/>
    <x:numFmt numFmtId="202" formatCode="0.00"/>
    <x:numFmt numFmtId="203" formatCode="0%"/>
    <x:numFmt numFmtId="204" formatCode="#,##0 &quot;Ft&quot;"/>
    <x:numFmt numFmtId="205" formatCode="#,##0.0"/>
    <x:numFmt numFmtId="206" formatCode="#,##0 &quot;Ft&quot;;[Red](#,##0 &quot;Ft&quot;);-"/>
    <x:numFmt numFmtId="207" formatCode="0.0%;[Red](0.0%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F6B9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2F6B9A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FFF8D6"/>
      </x:patternFill>
    </x:fill>
    <x:fill>
      <x:patternFill patternType="solid">
        <x:fgColor rgb="FF2F6B9A"/>
      </x:patternFill>
    </x:fill>
  </x:fills>
  <x:borders count="18">
    <x:border/>
    <x:border/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bottom style="thin">
        <x:color rgb="FFC7D0D9"/>
      </x:bottom>
    </x:border>
    <x:border>
      <x:top style="thin">
        <x:color rgb="FFC7D0D9"/>
      </x:top>
    </x:border>
    <x:border>
      <x:bottom style="thin">
        <x:color rgb="FFC7D0D9"/>
      </x:bottom>
    </x:border>
    <x:border>
      <x:top style="thin">
        <x:color rgb="FFC7D0D9"/>
      </x:top>
    </x:border>
    <x:border>
      <x:bottom style="thin">
        <x:color rgb="FFC7D0D9"/>
      </x:bottom>
    </x:border>
  </x:borders>
  <x:cellStyleXfs count="1">
    <x:xf numFmtId="0" fontId="0" fillId="0" borderId="0"/>
  </x:cellStyleXfs>
  <x:cellXfs count="2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14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4" fillId="0" borderId="6" xfId="0" applyNumberFormat="1" applyFont="1" applyFill="1" applyBorder="1"/>
    <x:xf numFmtId="203" fontId="0" fillId="0" borderId="15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3" fillId="2" borderId="8" xfId="0" applyNumberFormat="1" applyFont="1" applyFill="1" applyBorder="1" applyAlignment="1">
      <x:alignment horizontal="center"/>
    </x:xf>
    <x:xf numFmtId="0" fontId="3" fillId="2" borderId="16" xfId="0" applyNumberFormat="1" applyFont="1" applyFill="1" applyBorder="1" applyAlignment="1">
      <x:alignment horizontal="center"/>
    </x:xf>
    <x:xf numFmtId="0" fontId="3" fillId="2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/>
    <x:xf numFmtId="0" fontId="0" fillId="0" borderId="11" xfId="0" applyNumberFormat="1" applyFont="1" applyFill="1" applyBorder="1"/>
    <x:xf numFmtId="0" fontId="4" fillId="0" borderId="12" xfId="0" applyNumberFormat="1" applyFont="1" applyFill="1" applyBorder="1"/>
    <x:xf numFmtId="203" fontId="0" fillId="0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3" fillId="2" borderId="2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16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4" fillId="0" borderId="1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5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3" fillId="4" borderId="14" xfId="0" applyNumberFormat="1" applyFont="1" applyFill="1" applyBorder="1"/>
    <x:xf numFmtId="0" fontId="3" fillId="4" borderId="16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203" fontId="0" fillId="0" xfId="0" applyNumberFormat="1" applyFont="1" applyFill="1" applyBorder="0"/>
    <x:xf numFmtId="0" fontId="0" fillId="0" xfId="0" applyNumberFormat="1" applyFont="1" applyFill="1" applyBorder="0"/>
    <x:xf numFmtId="204" fontId="0" fillId="0" xfId="0" applyNumberFormat="1" applyFont="1" applyFill="1" applyBorder="0"/>
    <x:xf numFmtId="201" fontId="0" fillId="0" xfId="0" applyNumberFormat="1" applyFont="1" applyFill="1" applyBorder="0"/>
    <x:xf numFmtId="202" fontId="0" fillId="0" xfId="0" applyNumberFormat="1" applyFont="1" applyFill="1" applyBorder="0"/>
    <x:xf numFmtId="0" fontId="2" fillId="0" borderId="6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wrapText="1"/>
    </x:xf>
    <x:xf numFmtId="203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204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 applyAlignment="1">
      <x:alignment wrapText="1"/>
    </x:xf>
    <x:xf numFmtId="202" fontId="0" fillId="0" xfId="0" applyNumberFormat="1" applyFont="1" applyFill="1" applyBorder="0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7" fontId="0" fillId="7" borderId="0" xfId="0" applyNumberFormat="1" applyFont="1" applyFill="1" applyBorder="1"/>
    <x:xf numFmtId="207" fontId="6" fillId="7" borderId="0" xfId="0" applyNumberFormat="1" applyFont="1" applyFill="1" applyBorder="1"/>
    <x:xf numFmtId="206" fontId="0" fillId="7" borderId="0" xfId="0" applyNumberFormat="1" applyFont="1" applyFill="1" applyBorder="1"/>
    <x:xf numFmtId="206" fontId="6" fillId="7" borderId="0" xfId="0" applyNumberFormat="1" applyFont="1" applyFill="1" applyBorder="1"/>
    <x:xf numFmtId="200" fontId="0" fillId="7" borderId="0" xfId="0" applyNumberFormat="1" applyFont="1" applyFill="1" applyBorder="1"/>
    <x:xf numFmtId="200" fontId="6" fillId="7" borderId="0" xfId="0" applyNumberFormat="1" applyFont="1" applyFill="1" applyBorder="1"/>
    <x:xf numFmtId="206" fontId="0" fillId="0" borderId="0" xfId="0" applyNumberFormat="1" applyFont="1" applyFill="1" applyBorder="1" applyAlignment="1">
      <x:alignment vertical="top"/>
    </x:xf>
    <x:xf numFmtId="207" fontId="0" fillId="0" borderId="0" xfId="0" applyNumberFormat="1" applyFont="1" applyFill="1" applyBorder="1" applyAlignment="1">
      <x:alignment vertical="top"/>
    </x:xf>
    <x:xf numFmtId="207" fontId="6" fillId="7" borderId="0" xfId="0" applyNumberFormat="1" applyFont="1" applyFill="1" applyBorder="1" applyAlignment="1">
      <x:alignment vertical="top"/>
    </x:xf>
    <x:xf numFmtId="206" fontId="6" fillId="7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6" fillId="7" borderId="0" xfId="0" applyNumberFormat="1" applyFont="1" applyFill="1" applyBorder="1" applyAlignment="1">
      <x:alignment vertical="top"/>
    </x:xf>
    <x:xf numFmtId="206" fontId="0" fillId="0" borderId="0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 applyAlignment="1">
      <x:alignment vertical="top" wrapText="1"/>
    </x:xf>
    <x:xf numFmtId="207" fontId="6" fillId="7" borderId="0" xfId="0" applyNumberFormat="1" applyFont="1" applyFill="1" applyBorder="1" applyAlignment="1">
      <x:alignment vertical="top" wrapText="1"/>
    </x:xf>
    <x:xf numFmtId="206" fontId="6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14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206" fontId="0" fillId="0" xfId="0" applyNumberFormat="1" applyFont="1" applyFill="1" applyBorder="0"/>
    <x:xf numFmtId="206" fontId="0" fillId="0" borderId="15" xfId="0" applyNumberFormat="1" applyFont="1" applyFill="1" applyBorder="1"/>
    <x:xf numFmtId="207" fontId="0" fillId="0" xfId="0" applyNumberFormat="1" applyFont="1" applyFill="1" applyBorder="0"/>
    <x:xf numFmtId="207" fontId="0" fillId="0" borderId="15" xfId="0" applyNumberFormat="1" applyFont="1" applyFill="1" applyBorder="1"/>
    <x:xf numFmtId="207" fontId="0" fillId="0" borderId="5" xfId="0" applyNumberFormat="1" applyFont="1" applyFill="1" applyBorder="1"/>
    <x:xf numFmtId="207" fontId="0" fillId="0" borderId="7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14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14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5"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C77800"/>
      </x:font>
      <x:fill>
        <x:patternFill>
          <x:bgColor rgb="FFFFF3D6"/>
        </x:patternFill>
      </x:fill>
    </x:dxf>
    <x:dxf>
      <x:font>
        <x:b/>
        <x:color rgb="FFC77800"/>
      </x:font>
      <x:fill>
        <x:patternFill>
          <x:bgColor rgb="FFFFF3D6"/>
        </x:patternFill>
      </x:fill>
    </x:dxf>
    <x:dxf>
      <x:font>
        <x:color rgb="FF2E7D32"/>
      </x:font>
      <x:fill>
        <x:patternFill>
          <x:bgColor rgb="FFE8F5E9"/>
        </x:patternFill>
      </x:fill>
    </x:dxf>
    <x:dxf>
      <x:font>
        <x:b/>
        <x:color rgb="FFB3261E"/>
      </x:font>
      <x:fill>
        <x:patternFill patternType="solid">
          <x:bgColor rgb="FFFDE7E5"/>
        </x:patternFill>
      </x:fill>
    </x:dxf>
    <x:dxf>
      <x:font>
        <x:b/>
        <x:color rgb="FFC77800"/>
      </x:font>
      <x:fill>
        <x:patternFill patternType="solid">
          <x:bgColor rgb="FFFFF3D6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6741A5"/>
      </x:font>
      <x:fill>
        <x:patternFill patternType="solid">
          <x:bgColor rgb="FFEFE8FA"/>
        </x:patternFill>
      </x:fill>
    </x:dxf>
    <x:dxf>
      <x:font>
        <x:b/>
        <x:color rgb="FFB3261E"/>
      </x:font>
      <x:fill>
        <x:patternFill patternType="solid">
          <x:bgColor rgb="FFFDE7E5"/>
        </x:patternFill>
      </x:fill>
    </x:dxf>
    <x:dxf>
      <x:font>
        <x:b/>
        <x:color rgb="FFC77800"/>
      </x:font>
      <x:fill>
        <x:patternFill patternType="solid">
          <x:bgColor rgb="FFFFF3D6"/>
        </x:patternFill>
      </x:fill>
    </x:dxf>
    <x:dxf>
      <x:font>
        <x:b/>
        <x:color rgb="FFB3261E"/>
      </x:font>
      <x:fill>
        <x:patternFill patternType="solid">
          <x:bgColor rgb="FFFDE7E5"/>
        </x:patternFill>
      </x:fill>
    </x:dxf>
    <x:dxf>
      <x:font>
        <x:b/>
        <x:color rgb="FFB3261E"/>
      </x:font>
      <x:fill>
        <x:patternFill patternType="solid">
          <x:bgColor rgb="FFFDE7E5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f721224514cb6" /><Relationship Type="http://schemas.openxmlformats.org/officeDocument/2006/relationships/theme" Target="/xl/theme/theme1.xml" Id="Ra1395baf82a74d5f" /><Relationship Type="http://schemas.openxmlformats.org/officeDocument/2006/relationships/sharedStrings" Target="/xl/sharedStrings.xml" Id="R58526a3548364542" /><Relationship Type="http://schemas.openxmlformats.org/officeDocument/2006/relationships/worksheet" Target="/xl/worksheets/sheet1.xml" Id="R4407ff3df45c48b5" /><Relationship Type="http://schemas.openxmlformats.org/officeDocument/2006/relationships/worksheet" Target="/xl/worksheets/sheet2.xml" Id="Rbc5af50005d6420d" /><Relationship Type="http://schemas.openxmlformats.org/officeDocument/2006/relationships/worksheet" Target="/xl/worksheets/sheet3.xml" Id="Ra2ca6f3c63eb444a" /><Relationship Type="http://schemas.openxmlformats.org/officeDocument/2006/relationships/worksheet" Target="/xl/worksheets/sheet4.xml" Id="Ra637834a8a77491c" /><Relationship Type="http://schemas.openxmlformats.org/officeDocument/2006/relationships/worksheet" Target="/xl/worksheets/sheet5.xml" Id="R430ea3a59ed64c66" /><Relationship Type="http://schemas.openxmlformats.org/officeDocument/2006/relationships/worksheet" Target="/xl/worksheets/sheet6.xml" Id="Rc37fd2fd30f345ea" /><Relationship Type="http://schemas.openxmlformats.org/officeDocument/2006/relationships/worksheet" Target="/xl/worksheets/sheet7.xml" Id="Re29ae07c3e98489f" /><Relationship Type="http://schemas.openxmlformats.org/officeDocument/2006/relationships/worksheet" Target="/xl/worksheets/sheet8.xml" Id="Rc0391f10f2f24e0f" /><Relationship Type="http://schemas.openxmlformats.org/officeDocument/2006/relationships/worksheet" Target="/xl/worksheets/sheet9.xml" Id="Rdda7e2a5b63d4618" /><Relationship Type="http://schemas.openxmlformats.org/officeDocument/2006/relationships/worksheet" Target="/xl/worksheets/sheet10.xml" Id="R446f5a5adf1f43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f58555980c4e7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4ac460494a04a64" /><Relationship Type="http://schemas.openxmlformats.org/officeDocument/2006/relationships/chart" Target="/xl/drawings/charts/chart3.xml" Id="R6bccf9e897a342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Tételek száma szakáganként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Tételszám</c:v>
          </c:tx>
          <c:cat>
            <c:strRef>
              <c:f>'Osszesito'!$A$12:$A$29</c:f>
              <c:strCache>
                <c:ptCount val="0"/>
              </c:strCache>
            </c:strRef>
          </c:cat>
          <c:val>
            <c:numRef>
              <c:f>'Osszesito'!$B$12:$B$29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Anyagtételek piaci cash-árrés szerinti megoszlása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Darab</c:v>
          </c:tx>
          <c:cat>
            <c:strRef>
              <c:f>'Anyag_Osszesito'!$D$4:$D$7</c:f>
              <c:strCache>
                <c:ptCount val="0"/>
              </c:strCache>
            </c:strRef>
          </c:cat>
          <c:val>
            <c:numRef>
              <c:f>'Anyag_Osszesito'!$E$4:$E$7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Mintaházak becsült anyag cash-bekerülése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Beszerzési cash-költség</c:v>
          </c:tx>
          <c:cat>
            <c:strRef>
              <c:f>'Anyag_Osszesito'!$A$12:$A$14</c:f>
              <c:strCache>
                <c:ptCount val="0"/>
              </c:strCache>
            </c:strRef>
          </c:cat>
          <c:val>
            <c:numRef>
              <c:f>'Anyag_Osszesito'!$B$12:$B$14</c:f>
              <c:numCache>
                <c:formatCode>#,##0 "Ft";[Red](#,##0 "Ft");-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f58555980c4e7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ac460494a04a64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ccf9e897a342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tukorMasterTable" displayName="ArtukorMasterTable" ref="A1:AD399" headerRowCount="1">
  <x:tableColumns count="30">
    <x:tableColumn id="1" name="ID"/>
    <x:tableColumn id="2" name="Szakág"/>
    <x:tableColumn id="3" name="Alcsoport"/>
    <x:tableColumn id="4" name="Technológia"/>
    <x:tableColumn id="5" name="Munkanem / tétel"/>
    <x:tableColumn id="6" name="Egység"/>
    <x:tableColumn id="7" name="Piaci alsó referencia"/>
    <x:tableColumn id="8" name="Ajánlott generál eladási ár"/>
    <x:tableColumn id="9" name="Alvállalkozói szorzó"/>
    <x:tableColumn id="10" name="Szerződéses alvállalkozói plafon"/>
    <x:tableColumn id="11" name="Szakember db"/>
    <x:tableColumn id="12" name="Segéd db"/>
    <x:tableColumn id="13" name="Napi brigádköltség"/>
    <x:tableColumn id="14" name="Napi teljesítmény"/>
    <x:tableColumn id="15" name="Közvetlen béres egységköltség"/>
    <x:tableColumn id="16" name="Terhelési szorzó"/>
    <x:tableColumn id="17" name="Terhelt béres egységdíj"/>
    <x:tableColumn id="18" name="Gép-/eszközköltség input"/>
    <x:tableColumn id="19" name="Saját állomány teljes egységköltség"/>
    <x:tableColumn id="20" name="Heti brigádköltség"/>
    <x:tableColumn id="21" name="Heti célmennyiség"/>
    <x:tableColumn id="22" name="Alvállalkozó saját ajánlata"/>
    <x:tableColumn id="23" name="Eltérés a plafontól"/>
    <x:tableColumn id="24" name="Elfogadás"/>
    <x:tableColumn id="25" name="Saját állomány megtakarítása"/>
    <x:tableColumn id="26" name="Anomália / figyelmeztetés"/>
    <x:tableColumn id="27" name="Gépigény"/>
    <x:tableColumn id="28" name="Piaci / technológiai forrás"/>
    <x:tableColumn id="29" name="Adatminőség"/>
    <x:tableColumn id="30" name="Megjegyzés"/>
  </x:tableColumns>
  <x:tableStyleInfo name="TableStyleMedium2" showRowStripes="1"/>
</x:table>
</file>

<file path=xl/tables/table2.xml><?xml version="1.0" encoding="utf-8"?>
<x:table xmlns:x="http://schemas.openxmlformats.org/spreadsheetml/2006/main" id="2" name="ForrasokTable" displayName="ForrasokTable" ref="A1:E31" headerRowCount="1">
  <x:tableColumns count="5">
    <x:tableColumn id="1" name="Forráskód"/>
    <x:tableColumn id="2" name="Terület"/>
    <x:tableColumn id="3" name="URL"/>
    <x:tableColumn id="4" name="Ellenőrzés"/>
    <x:tableColumn id="5" name="Megjegyzés"/>
  </x:tableColumns>
  <x:tableStyleInfo name="TableStyleMedium2" showRowStripes="1"/>
</x:table>
</file>

<file path=xl/tables/table3.xml><?xml version="1.0" encoding="utf-8"?>
<x:table xmlns:x="http://schemas.openxmlformats.org/spreadsheetml/2006/main" id="3" name="AnyagMasterTable" displayName="AnyagMasterTable" ref="A1:AQ284" headerRowCount="1">
  <x:tableColumns count="43">
    <x:tableColumn id="1" name="ID"/>
    <x:tableColumn id="2" name="Szakág"/>
    <x:tableColumn id="3" name="Alcsoport"/>
    <x:tableColumn id="4" name="Technológia"/>
    <x:tableColumn id="5" name="Anyag / költségelem"/>
    <x:tableColumn id="6" name="Specifikáció"/>
    <x:tableColumn id="7" name="Egység"/>
    <x:tableColumn id="8" name="Piaci bruttó referencia"/>
    <x:tableColumn id="9" name="Forrás szerinti áfa"/>
    <x:tableColumn id="10" name="Piaci nettó referencia"/>
    <x:tableColumn id="11" name="Beszerzési kedvezmény"/>
    <x:tableColumn id="12" name="Beszerzési nettó"/>
    <x:tableColumn id="13" name="Áfakezelés"/>
    <x:tableColumn id="14" name="Számlán felszámított áfa"/>
    <x:tableColumn id="15" name="Önadózott áfa"/>
    <x:tableColumn id="16" name="Számlán nincs felszámított áfa?"/>
    <x:tableColumn id="17" name="Beszerzési számla cash-bruttó"/>
    <x:tableColumn id="18" name="Veszteség / tartalék"/>
    <x:tableColumn id="19" name="Veszteséggel korrigált beszerzés"/>
    <x:tableColumn id="20" name="Szállítás / egység cash-bruttó"/>
    <x:tableColumn id="21" name="Raklap / csomagolás / kiegészítő"/>
    <x:tableColumn id="22" name="Teljes cash-bekerülés / egység"/>
    <x:tableColumn id="23" name="Piaci eladási nettó 5% áfával"/>
    <x:tableColumn id="24" name="Min. eladási nettó 35%-hoz"/>
    <x:tableColumn id="25" name="Ideális eladási nettó 50%-hoz"/>
    <x:tableColumn id="26" name="Ajánlott generál eladási nettó"/>
    <x:tableColumn id="27" name="Eladási áfa"/>
    <x:tableColumn id="28" name="Ajánlott eladási bruttó"/>
    <x:tableColumn id="29" name="Piaci árszint bruttó cash-árrése"/>
    <x:tableColumn id="30" name="Ajánlott ár bruttó cash-árrése"/>
    <x:tableColumn id="31" name="Árrés-státusz piaci árszinten"/>
    <x:tableColumn id="32" name="Ajánlott ár eltérése a publikus bruttótól"/>
    <x:tableColumn id="33" name="Anomália / figyelmeztetés"/>
    <x:tableColumn id="34" name="Tégla 120 m² mennyiség"/>
    <x:tableColumn id="35" name="Faváz 120 m² mennyiség"/>
    <x:tableColumn id="36" name="Liapor/Leier 120 m² mennyiség"/>
    <x:tableColumn id="37" name="Saját projekt mennyiség"/>
    <x:tableColumn id="38" name="Projekt beszerzési cash-költség"/>
    <x:tableColumn id="39" name="Projekt eladási bruttó"/>
    <x:tableColumn id="40" name="Projekt bruttó cash-árrés"/>
    <x:tableColumn id="41" name="Forrás"/>
    <x:tableColumn id="42" name="Adatminőség"/>
    <x:tableColumn id="43" name="Megjegyzés"/>
  </x:tableColumns>
  <x:tableStyleInfo name="TableStyleMedium2" showRowStripes="1"/>
</x:table>
</file>

<file path=xl/tables/table4.xml><?xml version="1.0" encoding="utf-8"?>
<x:table xmlns:x="http://schemas.openxmlformats.org/spreadsheetml/2006/main" id="4" name="AnyagForrasokTable" displayName="AnyagForrasokTable" ref="A1:E36" headerRowCount="1">
  <x:tableColumns count="5">
    <x:tableColumn id="1" name="Forráskód"/>
    <x:tableColumn id="2" name="Terület"/>
    <x:tableColumn id="3" name="URL"/>
    <x:tableColumn id="4" name="Ellenőrzés"/>
    <x:tableColumn id="5" name="Felhasználás / korlá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02348806d5846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53d75e056514b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c41653aa81c4c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99142f99c47045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350ae2ea9a594f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0b087fd576c0466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30" customHeight="1">
      <x:c r="A1" s="5" t="str">
        <x:v>GENERÁLKIVITELEZŐI ALVÁLLALKOZÓI ÁRTÜKÖR – 2026. JÚLIUS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Cél</x:v>
      </x:c>
      <x:c r="B3" s="23" t="str">
        <x:v>Műszaki előkészítés, alvállalkozói tárgyalás és saját állomány teljesítménykövetelményének alapja.</x:v>
      </x:c>
    </x:row>
    <x:row r="4">
      <x:c r="A4" s="24" t="str">
        <x:v>Árak</x:v>
      </x:c>
      <x:c r="B4" s="25" t="str">
        <x:v>Nettó munkadíjak. Anyag, áfa, fuvar, daru, pumpa, állványbérlet, gépbérlet, lerakási díj és hatósági díj csak akkor része, ha a tétel megjegyzése ezt kifejezetten jelzi.</x:v>
      </x:c>
    </x:row>
    <x:row r="5">
      <x:c r="A5" s="24" t="str">
        <x:v>Generálár</x:v>
      </x:c>
      <x:c r="B5" s="25" t="str">
        <x:v>2026. júliusi magyar alsó–közép piaci munkadíj, illetve mérnöki levezetés. Nem automatikusan a legolcsóbb internetes hirdetés.</x:v>
      </x:c>
    </x:row>
    <x:row r="6">
      <x:c r="A6" s="24" t="str">
        <x:v>Szerződéses alvállalkozó</x:v>
      </x:c>
      <x:c r="B6" s="25" t="str">
        <x:v>Az ajánlott generálár százaléka. Szerkezeti tételeknél jellemzően 50%, befejezőknél 55%, szakipari rendszereknél 60–65%. A plafon képlettel számolódik.</x:v>
      </x:c>
    </x:row>
    <x:row r="7">
      <x:c r="A7" s="24" t="str">
        <x:v>Saját / béres állomány</x:v>
      </x:c>
      <x:c r="B7" s="25" t="str">
        <x:v>A 35 000 Ft/szakember/nap és 25 000 Ft/segéd/nap brigádköltségből, napi teljesítményből és terhelési szorzóból számított egységdíj.</x:v>
      </x:c>
    </x:row>
    <x:row r="8">
      <x:c r="A8" s="24" t="str">
        <x:v>Terhelési szorzó</x:v>
      </x:c>
      <x:c r="B8" s="25" t="str">
        <x:v>Alapérték 1,15: holtidő, kisebb kéziszerszámok, szervezési veszteség. Munkáltatói közterhek NINCSENEK automatikusan benne, ha a napidíj nettó kézhez kapott bér.</x:v>
      </x:c>
    </x:row>
    <x:row r="9">
      <x:c r="A9" s="24" t="str">
        <x:v>Anomália</x:v>
      </x:c>
      <x:c r="B9" s="25" t="str">
        <x:v>KRITIKUS jelzés: az alvállalkozói plafon kisebb, mint a terhelt saját egységköltség. GÉPIGÉNY jelzés: a béres ár gép-, daru-, pumpa- vagy nagy eszközköltség nélkül értendő.</x:v>
      </x:c>
    </x:row>
    <x:row r="10">
      <x:c r="A10" s="24" t="str">
        <x:v>Technológiák</x:v>
      </x:c>
      <x:c r="B10" s="25" t="str">
        <x:v>Tégla, pórusbeton, faváz, könnyűacél, Liapor/Leier előregyártott vasbeton, valamint valamennyi közös szakág.</x:v>
      </x:c>
    </x:row>
    <x:row r="11">
      <x:c r="A11" s="24" t="str">
        <x:v>Érvényesség</x:v>
      </x:c>
      <x:c r="B11" s="25" t="str">
        <x:v>Belső tárgyalási alap. Minden projektnél ellenőrizendő: helyszín, mennyiség, szintszám, megközelíthetőség, ütemezés, minőségi osztály és garanciális feltételek.</x:v>
      </x:c>
    </x:row>
    <x:row r="12">
      <x:c r="A12" s="24" t="str">
        <x:v>Piaci helyzet</x:v>
      </x:c>
      <x:c r="B12" s="25" t="str">
        <x:v>A KSH szerint 2026 I. negyedévében az épületek építésének árai éves alapon 4,0%-kal, a speciális szaképítésé 5,4%-kal nőttek; az előző negyedévhez képest az építőipari árak átlagosan 1,8%-kal emelkedtek.</x:v>
      </x:c>
    </x:row>
    <x:row r="13">
      <x:c r="A13" s="24" t="str">
        <x:v>KSH forrás</x:v>
      </x:c>
      <x:c r="B13" s="25" t="str">
        <x:v>https://www.ksh.hu/gyorstajekoztatok/epi/epi2603.html</x:v>
      </x:c>
    </x:row>
    <x:row r="14">
      <x:c r="A14" s="24" t="str">
        <x:v>Frissítés dátuma</x:v>
      </x:c>
      <x:c r="B14" s="25" t="str">
        <x:v>2026-07-14</x:v>
      </x:c>
    </x:row>
    <x:row r="15">
      <x:c r="A15" s="26" t="str">
        <x:v>Tételszám</x:v>
      </x:c>
      <x:c r="B15" s="27" t="n">
        <x:v>398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5.630000114440918" hidden="0" customWidth="1"/>
    <x:col min="3" max="3" width="7.75" hidden="0" customWidth="1"/>
    <x:col min="4" max="4" width="62" hidden="0" customWidth="1"/>
  </x:cols>
  <x:sheetData>
    <x:row r="1">
      <x:c r="A1" s="67" t="str">
        <x:v>Beállítás</x:v>
      </x:c>
      <x:c r="B1" s="68" t="str">
        <x:v>Érték</x:v>
      </x:c>
      <x:c r="C1" s="68" t="str">
        <x:v>Egység</x:v>
      </x:c>
      <x:c r="D1" s="69" t="str">
        <x:v>Megjegyzés</x:v>
      </x:c>
    </x:row>
    <x:row r="2">
      <x:c r="A2" s="70" t="str">
        <x:v>Szakember napidíj</x:v>
      </x:c>
      <x:c r="B2" s="71" t="n">
        <x:v>35000</x:v>
      </x:c>
      <x:c r="C2" s="18" t="str">
        <x:v>Ft/fő/nap</x:v>
      </x:c>
      <x:c r="D2" s="72" t="str">
        <x:v>Felhasználói minimum</x:v>
      </x:c>
    </x:row>
    <x:row r="3">
      <x:c r="A3" s="70" t="str">
        <x:v>Segédmunkás napidíj</x:v>
      </x:c>
      <x:c r="B3" s="71" t="n">
        <x:v>25000</x:v>
      </x:c>
      <x:c r="C3" s="18" t="str">
        <x:v>Ft/fő/nap</x:v>
      </x:c>
      <x:c r="D3" s="72" t="str">
        <x:v>Felhasználói minimum</x:v>
      </x:c>
    </x:row>
    <x:row r="4">
      <x:c r="A4" s="70" t="str">
        <x:v>Munkanap / hét</x:v>
      </x:c>
      <x:c r="B4" s="71" t="n">
        <x:v>5</x:v>
      </x:c>
      <x:c r="C4" s="18" t="str">
        <x:v>nap</x:v>
      </x:c>
      <x:c r="D4" s="72" t="str">
        <x:v>Heti számítás</x:v>
      </x:c>
    </x:row>
    <x:row r="5">
      <x:c r="A5" s="70" t="str">
        <x:v>Terhelési / holtidő szorzó</x:v>
      </x:c>
      <x:c r="B5" s="73" t="n">
        <x:v>1.15</x:v>
      </x:c>
      <x:c r="C5" s="18" t="str">
        <x:v>szorzó</x:v>
      </x:c>
      <x:c r="D5" s="72" t="str">
        <x:v>Kéziszerszám, szervezés, kisebb veszteség; közteher nélkül</x:v>
      </x:c>
    </x:row>
    <x:row r="6">
      <x:c r="A6" s="70" t="str">
        <x:v>Kritikus tartalék küszöb</x:v>
      </x:c>
      <x:c r="B6" s="74" t="n">
        <x:v>1.1</x:v>
      </x:c>
      <x:c r="C6" s="18" t="str">
        <x:v>szorzó</x:v>
      </x:c>
      <x:c r="D6" s="72" t="str">
        <x:v>Ha az alvállalkozói plafon a saját költség 110%-a alatt van</x:v>
      </x:c>
    </x:row>
    <x:row r="7">
      <x:c r="A7" s="70" t="str">
        <x:v>Árkerekítés</x:v>
      </x:c>
      <x:c r="B7" s="74" t="n">
        <x:v>50</x:v>
      </x:c>
      <x:c r="C7" s="18" t="str">
        <x:v>Ft</x:v>
      </x:c>
      <x:c r="D7" s="72" t="str">
        <x:v>Képletek 50 Ft-ra kerekítenek</x:v>
      </x:c>
    </x:row>
    <x:row r="8">
      <x:c r="A8" s="70" t="str">
        <x:v>Szerkezeti alap szorzó</x:v>
      </x:c>
      <x:c r="B8" s="75" t="n">
        <x:v>0.5</x:v>
      </x:c>
      <x:c r="C8" s="18" t="str">
        <x:v>%</x:v>
      </x:c>
      <x:c r="D8" s="72" t="str">
        <x:v>Alapozás, vasbeton, fal, váz, panel</x:v>
      </x:c>
    </x:row>
    <x:row r="9">
      <x:c r="A9" s="70" t="str">
        <x:v>Befejező alap szorzó</x:v>
      </x:c>
      <x:c r="B9" s="75" t="n">
        <x:v>0.55</x:v>
      </x:c>
      <x:c r="C9" s="18" t="str">
        <x:v>%</x:v>
      </x:c>
      <x:c r="D9" s="72" t="str">
        <x:v>Vakolat, festés, burkolás, szigetelés</x:v>
      </x:c>
    </x:row>
    <x:row r="10">
      <x:c r="A10" s="70" t="str">
        <x:v>Szakipari alap szorzó</x:v>
      </x:c>
      <x:c r="B10" s="75" t="n">
        <x:v>0.6</x:v>
      </x:c>
      <x:c r="C10" s="18" t="str">
        <x:v>%</x:v>
      </x:c>
      <x:c r="D10" s="72" t="str">
        <x:v>Víz, villany, tető, nyílászáró</x:v>
      </x:c>
    </x:row>
    <x:row r="11">
      <x:c r="A11" s="76" t="str">
        <x:v>Speciális rendszer szorzó</x:v>
      </x:c>
      <x:c r="B11" s="77" t="n">
        <x:v>0.65</x:v>
      </x:c>
      <x:c r="C11" s="78" t="str">
        <x:v>%</x:v>
      </x:c>
      <x:c r="D11" s="79" t="str">
        <x:v>Hőszivattyú, beüzemelés, mérés, speciális szerelés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30" hidden="0" customWidth="1"/>
    <x:col min="4" max="4" width="20" hidden="0" customWidth="1"/>
    <x:col min="5" max="5" width="54" hidden="0" customWidth="1"/>
    <x:col min="6" max="6" width="16" hidden="0" customWidth="1"/>
    <x:col min="7" max="7" width="18" hidden="0" customWidth="1"/>
    <x:col min="8" max="8" width="20" hidden="0" customWidth="1"/>
    <x:col min="9" max="9" width="14" hidden="0" customWidth="1"/>
    <x:col min="10" max="10" width="20" hidden="0" customWidth="1"/>
    <x:col min="11" max="11" width="11" hidden="0" customWidth="1"/>
    <x:col min="12" max="12" width="10" hidden="0" customWidth="1"/>
    <x:col min="13" max="13" width="18" hidden="0" customWidth="1"/>
    <x:col min="14" max="14" width="15" hidden="0" customWidth="1"/>
    <x:col min="15" max="15" width="20" hidden="0" customWidth="1"/>
    <x:col min="16" max="16" width="13" hidden="0" customWidth="1"/>
    <x:col min="17" max="17" width="19" hidden="0" customWidth="1"/>
    <x:col min="18" max="18" width="20" hidden="0" customWidth="1"/>
    <x:col min="19" max="19" width="21" hidden="0" customWidth="1"/>
    <x:col min="20" max="20" width="18" hidden="0" customWidth="1"/>
    <x:col min="21" max="21" width="15" hidden="0" customWidth="1"/>
    <x:col min="22" max="22" width="20" hidden="0" customWidth="1"/>
    <x:col min="23" max="23" width="18" hidden="0" customWidth="1"/>
    <x:col min="24" max="24" width="17" hidden="0" customWidth="1"/>
    <x:col min="25" max="25" width="20" hidden="0" customWidth="1"/>
    <x:col min="26" max="26" width="40" hidden="0" customWidth="1"/>
    <x:col min="27" max="27" width="12" hidden="0" customWidth="1"/>
    <x:col min="28" max="28" width="48" hidden="0" customWidth="1"/>
    <x:col min="29" max="29" width="34" hidden="0" customWidth="1"/>
    <x:col min="30" max="30" width="58" hidden="0" customWidth="1"/>
  </x:cols>
  <x:sheetData>
    <x:row r="1" ht="42" customHeight="1">
      <x:c r="A1" s="95" t="str">
        <x:v>ID</x:v>
      </x:c>
      <x:c r="B1" s="95" t="str">
        <x:v>Szakág</x:v>
      </x:c>
      <x:c r="C1" s="95" t="str">
        <x:v>Alcsoport</x:v>
      </x:c>
      <x:c r="D1" s="95" t="str">
        <x:v>Technológia</x:v>
      </x:c>
      <x:c r="E1" s="95" t="str">
        <x:v>Munkanem / tétel</x:v>
      </x:c>
      <x:c r="F1" s="95" t="str">
        <x:v>Egység</x:v>
      </x:c>
      <x:c r="G1" s="95" t="str">
        <x:v>Piaci alsó referencia</x:v>
      </x:c>
      <x:c r="H1" s="95" t="str">
        <x:v>Ajánlott generál eladási ár</x:v>
      </x:c>
      <x:c r="I1" s="95" t="str">
        <x:v>Alvállalkozói szorzó</x:v>
      </x:c>
      <x:c r="J1" s="95" t="str">
        <x:v>Szerződéses alvállalkozói plafon</x:v>
      </x:c>
      <x:c r="K1" s="95" t="str">
        <x:v>Szakember db</x:v>
      </x:c>
      <x:c r="L1" s="95" t="str">
        <x:v>Segéd db</x:v>
      </x:c>
      <x:c r="M1" s="95" t="str">
        <x:v>Napi brigádköltség</x:v>
      </x:c>
      <x:c r="N1" s="95" t="str">
        <x:v>Napi teljesítmény</x:v>
      </x:c>
      <x:c r="O1" s="95" t="str">
        <x:v>Közvetlen béres egységköltség</x:v>
      </x:c>
      <x:c r="P1" s="95" t="str">
        <x:v>Terhelési szorzó</x:v>
      </x:c>
      <x:c r="Q1" s="95" t="str">
        <x:v>Terhelt béres egységdíj</x:v>
      </x:c>
      <x:c r="R1" s="95" t="str">
        <x:v>Gép-/eszközköltség input</x:v>
      </x:c>
      <x:c r="S1" s="95" t="str">
        <x:v>Saját állomány teljes egységköltség</x:v>
      </x:c>
      <x:c r="T1" s="95" t="str">
        <x:v>Heti brigádköltség</x:v>
      </x:c>
      <x:c r="U1" s="95" t="str">
        <x:v>Heti célmennyiség</x:v>
      </x:c>
      <x:c r="V1" s="95" t="str">
        <x:v>Alvállalkozó saját ajánlata</x:v>
      </x:c>
      <x:c r="W1" s="95" t="str">
        <x:v>Eltérés a plafontól</x:v>
      </x:c>
      <x:c r="X1" s="95" t="str">
        <x:v>Elfogadás</x:v>
      </x:c>
      <x:c r="Y1" s="95" t="str">
        <x:v>Saját állomány megtakarítása</x:v>
      </x:c>
      <x:c r="Z1" s="95" t="str">
        <x:v>Anomália / figyelmeztetés</x:v>
      </x:c>
      <x:c r="AA1" s="95" t="str">
        <x:v>Gépigény</x:v>
      </x:c>
      <x:c r="AB1" s="95" t="str">
        <x:v>Piaci / technológiai forrás</x:v>
      </x:c>
      <x:c r="AC1" s="95" t="str">
        <x:v>Adatminőség</x:v>
      </x:c>
      <x:c r="AD1" s="95" t="str">
        <x:v>Megjegyzés</x:v>
      </x:c>
    </x:row>
    <x:row r="2">
      <x:c r="A2" s="19" t="str">
        <x:v>AR-0001</x:v>
      </x:c>
      <x:c r="B2" s="19" t="str">
        <x:v>01 Előkészítés</x:v>
      </x:c>
      <x:c r="C2" s="19" t="str">
        <x:v>Felvonulás és logisztika</x:v>
      </x:c>
      <x:c r="D2" s="19" t="str">
        <x:v>Mindegyik</x:v>
      </x:c>
      <x:c r="E2" s="19" t="str">
        <x:v>Építési terület átadás-átvétele és munkaterület berendezési kitűzése</x:v>
      </x:c>
      <x:c r="F2" s="19" t="str">
        <x:v>alkalom</x:v>
      </x:c>
      <x:c r="G2" s="113" t="n">
        <x:v>90000</x:v>
      </x:c>
      <x:c r="H2" s="113" t="n">
        <x:v>120000</x:v>
      </x:c>
      <x:c r="I2" s="114" t="n">
        <x:v>0.6</x:v>
      </x:c>
      <x:c r="J2" s="113" t="n">
        <x:f>ROUND(H2*I2/Beallitasok!$B$7,0)*Beallitasok!$B$7</x:f>
        <x:v>72000</x:v>
      </x:c>
      <x:c r="K2" s="19" t="n">
        <x:v>1</x:v>
      </x:c>
      <x:c r="L2" s="19" t="n">
        <x:v>1</x:v>
      </x:c>
      <x:c r="M2" s="113" t="n">
        <x:f>K2*Beallitasok!$B$2+L2*Beallitasok!$B$3</x:f>
        <x:v>60000</x:v>
      </x:c>
      <x:c r="N2" s="115" t="n">
        <x:v>1</x:v>
      </x:c>
      <x:c r="O2" s="113" t="n">
        <x:f>IFERROR(M2/N2,"")</x:f>
        <x:v>60000</x:v>
      </x:c>
      <x:c r="P2" s="116" t="n">
        <x:f>Beallitasok!$B$5</x:f>
        <x:v>1.15</x:v>
      </x:c>
      <x:c r="Q2" s="113" t="n">
        <x:f>IFERROR(ROUND(O2*P2/Beallitasok!$B$7,0)*Beallitasok!$B$7,"")</x:f>
        <x:v>69000</x:v>
      </x:c>
      <x:c r="R2" s="113"/>
      <x:c r="S2" s="113" t="n">
        <x:f>IF(Q2="","",Q2+IF(R2="",0,R2))</x:f>
        <x:v>69000</x:v>
      </x:c>
      <x:c r="T2" s="113" t="n">
        <x:f>M2*Beallitasok!$B$4</x:f>
        <x:v>300000</x:v>
      </x:c>
      <x:c r="U2" s="115" t="n">
        <x:f>N2*Beallitasok!$B$4</x:f>
        <x:v>5</x:v>
      </x:c>
      <x:c r="V2" s="113"/>
      <x:c r="W2" s="113" t="str">
        <x:f>IF(V2="","",V2-J2)</x:f>
      </x:c>
      <x:c r="X2" s="19"/>
      <x:c r="Y2" s="113" t="n">
        <x:f>IF(S2="","",J2-S2)</x:f>
        <x:v>3000</x:v>
      </x:c>
      <x:c r="Z2" s="19" t="str">
        <x:f>IF(AA2="IGEN",IF(J2&lt;S2,"GÉPIGÉNY + KRITIKUS: gépdíj nélkül is alacsony a plafon","GÉPIGÉNY: a saját egységár gépdíj nélkül értendő"),IF(J2&lt;S2,"KRITIKUS: alvállalkozói plafon &lt; saját terhelt egységköltség",IF(J2&lt;S2*Beallitasok!$B$6,"SZŰK TARTALÉK: 10% alatti tartalék","OK")))</x:f>
        <x:v>SZŰK TARTALÉK: 10% alatti tartalék</x:v>
      </x:c>
      <x:c r="AA2" s="19" t="str">
        <x:v>NEM</x:v>
      </x:c>
      <x:c r="AB2" s="19" t="str">
        <x:v>https://www.ksh.hu/gyorstajekoztatok/epi/epi2603.html</x:v>
      </x:c>
      <x:c r="AC2" s="19" t="str">
        <x:v>Mérnöki levezetés napi brigádköltségből</x:v>
      </x:c>
      <x:c r="AD2" s="19" t="str">
        <x:v>Kiszállás, konténer-, kerítés- és gépbérlet külön tétel lehet.</x:v>
      </x:c>
    </x:row>
    <x:row r="3">
      <x:c r="A3" s="19" t="str">
        <x:v>AR-0002</x:v>
      </x:c>
      <x:c r="B3" s="19" t="str">
        <x:v>01 Előkészítés</x:v>
      </x:c>
      <x:c r="C3" s="19" t="str">
        <x:v>Felvonulás és logisztika</x:v>
      </x:c>
      <x:c r="D3" s="19" t="str">
        <x:v>Mindegyik</x:v>
      </x:c>
      <x:c r="E3" s="19" t="str">
        <x:v>Épület főtengelyeinek kitűzési segédmunkája geodéta mellett</x:v>
      </x:c>
      <x:c r="F3" s="19" t="str">
        <x:v>alkalom</x:v>
      </x:c>
      <x:c r="G3" s="113" t="n">
        <x:v>70000</x:v>
      </x:c>
      <x:c r="H3" s="113" t="n">
        <x:v>95000</x:v>
      </x:c>
      <x:c r="I3" s="114" t="n">
        <x:v>0.6</x:v>
      </x:c>
      <x:c r="J3" s="113" t="n">
        <x:f>ROUND(H3*I3/Beallitasok!$B$7,0)*Beallitasok!$B$7</x:f>
        <x:v>57000</x:v>
      </x:c>
      <x:c r="K3" s="19" t="n">
        <x:v>1</x:v>
      </x:c>
      <x:c r="L3" s="19" t="n">
        <x:v>1</x:v>
      </x:c>
      <x:c r="M3" s="113" t="n">
        <x:f>K3*Beallitasok!$B$2+L3*Beallitasok!$B$3</x:f>
        <x:v>60000</x:v>
      </x:c>
      <x:c r="N3" s="115" t="n">
        <x:v>1</x:v>
      </x:c>
      <x:c r="O3" s="113" t="n">
        <x:f>IFERROR(M3/N3,"")</x:f>
        <x:v>60000</x:v>
      </x:c>
      <x:c r="P3" s="116" t="n">
        <x:f>Beallitasok!$B$5</x:f>
        <x:v>1.15</x:v>
      </x:c>
      <x:c r="Q3" s="113" t="n">
        <x:f>IFERROR(ROUND(O3*P3/Beallitasok!$B$7,0)*Beallitasok!$B$7,"")</x:f>
        <x:v>69000</x:v>
      </x:c>
      <x:c r="R3" s="113"/>
      <x:c r="S3" s="113" t="n">
        <x:f>IF(Q3="","",Q3+IF(R3="",0,R3))</x:f>
        <x:v>69000</x:v>
      </x:c>
      <x:c r="T3" s="113" t="n">
        <x:f>M3*Beallitasok!$B$4</x:f>
        <x:v>300000</x:v>
      </x:c>
      <x:c r="U3" s="115" t="n">
        <x:f>N3*Beallitasok!$B$4</x:f>
        <x:v>5</x:v>
      </x:c>
      <x:c r="V3" s="113"/>
      <x:c r="W3" s="113" t="str">
        <x:f>IF(V3="","",V3-J3)</x:f>
      </x:c>
      <x:c r="X3" s="19"/>
      <x:c r="Y3" s="113" t="n">
        <x:f>IF(S3="","",J3-S3)</x:f>
        <x:v>-12000</x:v>
      </x:c>
      <x:c r="Z3" s="19" t="str">
        <x:f>IF(AA3="IGEN",IF(J3&lt;S3,"GÉPIGÉNY + KRITIKUS: gépdíj nélkül is alacsony a plafon","GÉPIGÉNY: a saját egységár gépdíj nélkül értendő"),IF(J3&lt;S3,"KRITIKUS: alvállalkozói plafon &lt; saját terhelt egységköltség",IF(J3&lt;S3*Beallitasok!$B$6,"SZŰK TARTALÉK: 10% alatti tartalék","OK")))</x:f>
        <x:v>KRITIKUS: alvállalkozói plafon &lt; saját terhelt egységköltség</x:v>
      </x:c>
      <x:c r="AA3" s="19" t="str">
        <x:v>NEM</x:v>
      </x:c>
      <x:c r="AB3" s="19" t="str">
        <x:v>https://www.ksh.hu/gyorstajekoztatok/epi/epi2603.html</x:v>
      </x:c>
      <x:c r="AC3" s="19" t="str">
        <x:v>Mérnöki levezetés napi brigádköltségből</x:v>
      </x:c>
      <x:c r="AD3" s="19" t="str">
        <x:v>Kiszállás, konténer-, kerítés- és gépbérlet külön tétel lehet.</x:v>
      </x:c>
    </x:row>
    <x:row r="4">
      <x:c r="A4" s="19" t="str">
        <x:v>AR-0003</x:v>
      </x:c>
      <x:c r="B4" s="19" t="str">
        <x:v>01 Előkészítés</x:v>
      </x:c>
      <x:c r="C4" s="19" t="str">
        <x:v>Felvonulás és logisztika</x:v>
      </x:c>
      <x:c r="D4" s="19" t="str">
        <x:v>Mindegyik</x:v>
      </x:c>
      <x:c r="E4" s="19" t="str">
        <x:v>Magassági alappontok átvétele és szintjelölések kialakítása</x:v>
      </x:c>
      <x:c r="F4" s="19" t="str">
        <x:v>alkalom</x:v>
      </x:c>
      <x:c r="G4" s="113" t="n">
        <x:v>55000</x:v>
      </x:c>
      <x:c r="H4" s="113" t="n">
        <x:v>75000</x:v>
      </x:c>
      <x:c r="I4" s="114" t="n">
        <x:v>0.6</x:v>
      </x:c>
      <x:c r="J4" s="113" t="n">
        <x:f>ROUND(H4*I4/Beallitasok!$B$7,0)*Beallitasok!$B$7</x:f>
        <x:v>45000</x:v>
      </x:c>
      <x:c r="K4" s="19" t="n">
        <x:v>1</x:v>
      </x:c>
      <x:c r="L4" s="19" t="n">
        <x:v>1</x:v>
      </x:c>
      <x:c r="M4" s="113" t="n">
        <x:f>K4*Beallitasok!$B$2+L4*Beallitasok!$B$3</x:f>
        <x:v>60000</x:v>
      </x:c>
      <x:c r="N4" s="115" t="n">
        <x:v>1</x:v>
      </x:c>
      <x:c r="O4" s="113" t="n">
        <x:f>IFERROR(M4/N4,"")</x:f>
        <x:v>60000</x:v>
      </x:c>
      <x:c r="P4" s="116" t="n">
        <x:f>Beallitasok!$B$5</x:f>
        <x:v>1.15</x:v>
      </x:c>
      <x:c r="Q4" s="113" t="n">
        <x:f>IFERROR(ROUND(O4*P4/Beallitasok!$B$7,0)*Beallitasok!$B$7,"")</x:f>
        <x:v>69000</x:v>
      </x:c>
      <x:c r="R4" s="113"/>
      <x:c r="S4" s="113" t="n">
        <x:f>IF(Q4="","",Q4+IF(R4="",0,R4))</x:f>
        <x:v>69000</x:v>
      </x:c>
      <x:c r="T4" s="113" t="n">
        <x:f>M4*Beallitasok!$B$4</x:f>
        <x:v>300000</x:v>
      </x:c>
      <x:c r="U4" s="115" t="n">
        <x:f>N4*Beallitasok!$B$4</x:f>
        <x:v>5</x:v>
      </x:c>
      <x:c r="V4" s="113"/>
      <x:c r="W4" s="113" t="str">
        <x:f>IF(V4="","",V4-J4)</x:f>
      </x:c>
      <x:c r="X4" s="19"/>
      <x:c r="Y4" s="113" t="n">
        <x:f>IF(S4="","",J4-S4)</x:f>
        <x:v>-24000</x:v>
      </x:c>
      <x:c r="Z4" s="19" t="str">
        <x:f>IF(AA4="IGEN",IF(J4&lt;S4,"GÉPIGÉNY + KRITIKUS: gépdíj nélkül is alacsony a plafon","GÉPIGÉNY: a saját egységár gépdíj nélkül értendő"),IF(J4&lt;S4,"KRITIKUS: alvállalkozói plafon &lt; saját terhelt egységköltség",IF(J4&lt;S4*Beallitasok!$B$6,"SZŰK TARTALÉK: 10% alatti tartalék","OK")))</x:f>
        <x:v>KRITIKUS: alvállalkozói plafon &lt; saját terhelt egységköltség</x:v>
      </x:c>
      <x:c r="AA4" s="19" t="str">
        <x:v>NEM</x:v>
      </x:c>
      <x:c r="AB4" s="19" t="str">
        <x:v>https://www.ksh.hu/gyorstajekoztatok/epi/epi2603.html</x:v>
      </x:c>
      <x:c r="AC4" s="19" t="str">
        <x:v>Mérnöki levezetés napi brigádköltségből</x:v>
      </x:c>
      <x:c r="AD4" s="19" t="str">
        <x:v>Kiszállás, konténer-, kerítés- és gépbérlet külön tétel lehet.</x:v>
      </x:c>
    </x:row>
    <x:row r="5">
      <x:c r="A5" s="19" t="str">
        <x:v>AR-0004</x:v>
      </x:c>
      <x:c r="B5" s="19" t="str">
        <x:v>01 Előkészítés</x:v>
      </x:c>
      <x:c r="C5" s="19" t="str">
        <x:v>Felvonulás és logisztika</x:v>
      </x:c>
      <x:c r="D5" s="19" t="str">
        <x:v>Mindegyik</x:v>
      </x:c>
      <x:c r="E5" s="19" t="str">
        <x:v>Ideiglenes építési kerítés felállítása</x:v>
      </x:c>
      <x:c r="F5" s="19" t="str">
        <x:v>fm</x:v>
      </x:c>
      <x:c r="G5" s="113" t="n">
        <x:v>3000</x:v>
      </x:c>
      <x:c r="H5" s="113" t="n">
        <x:v>4200</x:v>
      </x:c>
      <x:c r="I5" s="114" t="n">
        <x:v>0.6</x:v>
      </x:c>
      <x:c r="J5" s="113" t="n">
        <x:f>ROUND(H5*I5/Beallitasok!$B$7,0)*Beallitasok!$B$7</x:f>
        <x:v>2500</x:v>
      </x:c>
      <x:c r="K5" s="19" t="n">
        <x:v>1</x:v>
      </x:c>
      <x:c r="L5" s="19" t="n">
        <x:v>2</x:v>
      </x:c>
      <x:c r="M5" s="113" t="n">
        <x:f>K5*Beallitasok!$B$2+L5*Beallitasok!$B$3</x:f>
        <x:v>85000</x:v>
      </x:c>
      <x:c r="N5" s="115" t="n">
        <x:v>35</x:v>
      </x:c>
      <x:c r="O5" s="113" t="n">
        <x:f>IFERROR(M5/N5,"")</x:f>
        <x:v>2428.5714285714284</x:v>
      </x:c>
      <x:c r="P5" s="116" t="n">
        <x:f>Beallitasok!$B$5</x:f>
        <x:v>1.15</x:v>
      </x:c>
      <x:c r="Q5" s="113" t="n">
        <x:f>IFERROR(ROUND(O5*P5/Beallitasok!$B$7,0)*Beallitasok!$B$7,"")</x:f>
        <x:v>2800</x:v>
      </x:c>
      <x:c r="R5" s="113"/>
      <x:c r="S5" s="113" t="n">
        <x:f>IF(Q5="","",Q5+IF(R5="",0,R5))</x:f>
        <x:v>2800</x:v>
      </x:c>
      <x:c r="T5" s="113" t="n">
        <x:f>M5*Beallitasok!$B$4</x:f>
        <x:v>425000</x:v>
      </x:c>
      <x:c r="U5" s="115" t="n">
        <x:f>N5*Beallitasok!$B$4</x:f>
        <x:v>175</x:v>
      </x:c>
      <x:c r="V5" s="113"/>
      <x:c r="W5" s="113" t="str">
        <x:f>IF(V5="","",V5-J5)</x:f>
      </x:c>
      <x:c r="X5" s="19"/>
      <x:c r="Y5" s="113" t="n">
        <x:f>IF(S5="","",J5-S5)</x:f>
        <x:v>-300</x:v>
      </x:c>
      <x:c r="Z5" s="19" t="str">
        <x:f>IF(AA5="IGEN",IF(J5&lt;S5,"GÉPIGÉNY + KRITIKUS: gépdíj nélkül is alacsony a plafon","GÉPIGÉNY: a saját egységár gépdíj nélkül értendő"),IF(J5&lt;S5,"KRITIKUS: alvállalkozói plafon &lt; saját terhelt egységköltség",IF(J5&lt;S5*Beallitasok!$B$6,"SZŰK TARTALÉK: 10% alatti tartalék","OK")))</x:f>
        <x:v>KRITIKUS: alvállalkozói plafon &lt; saját terhelt egységköltség</x:v>
      </x:c>
      <x:c r="AA5" s="19" t="str">
        <x:v>NEM</x:v>
      </x:c>
      <x:c r="AB5" s="19" t="str">
        <x:v>https://www.ksh.hu/gyorstajekoztatok/epi/epi2603.html</x:v>
      </x:c>
      <x:c r="AC5" s="19" t="str">
        <x:v>Mérnöki levezetés napi brigádköltségből</x:v>
      </x:c>
      <x:c r="AD5" s="19" t="str">
        <x:v>Kiszállás, konténer-, kerítés- és gépbérlet külön tétel lehet.</x:v>
      </x:c>
    </x:row>
    <x:row r="6">
      <x:c r="A6" s="19" t="str">
        <x:v>AR-0005</x:v>
      </x:c>
      <x:c r="B6" s="19" t="str">
        <x:v>01 Előkészítés</x:v>
      </x:c>
      <x:c r="C6" s="19" t="str">
        <x:v>Felvonulás és logisztika</x:v>
      </x:c>
      <x:c r="D6" s="19" t="str">
        <x:v>Mindegyik</x:v>
      </x:c>
      <x:c r="E6" s="19" t="str">
        <x:v>Ideiglenes építési kerítés bontása</x:v>
      </x:c>
      <x:c r="F6" s="19" t="str">
        <x:v>fm</x:v>
      </x:c>
      <x:c r="G6" s="113" t="n">
        <x:v>1500</x:v>
      </x:c>
      <x:c r="H6" s="113" t="n">
        <x:v>2200</x:v>
      </x:c>
      <x:c r="I6" s="114" t="n">
        <x:v>0.6</x:v>
      </x:c>
      <x:c r="J6" s="113" t="n">
        <x:f>ROUND(H6*I6/Beallitasok!$B$7,0)*Beallitasok!$B$7</x:f>
        <x:v>1300</x:v>
      </x:c>
      <x:c r="K6" s="19" t="n">
        <x:v>1</x:v>
      </x:c>
      <x:c r="L6" s="19" t="n">
        <x:v>2</x:v>
      </x:c>
      <x:c r="M6" s="113" t="n">
        <x:f>K6*Beallitasok!$B$2+L6*Beallitasok!$B$3</x:f>
        <x:v>85000</x:v>
      </x:c>
      <x:c r="N6" s="115" t="n">
        <x:v>60</x:v>
      </x:c>
      <x:c r="O6" s="113" t="n">
        <x:f>IFERROR(M6/N6,"")</x:f>
        <x:v>1416.6666666666667</x:v>
      </x:c>
      <x:c r="P6" s="116" t="n">
        <x:f>Beallitasok!$B$5</x:f>
        <x:v>1.15</x:v>
      </x:c>
      <x:c r="Q6" s="113" t="n">
        <x:f>IFERROR(ROUND(O6*P6/Beallitasok!$B$7,0)*Beallitasok!$B$7,"")</x:f>
        <x:v>1650</x:v>
      </x:c>
      <x:c r="R6" s="113"/>
      <x:c r="S6" s="113" t="n">
        <x:f>IF(Q6="","",Q6+IF(R6="",0,R6))</x:f>
        <x:v>1650</x:v>
      </x:c>
      <x:c r="T6" s="113" t="n">
        <x:f>M6*Beallitasok!$B$4</x:f>
        <x:v>425000</x:v>
      </x:c>
      <x:c r="U6" s="115" t="n">
        <x:f>N6*Beallitasok!$B$4</x:f>
        <x:v>300</x:v>
      </x:c>
      <x:c r="V6" s="113"/>
      <x:c r="W6" s="113" t="str">
        <x:f>IF(V6="","",V6-J6)</x:f>
      </x:c>
      <x:c r="X6" s="19"/>
      <x:c r="Y6" s="113" t="n">
        <x:f>IF(S6="","",J6-S6)</x:f>
        <x:v>-350</x:v>
      </x:c>
      <x:c r="Z6" s="19" t="str">
        <x:f>IF(AA6="IGEN",IF(J6&lt;S6,"GÉPIGÉNY + KRITIKUS: gépdíj nélkül is alacsony a plafon","GÉPIGÉNY: a saját egységár gépdíj nélkül értendő"),IF(J6&lt;S6,"KRITIKUS: alvállalkozói plafon &lt; saját terhelt egységköltség",IF(J6&lt;S6*Beallitasok!$B$6,"SZŰK TARTALÉK: 10% alatti tartalék","OK")))</x:f>
        <x:v>KRITIKUS: alvállalkozói plafon &lt; saját terhelt egységköltség</x:v>
      </x:c>
      <x:c r="AA6" s="19" t="str">
        <x:v>NEM</x:v>
      </x:c>
      <x:c r="AB6" s="19" t="str">
        <x:v>https://www.ksh.hu/gyorstajekoztatok/epi/epi2603.html</x:v>
      </x:c>
      <x:c r="AC6" s="19" t="str">
        <x:v>Mérnöki levezetés napi brigádköltségből</x:v>
      </x:c>
      <x:c r="AD6" s="19" t="str">
        <x:v>Kiszállás, konténer-, kerítés- és gépbérlet külön tétel lehet.</x:v>
      </x:c>
    </x:row>
    <x:row r="7">
      <x:c r="A7" s="19" t="str">
        <x:v>AR-0006</x:v>
      </x:c>
      <x:c r="B7" s="19" t="str">
        <x:v>01 Előkészítés</x:v>
      </x:c>
      <x:c r="C7" s="19" t="str">
        <x:v>Felvonulás és logisztika</x:v>
      </x:c>
      <x:c r="D7" s="19" t="str">
        <x:v>Mindegyik</x:v>
      </x:c>
      <x:c r="E7" s="19" t="str">
        <x:v>Konténer és szociális egység telepítési segédmunkája</x:v>
      </x:c>
      <x:c r="F7" s="19" t="str">
        <x:v>alkalom</x:v>
      </x:c>
      <x:c r="G7" s="113" t="n">
        <x:v>70000</x:v>
      </x:c>
      <x:c r="H7" s="113" t="n">
        <x:v>95000</x:v>
      </x:c>
      <x:c r="I7" s="114" t="n">
        <x:v>0.6</x:v>
      </x:c>
      <x:c r="J7" s="113" t="n">
        <x:f>ROUND(H7*I7/Beallitasok!$B$7,0)*Beallitasok!$B$7</x:f>
        <x:v>57000</x:v>
      </x:c>
      <x:c r="K7" s="19" t="n">
        <x:v>1</x:v>
      </x:c>
      <x:c r="L7" s="19" t="n">
        <x:v>2</x:v>
      </x:c>
      <x:c r="M7" s="113" t="n">
        <x:f>K7*Beallitasok!$B$2+L7*Beallitasok!$B$3</x:f>
        <x:v>85000</x:v>
      </x:c>
      <x:c r="N7" s="115" t="n">
        <x:v>1</x:v>
      </x:c>
      <x:c r="O7" s="113" t="n">
        <x:f>IFERROR(M7/N7,"")</x:f>
        <x:v>85000</x:v>
      </x:c>
      <x:c r="P7" s="116" t="n">
        <x:f>Beallitasok!$B$5</x:f>
        <x:v>1.15</x:v>
      </x:c>
      <x:c r="Q7" s="113" t="n">
        <x:f>IFERROR(ROUND(O7*P7/Beallitasok!$B$7,0)*Beallitasok!$B$7,"")</x:f>
        <x:v>97750</x:v>
      </x:c>
      <x:c r="R7" s="113"/>
      <x:c r="S7" s="113" t="n">
        <x:f>IF(Q7="","",Q7+IF(R7="",0,R7))</x:f>
        <x:v>97750</x:v>
      </x:c>
      <x:c r="T7" s="113" t="n">
        <x:f>M7*Beallitasok!$B$4</x:f>
        <x:v>425000</x:v>
      </x:c>
      <x:c r="U7" s="115" t="n">
        <x:f>N7*Beallitasok!$B$4</x:f>
        <x:v>5</x:v>
      </x:c>
      <x:c r="V7" s="113"/>
      <x:c r="W7" s="113" t="str">
        <x:f>IF(V7="","",V7-J7)</x:f>
      </x:c>
      <x:c r="X7" s="19"/>
      <x:c r="Y7" s="113" t="n">
        <x:f>IF(S7="","",J7-S7)</x:f>
        <x:v>-40750</x:v>
      </x:c>
      <x:c r="Z7" s="19" t="str">
        <x:f>IF(AA7="IGEN",IF(J7&lt;S7,"GÉPIGÉNY + KRITIKUS: gépdíj nélkül is alacsony a plafon","GÉPIGÉNY: a saját egységár gépdíj nélkül értendő"),IF(J7&lt;S7,"KRITIKUS: alvállalkozói plafon &lt; saját terhelt egységköltség",IF(J7&lt;S7*Beallitasok!$B$6,"SZŰK TARTALÉK: 10% alatti tartalék","OK")))</x:f>
        <x:v>KRITIKUS: alvállalkozói plafon &lt; saját terhelt egységköltség</x:v>
      </x:c>
      <x:c r="AA7" s="19" t="str">
        <x:v>NEM</x:v>
      </x:c>
      <x:c r="AB7" s="19" t="str">
        <x:v>https://www.ksh.hu/gyorstajekoztatok/epi/epi2603.html</x:v>
      </x:c>
      <x:c r="AC7" s="19" t="str">
        <x:v>Mérnöki levezetés napi brigádköltségből</x:v>
      </x:c>
      <x:c r="AD7" s="19" t="str">
        <x:v>Kiszállás, konténer-, kerítés- és gépbérlet külön tétel lehet.</x:v>
      </x:c>
    </x:row>
    <x:row r="8">
      <x:c r="A8" s="19" t="str">
        <x:v>AR-0007</x:v>
      </x:c>
      <x:c r="B8" s="19" t="str">
        <x:v>01 Előkészítés</x:v>
      </x:c>
      <x:c r="C8" s="19" t="str">
        <x:v>Felvonulás és logisztika</x:v>
      </x:c>
      <x:c r="D8" s="19" t="str">
        <x:v>Mindegyik</x:v>
      </x:c>
      <x:c r="E8" s="19" t="str">
        <x:v>Ideiglenes vízvételi hely kialakításának szerelési munkája</x:v>
      </x:c>
      <x:c r="F8" s="19" t="str">
        <x:v>db</x:v>
      </x:c>
      <x:c r="G8" s="113" t="n">
        <x:v>35000</x:v>
      </x:c>
      <x:c r="H8" s="113" t="n">
        <x:v>50000</x:v>
      </x:c>
      <x:c r="I8" s="114" t="n">
        <x:v>0.6</x:v>
      </x:c>
      <x:c r="J8" s="113" t="n">
        <x:f>ROUND(H8*I8/Beallitasok!$B$7,0)*Beallitasok!$B$7</x:f>
        <x:v>30000</x:v>
      </x:c>
      <x:c r="K8" s="19" t="n">
        <x:v>1</x:v>
      </x:c>
      <x:c r="L8" s="19" t="n">
        <x:v>1</x:v>
      </x:c>
      <x:c r="M8" s="113" t="n">
        <x:f>K8*Beallitasok!$B$2+L8*Beallitasok!$B$3</x:f>
        <x:v>60000</x:v>
      </x:c>
      <x:c r="N8" s="115" t="n">
        <x:v>2</x:v>
      </x:c>
      <x:c r="O8" s="113" t="n">
        <x:f>IFERROR(M8/N8,"")</x:f>
        <x:v>30000</x:v>
      </x:c>
      <x:c r="P8" s="116" t="n">
        <x:f>Beallitasok!$B$5</x:f>
        <x:v>1.15</x:v>
      </x:c>
      <x:c r="Q8" s="113" t="n">
        <x:f>IFERROR(ROUND(O8*P8/Beallitasok!$B$7,0)*Beallitasok!$B$7,"")</x:f>
        <x:v>34500</x:v>
      </x:c>
      <x:c r="R8" s="113"/>
      <x:c r="S8" s="113" t="n">
        <x:f>IF(Q8="","",Q8+IF(R8="",0,R8))</x:f>
        <x:v>34500</x:v>
      </x:c>
      <x:c r="T8" s="113" t="n">
        <x:f>M8*Beallitasok!$B$4</x:f>
        <x:v>300000</x:v>
      </x:c>
      <x:c r="U8" s="115" t="n">
        <x:f>N8*Beallitasok!$B$4</x:f>
        <x:v>10</x:v>
      </x:c>
      <x:c r="V8" s="113"/>
      <x:c r="W8" s="113" t="str">
        <x:f>IF(V8="","",V8-J8)</x:f>
      </x:c>
      <x:c r="X8" s="19"/>
      <x:c r="Y8" s="113" t="n">
        <x:f>IF(S8="","",J8-S8)</x:f>
        <x:v>-4500</x:v>
      </x:c>
      <x:c r="Z8" s="19" t="str">
        <x:f>IF(AA8="IGEN",IF(J8&lt;S8,"GÉPIGÉNY + KRITIKUS: gépdíj nélkül is alacsony a plafon","GÉPIGÉNY: a saját egységár gépdíj nélkül értendő"),IF(J8&lt;S8,"KRITIKUS: alvállalkozói plafon &lt; saját terhelt egységköltség",IF(J8&lt;S8*Beallitasok!$B$6,"SZŰK TARTALÉK: 10% alatti tartalék","OK")))</x:f>
        <x:v>KRITIKUS: alvállalkozói plafon &lt; saját terhelt egységköltség</x:v>
      </x:c>
      <x:c r="AA8" s="19" t="str">
        <x:v>NEM</x:v>
      </x:c>
      <x:c r="AB8" s="19" t="str">
        <x:v>https://www.ksh.hu/gyorstajekoztatok/epi/epi2603.html</x:v>
      </x:c>
      <x:c r="AC8" s="19" t="str">
        <x:v>Mérnöki levezetés napi brigádköltségből</x:v>
      </x:c>
      <x:c r="AD8" s="19" t="str">
        <x:v>Kiszállás, konténer-, kerítés- és gépbérlet külön tétel lehet.</x:v>
      </x:c>
    </x:row>
    <x:row r="9">
      <x:c r="A9" s="19" t="str">
        <x:v>AR-0008</x:v>
      </x:c>
      <x:c r="B9" s="19" t="str">
        <x:v>01 Előkészítés</x:v>
      </x:c>
      <x:c r="C9" s="19" t="str">
        <x:v>Felvonulás és logisztika</x:v>
      </x:c>
      <x:c r="D9" s="19" t="str">
        <x:v>Mindegyik</x:v>
      </x:c>
      <x:c r="E9" s="19" t="str">
        <x:v>Ideiglenes villamos elosztó telepítési segédmunkája</x:v>
      </x:c>
      <x:c r="F9" s="19" t="str">
        <x:v>db</x:v>
      </x:c>
      <x:c r="G9" s="113" t="n">
        <x:v>65000</x:v>
      </x:c>
      <x:c r="H9" s="113" t="n">
        <x:v>90000</x:v>
      </x:c>
      <x:c r="I9" s="114" t="n">
        <x:v>0.6</x:v>
      </x:c>
      <x:c r="J9" s="113" t="n">
        <x:f>ROUND(H9*I9/Beallitasok!$B$7,0)*Beallitasok!$B$7</x:f>
        <x:v>54000</x:v>
      </x:c>
      <x:c r="K9" s="19" t="n">
        <x:v>1</x:v>
      </x:c>
      <x:c r="L9" s="19" t="n">
        <x:v>1</x:v>
      </x:c>
      <x:c r="M9" s="113" t="n">
        <x:f>K9*Beallitasok!$B$2+L9*Beallitasok!$B$3</x:f>
        <x:v>60000</x:v>
      </x:c>
      <x:c r="N9" s="115" t="n">
        <x:v>1</x:v>
      </x:c>
      <x:c r="O9" s="113" t="n">
        <x:f>IFERROR(M9/N9,"")</x:f>
        <x:v>60000</x:v>
      </x:c>
      <x:c r="P9" s="116" t="n">
        <x:f>Beallitasok!$B$5</x:f>
        <x:v>1.15</x:v>
      </x:c>
      <x:c r="Q9" s="113" t="n">
        <x:f>IFERROR(ROUND(O9*P9/Beallitasok!$B$7,0)*Beallitasok!$B$7,"")</x:f>
        <x:v>69000</x:v>
      </x:c>
      <x:c r="R9" s="113"/>
      <x:c r="S9" s="113" t="n">
        <x:f>IF(Q9="","",Q9+IF(R9="",0,R9))</x:f>
        <x:v>69000</x:v>
      </x:c>
      <x:c r="T9" s="113" t="n">
        <x:f>M9*Beallitasok!$B$4</x:f>
        <x:v>300000</x:v>
      </x:c>
      <x:c r="U9" s="115" t="n">
        <x:f>N9*Beallitasok!$B$4</x:f>
        <x:v>5</x:v>
      </x:c>
      <x:c r="V9" s="113"/>
      <x:c r="W9" s="113" t="str">
        <x:f>IF(V9="","",V9-J9)</x:f>
      </x:c>
      <x:c r="X9" s="19"/>
      <x:c r="Y9" s="113" t="n">
        <x:f>IF(S9="","",J9-S9)</x:f>
        <x:v>-15000</x:v>
      </x:c>
      <x:c r="Z9" s="19" t="str">
        <x:f>IF(AA9="IGEN",IF(J9&lt;S9,"GÉPIGÉNY + KRITIKUS: gépdíj nélkül is alacsony a plafon","GÉPIGÉNY: a saját egységár gépdíj nélkül értendő"),IF(J9&lt;S9,"KRITIKUS: alvállalkozói plafon &lt; saját terhelt egységköltség",IF(J9&lt;S9*Beallitasok!$B$6,"SZŰK TARTALÉK: 10% alatti tartalék","OK")))</x:f>
        <x:v>KRITIKUS: alvállalkozói plafon &lt; saját terhelt egységköltség</x:v>
      </x:c>
      <x:c r="AA9" s="19" t="str">
        <x:v>NEM</x:v>
      </x:c>
      <x:c r="AB9" s="19" t="str">
        <x:v>https://www.ksh.hu/gyorstajekoztatok/epi/epi2603.html</x:v>
      </x:c>
      <x:c r="AC9" s="19" t="str">
        <x:v>Mérnöki levezetés napi brigádköltségből</x:v>
      </x:c>
      <x:c r="AD9" s="19" t="str">
        <x:v>Kiszállás, konténer-, kerítés- és gépbérlet külön tétel lehet.</x:v>
      </x:c>
    </x:row>
    <x:row r="10">
      <x:c r="A10" s="19" t="str">
        <x:v>AR-0009</x:v>
      </x:c>
      <x:c r="B10" s="19" t="str">
        <x:v>01 Előkészítés</x:v>
      </x:c>
      <x:c r="C10" s="19" t="str">
        <x:v>Felvonulás és logisztika</x:v>
      </x:c>
      <x:c r="D10" s="19" t="str">
        <x:v>Mindegyik</x:v>
      </x:c>
      <x:c r="E10" s="19" t="str">
        <x:v>Anyagdepóniák kialakítása és járófelületek rendezése</x:v>
      </x:c>
      <x:c r="F10" s="19" t="str">
        <x:v>m²</x:v>
      </x:c>
      <x:c r="G10" s="113" t="n">
        <x:v>1800</x:v>
      </x:c>
      <x:c r="H10" s="113" t="n">
        <x:v>2500</x:v>
      </x:c>
      <x:c r="I10" s="114" t="n">
        <x:v>0.55</x:v>
      </x:c>
      <x:c r="J10" s="113" t="n">
        <x:f>ROUND(H10*I10/Beallitasok!$B$7,0)*Beallitasok!$B$7</x:f>
        <x:v>1400</x:v>
      </x:c>
      <x:c r="K10" s="19" t="n">
        <x:v>1</x:v>
      </x:c>
      <x:c r="L10" s="19" t="n">
        <x:v>2</x:v>
      </x:c>
      <x:c r="M10" s="113" t="n">
        <x:f>K10*Beallitasok!$B$2+L10*Beallitasok!$B$3</x:f>
        <x:v>85000</x:v>
      </x:c>
      <x:c r="N10" s="115" t="n">
        <x:v>80</x:v>
      </x:c>
      <x:c r="O10" s="113" t="n">
        <x:f>IFERROR(M10/N10,"")</x:f>
        <x:v>1062.5</x:v>
      </x:c>
      <x:c r="P10" s="116" t="n">
        <x:f>Beallitasok!$B$5</x:f>
        <x:v>1.15</x:v>
      </x:c>
      <x:c r="Q10" s="113" t="n">
        <x:f>IFERROR(ROUND(O10*P10/Beallitasok!$B$7,0)*Beallitasok!$B$7,"")</x:f>
        <x:v>1200</x:v>
      </x:c>
      <x:c r="R10" s="113"/>
      <x:c r="S10" s="113" t="n">
        <x:f>IF(Q10="","",Q10+IF(R10="",0,R10))</x:f>
        <x:v>1200</x:v>
      </x:c>
      <x:c r="T10" s="113" t="n">
        <x:f>M10*Beallitasok!$B$4</x:f>
        <x:v>425000</x:v>
      </x:c>
      <x:c r="U10" s="115" t="n">
        <x:f>N10*Beallitasok!$B$4</x:f>
        <x:v>400</x:v>
      </x:c>
      <x:c r="V10" s="113"/>
      <x:c r="W10" s="113" t="str">
        <x:f>IF(V10="","",V10-J10)</x:f>
      </x:c>
      <x:c r="X10" s="19"/>
      <x:c r="Y10" s="113" t="n">
        <x:f>IF(S10="","",J10-S10)</x:f>
        <x:v>200</x:v>
      </x:c>
      <x:c r="Z10" s="19" t="str">
        <x:f>IF(AA10="IGEN",IF(J10&lt;S10,"GÉPIGÉNY + KRITIKUS: gépdíj nélkül is alacsony a plafon","GÉPIGÉNY: a saját egységár gépdíj nélkül értendő"),IF(J10&lt;S10,"KRITIKUS: alvállalkozói plafon &lt; saját terhelt egységköltség",IF(J10&lt;S10*Beallitasok!$B$6,"SZŰK TARTALÉK: 10% alatti tartalék","OK")))</x:f>
        <x:v>OK</x:v>
      </x:c>
      <x:c r="AA10" s="19" t="str">
        <x:v>NEM</x:v>
      </x:c>
      <x:c r="AB10" s="19" t="str">
        <x:v>https://www.ksh.hu/gyorstajekoztatok/epi/epi2603.html</x:v>
      </x:c>
      <x:c r="AC10" s="19" t="str">
        <x:v>Mérnöki levezetés napi brigádköltségből</x:v>
      </x:c>
      <x:c r="AD10" s="19" t="str">
        <x:v>Kiszállás, konténer-, kerítés- és gépbérlet külön tétel lehet.</x:v>
      </x:c>
    </x:row>
    <x:row r="11">
      <x:c r="A11" s="19" t="str">
        <x:v>AR-0010</x:v>
      </x:c>
      <x:c r="B11" s="19" t="str">
        <x:v>01 Előkészítés</x:v>
      </x:c>
      <x:c r="C11" s="19" t="str">
        <x:v>Felvonulás és logisztika</x:v>
      </x:c>
      <x:c r="D11" s="19" t="str">
        <x:v>Mindegyik</x:v>
      </x:c>
      <x:c r="E11" s="19" t="str">
        <x:v>Munkaterület napi rendezése szerkezetépítés alatt</x:v>
      </x:c>
      <x:c r="F11" s="19" t="str">
        <x:v>nap</x:v>
      </x:c>
      <x:c r="G11" s="113" t="n">
        <x:v>75000</x:v>
      </x:c>
      <x:c r="H11" s="113" t="n">
        <x:v>100000</x:v>
      </x:c>
      <x:c r="I11" s="114" t="n">
        <x:v>0.6</x:v>
      </x:c>
      <x:c r="J11" s="113" t="n">
        <x:f>ROUND(H11*I11/Beallitasok!$B$7,0)*Beallitasok!$B$7</x:f>
        <x:v>60000</x:v>
      </x:c>
      <x:c r="K11" s="19" t="n">
        <x:v>1</x:v>
      </x:c>
      <x:c r="L11" s="19" t="n">
        <x:v>2</x:v>
      </x:c>
      <x:c r="M11" s="113" t="n">
        <x:f>K11*Beallitasok!$B$2+L11*Beallitasok!$B$3</x:f>
        <x:v>85000</x:v>
      </x:c>
      <x:c r="N11" s="115" t="n">
        <x:v>1</x:v>
      </x:c>
      <x:c r="O11" s="113" t="n">
        <x:f>IFERROR(M11/N11,"")</x:f>
        <x:v>85000</x:v>
      </x:c>
      <x:c r="P11" s="116" t="n">
        <x:f>Beallitasok!$B$5</x:f>
        <x:v>1.15</x:v>
      </x:c>
      <x:c r="Q11" s="113" t="n">
        <x:f>IFERROR(ROUND(O11*P11/Beallitasok!$B$7,0)*Beallitasok!$B$7,"")</x:f>
        <x:v>97750</x:v>
      </x:c>
      <x:c r="R11" s="113"/>
      <x:c r="S11" s="113" t="n">
        <x:f>IF(Q11="","",Q11+IF(R11="",0,R11))</x:f>
        <x:v>97750</x:v>
      </x:c>
      <x:c r="T11" s="113" t="n">
        <x:f>M11*Beallitasok!$B$4</x:f>
        <x:v>425000</x:v>
      </x:c>
      <x:c r="U11" s="115" t="n">
        <x:f>N11*Beallitasok!$B$4</x:f>
        <x:v>5</x:v>
      </x:c>
      <x:c r="V11" s="113"/>
      <x:c r="W11" s="113" t="str">
        <x:f>IF(V11="","",V11-J11)</x:f>
      </x:c>
      <x:c r="X11" s="19"/>
      <x:c r="Y11" s="113" t="n">
        <x:f>IF(S11="","",J11-S11)</x:f>
        <x:v>-37750</x:v>
      </x:c>
      <x:c r="Z11" s="19" t="str">
        <x:f>IF(AA11="IGEN",IF(J11&lt;S11,"GÉPIGÉNY + KRITIKUS: gépdíj nélkül is alacsony a plafon","GÉPIGÉNY: a saját egységár gépdíj nélkül értendő"),IF(J11&lt;S11,"KRITIKUS: alvállalkozói plafon &lt; saját terhelt egységköltség",IF(J11&lt;S11*Beallitasok!$B$6,"SZŰK TARTALÉK: 10% alatti tartalék","OK")))</x:f>
        <x:v>KRITIKUS: alvállalkozói plafon &lt; saját terhelt egységköltség</x:v>
      </x:c>
      <x:c r="AA11" s="19" t="str">
        <x:v>NEM</x:v>
      </x:c>
      <x:c r="AB11" s="19" t="str">
        <x:v>https://www.ksh.hu/gyorstajekoztatok/epi/epi2603.html</x:v>
      </x:c>
      <x:c r="AC11" s="19" t="str">
        <x:v>Mérnöki levezetés napi brigádköltségből</x:v>
      </x:c>
      <x:c r="AD11" s="19" t="str">
        <x:v>Kiszállás, konténer-, kerítés- és gépbérlet külön tétel lehet.</x:v>
      </x:c>
    </x:row>
    <x:row r="12">
      <x:c r="A12" s="19" t="str">
        <x:v>AR-0011</x:v>
      </x:c>
      <x:c r="B12" s="19" t="str">
        <x:v>01 Előkészítés</x:v>
      </x:c>
      <x:c r="C12" s="19" t="str">
        <x:v>Felvonulás és logisztika</x:v>
      </x:c>
      <x:c r="D12" s="19" t="str">
        <x:v>Mindegyik</x:v>
      </x:c>
      <x:c r="E12" s="19" t="str">
        <x:v>Építési anyag kézi mozgatása 30 m-en belül</x:v>
      </x:c>
      <x:c r="F12" s="19" t="str">
        <x:v>t</x:v>
      </x:c>
      <x:c r="G12" s="113" t="n">
        <x:v>11000</x:v>
      </x:c>
      <x:c r="H12" s="113" t="n">
        <x:v>16000</x:v>
      </x:c>
      <x:c r="I12" s="114" t="n">
        <x:v>0.6</x:v>
      </x:c>
      <x:c r="J12" s="113" t="n">
        <x:f>ROUND(H12*I12/Beallitasok!$B$7,0)*Beallitasok!$B$7</x:f>
        <x:v>9600</x:v>
      </x:c>
      <x:c r="K12" s="19" t="n">
        <x:v>1</x:v>
      </x:c>
      <x:c r="L12" s="19" t="n">
        <x:v>3</x:v>
      </x:c>
      <x:c r="M12" s="113" t="n">
        <x:f>K12*Beallitasok!$B$2+L12*Beallitasok!$B$3</x:f>
        <x:v>110000</x:v>
      </x:c>
      <x:c r="N12" s="115" t="n">
        <x:v>8</x:v>
      </x:c>
      <x:c r="O12" s="113" t="n">
        <x:f>IFERROR(M12/N12,"")</x:f>
        <x:v>13750</x:v>
      </x:c>
      <x:c r="P12" s="116" t="n">
        <x:f>Beallitasok!$B$5</x:f>
        <x:v>1.15</x:v>
      </x:c>
      <x:c r="Q12" s="113" t="n">
        <x:f>IFERROR(ROUND(O12*P12/Beallitasok!$B$7,0)*Beallitasok!$B$7,"")</x:f>
        <x:v>15800</x:v>
      </x:c>
      <x:c r="R12" s="113"/>
      <x:c r="S12" s="113" t="n">
        <x:f>IF(Q12="","",Q12+IF(R12="",0,R12))</x:f>
        <x:v>15800</x:v>
      </x:c>
      <x:c r="T12" s="113" t="n">
        <x:f>M12*Beallitasok!$B$4</x:f>
        <x:v>550000</x:v>
      </x:c>
      <x:c r="U12" s="115" t="n">
        <x:f>N12*Beallitasok!$B$4</x:f>
        <x:v>40</x:v>
      </x:c>
      <x:c r="V12" s="113"/>
      <x:c r="W12" s="113" t="str">
        <x:f>IF(V12="","",V12-J12)</x:f>
      </x:c>
      <x:c r="X12" s="19"/>
      <x:c r="Y12" s="113" t="n">
        <x:f>IF(S12="","",J12-S12)</x:f>
        <x:v>-6200</x:v>
      </x:c>
      <x:c r="Z12" s="19" t="str">
        <x:f>IF(AA12="IGEN",IF(J12&lt;S12,"GÉPIGÉNY + KRITIKUS: gépdíj nélkül is alacsony a plafon","GÉPIGÉNY: a saját egységár gépdíj nélkül értendő"),IF(J12&lt;S12,"KRITIKUS: alvállalkozói plafon &lt; saját terhelt egységköltség",IF(J12&lt;S12*Beallitasok!$B$6,"SZŰK TARTALÉK: 10% alatti tartalék","OK")))</x:f>
        <x:v>KRITIKUS: alvállalkozói plafon &lt; saját terhelt egységköltség</x:v>
      </x:c>
      <x:c r="AA12" s="19" t="str">
        <x:v>NEM</x:v>
      </x:c>
      <x:c r="AB12" s="19" t="str">
        <x:v>https://www.ksh.hu/gyorstajekoztatok/epi/epi2603.html</x:v>
      </x:c>
      <x:c r="AC12" s="19" t="str">
        <x:v>Mérnöki levezetés napi brigádköltségből</x:v>
      </x:c>
      <x:c r="AD12" s="19" t="str">
        <x:v>Kiszállás, konténer-, kerítés- és gépbérlet külön tétel lehet.</x:v>
      </x:c>
    </x:row>
    <x:row r="13">
      <x:c r="A13" s="19" t="str">
        <x:v>AR-0012</x:v>
      </x:c>
      <x:c r="B13" s="19" t="str">
        <x:v>01 Előkészítés</x:v>
      </x:c>
      <x:c r="C13" s="19" t="str">
        <x:v>Felvonulás és logisztika</x:v>
      </x:c>
      <x:c r="D13" s="19" t="str">
        <x:v>Mindegyik</x:v>
      </x:c>
      <x:c r="E13" s="19" t="str">
        <x:v>Rakodási segédmunka daruzott elemek fogadásához</x:v>
      </x:c>
      <x:c r="F13" s="19" t="str">
        <x:v>óra</x:v>
      </x:c>
      <x:c r="G13" s="113" t="n">
        <x:v>12000</x:v>
      </x:c>
      <x:c r="H13" s="113" t="n">
        <x:v>16000</x:v>
      </x:c>
      <x:c r="I13" s="114" t="n">
        <x:v>0.6</x:v>
      </x:c>
      <x:c r="J13" s="113" t="n">
        <x:f>ROUND(H13*I13/Beallitasok!$B$7,0)*Beallitasok!$B$7</x:f>
        <x:v>9600</x:v>
      </x:c>
      <x:c r="K13" s="19" t="n">
        <x:v>1</x:v>
      </x:c>
      <x:c r="L13" s="19" t="n">
        <x:v>2</x:v>
      </x:c>
      <x:c r="M13" s="113" t="n">
        <x:f>K13*Beallitasok!$B$2+L13*Beallitasok!$B$3</x:f>
        <x:v>85000</x:v>
      </x:c>
      <x:c r="N13" s="115" t="n">
        <x:v>8</x:v>
      </x:c>
      <x:c r="O13" s="113" t="n">
        <x:f>IFERROR(M13/N13,"")</x:f>
        <x:v>10625</x:v>
      </x:c>
      <x:c r="P13" s="116" t="n">
        <x:f>Beallitasok!$B$5</x:f>
        <x:v>1.15</x:v>
      </x:c>
      <x:c r="Q13" s="113" t="n">
        <x:f>IFERROR(ROUND(O13*P13/Beallitasok!$B$7,0)*Beallitasok!$B$7,"")</x:f>
        <x:v>12200</x:v>
      </x:c>
      <x:c r="R13" s="113"/>
      <x:c r="S13" s="113" t="n">
        <x:f>IF(Q13="","",Q13+IF(R13="",0,R13))</x:f>
        <x:v>12200</x:v>
      </x:c>
      <x:c r="T13" s="113" t="n">
        <x:f>M13*Beallitasok!$B$4</x:f>
        <x:v>425000</x:v>
      </x:c>
      <x:c r="U13" s="115" t="n">
        <x:f>N13*Beallitasok!$B$4</x:f>
        <x:v>40</x:v>
      </x:c>
      <x:c r="V13" s="113"/>
      <x:c r="W13" s="113" t="str">
        <x:f>IF(V13="","",V13-J13)</x:f>
      </x:c>
      <x:c r="X13" s="19"/>
      <x:c r="Y13" s="113" t="n">
        <x:f>IF(S13="","",J13-S13)</x:f>
        <x:v>-2600</x:v>
      </x:c>
      <x:c r="Z13" s="19" t="str">
        <x:f>IF(AA13="IGEN",IF(J13&lt;S13,"GÉPIGÉNY + KRITIKUS: gépdíj nélkül is alacsony a plafon","GÉPIGÉNY: a saját egységár gépdíj nélkül értendő"),IF(J13&lt;S13,"KRITIKUS: alvállalkozói plafon &lt; saját terhelt egységköltség",IF(J13&lt;S13*Beallitasok!$B$6,"SZŰK TARTALÉK: 10% alatti tartalék","OK")))</x:f>
        <x:v>KRITIKUS: alvállalkozói plafon &lt; saját terhelt egységköltség</x:v>
      </x:c>
      <x:c r="AA13" s="19" t="str">
        <x:v>NEM</x:v>
      </x:c>
      <x:c r="AB13" s="19" t="str">
        <x:v>https://www.ksh.hu/gyorstajekoztatok/epi/epi2603.html</x:v>
      </x:c>
      <x:c r="AC13" s="19" t="str">
        <x:v>Mérnöki levezetés napi brigádköltségből</x:v>
      </x:c>
      <x:c r="AD13" s="19" t="str">
        <x:v>Kiszállás, konténer-, kerítés- és gépbérlet külön tétel lehet.</x:v>
      </x:c>
    </x:row>
    <x:row r="14">
      <x:c r="A14" s="19" t="str">
        <x:v>AR-0013</x:v>
      </x:c>
      <x:c r="B14" s="19" t="str">
        <x:v>02 Bontás</x:v>
      </x:c>
      <x:c r="C14" s="19" t="str">
        <x:v>Bontás és területtisztítás</x:v>
      </x:c>
      <x:c r="D14" s="19" t="str">
        <x:v>Mindegyik</x:v>
      </x:c>
      <x:c r="E14" s="19" t="str">
        <x:v>Bozót- és cserjeirtás kézi erővel</x:v>
      </x:c>
      <x:c r="F14" s="19" t="str">
        <x:v>m²</x:v>
      </x:c>
      <x:c r="G14" s="113" t="n">
        <x:v>900</x:v>
      </x:c>
      <x:c r="H14" s="113" t="n">
        <x:v>1400</x:v>
      </x:c>
      <x:c r="I14" s="114" t="n">
        <x:v>0.55</x:v>
      </x:c>
      <x:c r="J14" s="113" t="n">
        <x:f>ROUND(H14*I14/Beallitasok!$B$7,0)*Beallitasok!$B$7</x:f>
        <x:v>750</x:v>
      </x:c>
      <x:c r="K14" s="19" t="n">
        <x:v>0</x:v>
      </x:c>
      <x:c r="L14" s="19" t="n">
        <x:v>3</x:v>
      </x:c>
      <x:c r="M14" s="113" t="n">
        <x:f>K14*Beallitasok!$B$2+L14*Beallitasok!$B$3</x:f>
        <x:v>75000</x:v>
      </x:c>
      <x:c r="N14" s="115" t="n">
        <x:v>120</x:v>
      </x:c>
      <x:c r="O14" s="113" t="n">
        <x:f>IFERROR(M14/N14,"")</x:f>
        <x:v>625</x:v>
      </x:c>
      <x:c r="P14" s="116" t="n">
        <x:f>Beallitasok!$B$5</x:f>
        <x:v>1.15</x:v>
      </x:c>
      <x:c r="Q14" s="113" t="n">
        <x:f>IFERROR(ROUND(O14*P14/Beallitasok!$B$7,0)*Beallitasok!$B$7,"")</x:f>
        <x:v>700</x:v>
      </x:c>
      <x:c r="R14" s="113"/>
      <x:c r="S14" s="113" t="n">
        <x:f>IF(Q14="","",Q14+IF(R14="",0,R14))</x:f>
        <x:v>700</x:v>
      </x:c>
      <x:c r="T14" s="113" t="n">
        <x:f>M14*Beallitasok!$B$4</x:f>
        <x:v>375000</x:v>
      </x:c>
      <x:c r="U14" s="115" t="n">
        <x:f>N14*Beallitasok!$B$4</x:f>
        <x:v>600</x:v>
      </x:c>
      <x:c r="V14" s="113"/>
      <x:c r="W14" s="113" t="str">
        <x:f>IF(V14="","",V14-J14)</x:f>
      </x:c>
      <x:c r="X14" s="19"/>
      <x:c r="Y14" s="113" t="n">
        <x:f>IF(S14="","",J14-S14)</x:f>
        <x:v>50</x:v>
      </x:c>
      <x:c r="Z14" s="19" t="str">
        <x:f>IF(AA14="IGEN",IF(J14&lt;S14,"GÉPIGÉNY + KRITIKUS: gépdíj nélkül is alacsony a plafon","GÉPIGÉNY: a saját egységár gépdíj nélkül értendő"),IF(J14&lt;S14,"KRITIKUS: alvállalkozói plafon &lt; saját terhelt egységköltség",IF(J14&lt;S14*Beallitasok!$B$6,"SZŰK TARTALÉK: 10% alatti tartalék","OK")))</x:f>
        <x:v>SZŰK TARTALÉK: 10% alatti tartalék</x:v>
      </x:c>
      <x:c r="AA14" s="19" t="str">
        <x:v>NEM</x:v>
      </x:c>
      <x:c r="AB14" s="19" t="str">
        <x:v>https://www.ksh.hu/gyorstajekoztatok/epi/epi2603.html</x:v>
      </x:c>
      <x:c r="AC14" s="19" t="str">
        <x:v>2026 piaci részárak és brigádtermelékenység alapján levezetett</x:v>
      </x:c>
      <x:c r="AD14" s="19" t="str">
        <x:v>Konténer, elszállítás, lerakási díj és nagy gép nincs benne.</x:v>
      </x:c>
    </x:row>
    <x:row r="15">
      <x:c r="A15" s="19" t="str">
        <x:v>AR-0014</x:v>
      </x:c>
      <x:c r="B15" s="19" t="str">
        <x:v>02 Bontás</x:v>
      </x:c>
      <x:c r="C15" s="19" t="str">
        <x:v>Bontás és területtisztítás</x:v>
      </x:c>
      <x:c r="D15" s="19" t="str">
        <x:v>Mindegyik</x:v>
      </x:c>
      <x:c r="E15" s="19" t="str">
        <x:v>Kisebb fa kivágása 15 cm törzsátmérőig</x:v>
      </x:c>
      <x:c r="F15" s="19" t="str">
        <x:v>db</x:v>
      </x:c>
      <x:c r="G15" s="113" t="n">
        <x:v>9000</x:v>
      </x:c>
      <x:c r="H15" s="113" t="n">
        <x:v>14000</x:v>
      </x:c>
      <x:c r="I15" s="114" t="n">
        <x:v>0.6</x:v>
      </x:c>
      <x:c r="J15" s="113" t="n">
        <x:f>ROUND(H15*I15/Beallitasok!$B$7,0)*Beallitasok!$B$7</x:f>
        <x:v>8400</x:v>
      </x:c>
      <x:c r="K15" s="19" t="n">
        <x:v>1</x:v>
      </x:c>
      <x:c r="L15" s="19" t="n">
        <x:v>2</x:v>
      </x:c>
      <x:c r="M15" s="113" t="n">
        <x:f>K15*Beallitasok!$B$2+L15*Beallitasok!$B$3</x:f>
        <x:v>85000</x:v>
      </x:c>
      <x:c r="N15" s="115" t="n">
        <x:v>8</x:v>
      </x:c>
      <x:c r="O15" s="113" t="n">
        <x:f>IFERROR(M15/N15,"")</x:f>
        <x:v>10625</x:v>
      </x:c>
      <x:c r="P15" s="116" t="n">
        <x:f>Beallitasok!$B$5</x:f>
        <x:v>1.15</x:v>
      </x:c>
      <x:c r="Q15" s="113" t="n">
        <x:f>IFERROR(ROUND(O15*P15/Beallitasok!$B$7,0)*Beallitasok!$B$7,"")</x:f>
        <x:v>12200</x:v>
      </x:c>
      <x:c r="R15" s="113"/>
      <x:c r="S15" s="113" t="n">
        <x:f>IF(Q15="","",Q15+IF(R15="",0,R15))</x:f>
        <x:v>12200</x:v>
      </x:c>
      <x:c r="T15" s="113" t="n">
        <x:f>M15*Beallitasok!$B$4</x:f>
        <x:v>425000</x:v>
      </x:c>
      <x:c r="U15" s="115" t="n">
        <x:f>N15*Beallitasok!$B$4</x:f>
        <x:v>40</x:v>
      </x:c>
      <x:c r="V15" s="113"/>
      <x:c r="W15" s="113" t="str">
        <x:f>IF(V15="","",V15-J15)</x:f>
      </x:c>
      <x:c r="X15" s="19"/>
      <x:c r="Y15" s="113" t="n">
        <x:f>IF(S15="","",J15-S15)</x:f>
        <x:v>-3800</x:v>
      </x:c>
      <x:c r="Z15" s="19" t="str">
        <x:f>IF(AA15="IGEN",IF(J15&lt;S15,"GÉPIGÉNY + KRITIKUS: gépdíj nélkül is alacsony a plafon","GÉPIGÉNY: a saját egységár gépdíj nélkül értendő"),IF(J15&lt;S15,"KRITIKUS: alvállalkozói plafon &lt; saját terhelt egységköltség",IF(J15&lt;S15*Beallitasok!$B$6,"SZŰK TARTALÉK: 10% alatti tartalék","OK")))</x:f>
        <x:v>KRITIKUS: alvállalkozói plafon &lt; saját terhelt egységköltség</x:v>
      </x:c>
      <x:c r="AA15" s="19" t="str">
        <x:v>NEM</x:v>
      </x:c>
      <x:c r="AB15" s="19" t="str">
        <x:v>https://www.ksh.hu/gyorstajekoztatok/epi/epi2603.html</x:v>
      </x:c>
      <x:c r="AC15" s="19" t="str">
        <x:v>2026 piaci részárak és brigádtermelékenység alapján levezetett</x:v>
      </x:c>
      <x:c r="AD15" s="19" t="str">
        <x:v>Konténer, elszállítás, lerakási díj és nagy gép nincs benne.</x:v>
      </x:c>
    </x:row>
    <x:row r="16">
      <x:c r="A16" s="19" t="str">
        <x:v>AR-0015</x:v>
      </x:c>
      <x:c r="B16" s="19" t="str">
        <x:v>02 Bontás</x:v>
      </x:c>
      <x:c r="C16" s="19" t="str">
        <x:v>Bontás és területtisztítás</x:v>
      </x:c>
      <x:c r="D16" s="19" t="str">
        <x:v>Mindegyik</x:v>
      </x:c>
      <x:c r="E16" s="19" t="str">
        <x:v>Tuskolás kézi-gépi rásegítéssel</x:v>
      </x:c>
      <x:c r="F16" s="19" t="str">
        <x:v>db</x:v>
      </x:c>
      <x:c r="G16" s="113" t="n">
        <x:v>12000</x:v>
      </x:c>
      <x:c r="H16" s="113" t="n">
        <x:v>18000</x:v>
      </x:c>
      <x:c r="I16" s="114" t="n">
        <x:v>0.6</x:v>
      </x:c>
      <x:c r="J16" s="113" t="n">
        <x:f>ROUND(H16*I16/Beallitasok!$B$7,0)*Beallitasok!$B$7</x:f>
        <x:v>10800</x:v>
      </x:c>
      <x:c r="K16" s="19" t="n">
        <x:v>1</x:v>
      </x:c>
      <x:c r="L16" s="19" t="n">
        <x:v>2</x:v>
      </x:c>
      <x:c r="M16" s="113" t="n">
        <x:f>K16*Beallitasok!$B$2+L16*Beallitasok!$B$3</x:f>
        <x:v>85000</x:v>
      </x:c>
      <x:c r="N16" s="115" t="n">
        <x:v>5</x:v>
      </x:c>
      <x:c r="O16" s="113" t="n">
        <x:f>IFERROR(M16/N16,"")</x:f>
        <x:v>17000</x:v>
      </x:c>
      <x:c r="P16" s="116" t="n">
        <x:f>Beallitasok!$B$5</x:f>
        <x:v>1.15</x:v>
      </x:c>
      <x:c r="Q16" s="113" t="n">
        <x:f>IFERROR(ROUND(O16*P16/Beallitasok!$B$7,0)*Beallitasok!$B$7,"")</x:f>
        <x:v>19550</x:v>
      </x:c>
      <x:c r="R16" s="113"/>
      <x:c r="S16" s="113" t="n">
        <x:f>IF(Q16="","",Q16+IF(R16="",0,R16))</x:f>
        <x:v>19550</x:v>
      </x:c>
      <x:c r="T16" s="113" t="n">
        <x:f>M16*Beallitasok!$B$4</x:f>
        <x:v>425000</x:v>
      </x:c>
      <x:c r="U16" s="115" t="n">
        <x:f>N16*Beallitasok!$B$4</x:f>
        <x:v>25</x:v>
      </x:c>
      <x:c r="V16" s="113"/>
      <x:c r="W16" s="113" t="str">
        <x:f>IF(V16="","",V16-J16)</x:f>
      </x:c>
      <x:c r="X16" s="19"/>
      <x:c r="Y16" s="113" t="n">
        <x:f>IF(S16="","",J16-S16)</x:f>
        <x:v>-8750</x:v>
      </x:c>
      <x:c r="Z16" s="19" t="str">
        <x:f>IF(AA16="IGEN",IF(J16&lt;S16,"GÉPIGÉNY + KRITIKUS: gépdíj nélkül is alacsony a plafon","GÉPIGÉNY: a saját egységár gépdíj nélkül értendő"),IF(J16&lt;S16,"KRITIKUS: alvállalkozói plafon &lt; saját terhelt egységköltség",IF(J16&lt;S16*Beallitasok!$B$6,"SZŰK TARTALÉK: 10% alatti tartalék","OK")))</x:f>
        <x:v>GÉPIGÉNY + KRITIKUS: gépdíj nélkül is alacsony a plafon</x:v>
      </x:c>
      <x:c r="AA16" s="19" t="str">
        <x:v>IGEN</x:v>
      </x:c>
      <x:c r="AB16" s="19" t="str">
        <x:v>https://www.ksh.hu/gyorstajekoztatok/epi/epi2603.html</x:v>
      </x:c>
      <x:c r="AC16" s="19" t="str">
        <x:v>2026 piaci részárak és brigádtermelékenység alapján levezetett</x:v>
      </x:c>
      <x:c r="AD16" s="19" t="str">
        <x:v>Konténer, elszállítás, lerakási díj és nagy gép nincs benne.</x:v>
      </x:c>
    </x:row>
    <x:row r="17">
      <x:c r="A17" s="19" t="str">
        <x:v>AR-0016</x:v>
      </x:c>
      <x:c r="B17" s="19" t="str">
        <x:v>02 Bontás</x:v>
      </x:c>
      <x:c r="C17" s="19" t="str">
        <x:v>Bontás és területtisztítás</x:v>
      </x:c>
      <x:c r="D17" s="19" t="str">
        <x:v>Mindegyik</x:v>
      </x:c>
      <x:c r="E17" s="19" t="str">
        <x:v>Térkő burkolat bontása, raklapozható állapotban</x:v>
      </x:c>
      <x:c r="F17" s="19" t="str">
        <x:v>m²</x:v>
      </x:c>
      <x:c r="G17" s="113" t="n">
        <x:v>1800</x:v>
      </x:c>
      <x:c r="H17" s="113" t="n">
        <x:v>2800</x:v>
      </x:c>
      <x:c r="I17" s="114" t="n">
        <x:v>0.55</x:v>
      </x:c>
      <x:c r="J17" s="113" t="n">
        <x:f>ROUND(H17*I17/Beallitasok!$B$7,0)*Beallitasok!$B$7</x:f>
        <x:v>1550</x:v>
      </x:c>
      <x:c r="K17" s="19" t="n">
        <x:v>1</x:v>
      </x:c>
      <x:c r="L17" s="19" t="n">
        <x:v>2</x:v>
      </x:c>
      <x:c r="M17" s="113" t="n">
        <x:f>K17*Beallitasok!$B$2+L17*Beallitasok!$B$3</x:f>
        <x:v>85000</x:v>
      </x:c>
      <x:c r="N17" s="115" t="n">
        <x:v>55</x:v>
      </x:c>
      <x:c r="O17" s="113" t="n">
        <x:f>IFERROR(M17/N17,"")</x:f>
        <x:v>1545.4545454545455</x:v>
      </x:c>
      <x:c r="P17" s="116" t="n">
        <x:f>Beallitasok!$B$5</x:f>
        <x:v>1.15</x:v>
      </x:c>
      <x:c r="Q17" s="113" t="n">
        <x:f>IFERROR(ROUND(O17*P17/Beallitasok!$B$7,0)*Beallitasok!$B$7,"")</x:f>
        <x:v>1800</x:v>
      </x:c>
      <x:c r="R17" s="113"/>
      <x:c r="S17" s="113" t="n">
        <x:f>IF(Q17="","",Q17+IF(R17="",0,R17))</x:f>
        <x:v>1800</x:v>
      </x:c>
      <x:c r="T17" s="113" t="n">
        <x:f>M17*Beallitasok!$B$4</x:f>
        <x:v>425000</x:v>
      </x:c>
      <x:c r="U17" s="115" t="n">
        <x:f>N17*Beallitasok!$B$4</x:f>
        <x:v>275</x:v>
      </x:c>
      <x:c r="V17" s="113"/>
      <x:c r="W17" s="113" t="str">
        <x:f>IF(V17="","",V17-J17)</x:f>
      </x:c>
      <x:c r="X17" s="19"/>
      <x:c r="Y17" s="113" t="n">
        <x:f>IF(S17="","",J17-S17)</x:f>
        <x:v>-250</x:v>
      </x:c>
      <x:c r="Z17" s="19" t="str">
        <x:f>IF(AA17="IGEN",IF(J17&lt;S17,"GÉPIGÉNY + KRITIKUS: gépdíj nélkül is alacsony a plafon","GÉPIGÉNY: a saját egységár gépdíj nélkül értendő"),IF(J17&lt;S17,"KRITIKUS: alvállalkozói plafon &lt; saját terhelt egységköltség",IF(J17&lt;S17*Beallitasok!$B$6,"SZŰK TARTALÉK: 10% alatti tartalék","OK")))</x:f>
        <x:v>KRITIKUS: alvállalkozói plafon &lt; saját terhelt egységköltség</x:v>
      </x:c>
      <x:c r="AA17" s="19" t="str">
        <x:v>NEM</x:v>
      </x:c>
      <x:c r="AB17" s="19" t="str">
        <x:v>https://www.ksh.hu/gyorstajekoztatok/epi/epi2603.html</x:v>
      </x:c>
      <x:c r="AC17" s="19" t="str">
        <x:v>2026 piaci részárak és brigádtermelékenység alapján levezetett</x:v>
      </x:c>
      <x:c r="AD17" s="19" t="str">
        <x:v>Konténer, elszállítás, lerakási díj és nagy gép nincs benne.</x:v>
      </x:c>
    </x:row>
    <x:row r="18">
      <x:c r="A18" s="19" t="str">
        <x:v>AR-0017</x:v>
      </x:c>
      <x:c r="B18" s="19" t="str">
        <x:v>02 Bontás</x:v>
      </x:c>
      <x:c r="C18" s="19" t="str">
        <x:v>Bontás és területtisztítás</x:v>
      </x:c>
      <x:c r="D18" s="19" t="str">
        <x:v>Mindegyik</x:v>
      </x:c>
      <x:c r="E18" s="19" t="str">
        <x:v>Beton járda bontása 10 cm vastagságig</x:v>
      </x:c>
      <x:c r="F18" s="19" t="str">
        <x:v>m²</x:v>
      </x:c>
      <x:c r="G18" s="113" t="n">
        <x:v>3200</x:v>
      </x:c>
      <x:c r="H18" s="113" t="n">
        <x:v>4800</x:v>
      </x:c>
      <x:c r="I18" s="114" t="n">
        <x:v>0.55</x:v>
      </x:c>
      <x:c r="J18" s="113" t="n">
        <x:f>ROUND(H18*I18/Beallitasok!$B$7,0)*Beallitasok!$B$7</x:f>
        <x:v>2650</x:v>
      </x:c>
      <x:c r="K18" s="19" t="n">
        <x:v>1</x:v>
      </x:c>
      <x:c r="L18" s="19" t="n">
        <x:v>2</x:v>
      </x:c>
      <x:c r="M18" s="113" t="n">
        <x:f>K18*Beallitasok!$B$2+L18*Beallitasok!$B$3</x:f>
        <x:v>85000</x:v>
      </x:c>
      <x:c r="N18" s="115" t="n">
        <x:v>32</x:v>
      </x:c>
      <x:c r="O18" s="113" t="n">
        <x:f>IFERROR(M18/N18,"")</x:f>
        <x:v>2656.25</x:v>
      </x:c>
      <x:c r="P18" s="116" t="n">
        <x:f>Beallitasok!$B$5</x:f>
        <x:v>1.15</x:v>
      </x:c>
      <x:c r="Q18" s="113" t="n">
        <x:f>IFERROR(ROUND(O18*P18/Beallitasok!$B$7,0)*Beallitasok!$B$7,"")</x:f>
        <x:v>3050</x:v>
      </x:c>
      <x:c r="R18" s="113"/>
      <x:c r="S18" s="113" t="n">
        <x:f>IF(Q18="","",Q18+IF(R18="",0,R18))</x:f>
        <x:v>3050</x:v>
      </x:c>
      <x:c r="T18" s="113" t="n">
        <x:f>M18*Beallitasok!$B$4</x:f>
        <x:v>425000</x:v>
      </x:c>
      <x:c r="U18" s="115" t="n">
        <x:f>N18*Beallitasok!$B$4</x:f>
        <x:v>160</x:v>
      </x:c>
      <x:c r="V18" s="113"/>
      <x:c r="W18" s="113" t="str">
        <x:f>IF(V18="","",V18-J18)</x:f>
      </x:c>
      <x:c r="X18" s="19"/>
      <x:c r="Y18" s="113" t="n">
        <x:f>IF(S18="","",J18-S18)</x:f>
        <x:v>-400</x:v>
      </x:c>
      <x:c r="Z18" s="19" t="str">
        <x:f>IF(AA18="IGEN",IF(J18&lt;S18,"GÉPIGÉNY + KRITIKUS: gépdíj nélkül is alacsony a plafon","GÉPIGÉNY: a saját egységár gépdíj nélkül értendő"),IF(J18&lt;S18,"KRITIKUS: alvállalkozói plafon &lt; saját terhelt egységköltség",IF(J18&lt;S18*Beallitasok!$B$6,"SZŰK TARTALÉK: 10% alatti tartalék","OK")))</x:f>
        <x:v>GÉPIGÉNY + KRITIKUS: gépdíj nélkül is alacsony a plafon</x:v>
      </x:c>
      <x:c r="AA18" s="19" t="str">
        <x:v>IGEN</x:v>
      </x:c>
      <x:c r="AB18" s="19" t="str">
        <x:v>https://www.ksh.hu/gyorstajekoztatok/epi/epi2603.html</x:v>
      </x:c>
      <x:c r="AC18" s="19" t="str">
        <x:v>2026 piaci részárak és brigádtermelékenység alapján levezetett</x:v>
      </x:c>
      <x:c r="AD18" s="19" t="str">
        <x:v>Konténer, elszállítás, lerakási díj és nagy gép nincs benne.</x:v>
      </x:c>
    </x:row>
    <x:row r="19">
      <x:c r="A19" s="19" t="str">
        <x:v>AR-0018</x:v>
      </x:c>
      <x:c r="B19" s="19" t="str">
        <x:v>02 Bontás</x:v>
      </x:c>
      <x:c r="C19" s="19" t="str">
        <x:v>Bontás és területtisztítás</x:v>
      </x:c>
      <x:c r="D19" s="19" t="str">
        <x:v>Mindegyik</x:v>
      </x:c>
      <x:c r="E19" s="19" t="str">
        <x:v>Vasalt betonlemez bontása 15 cm vastagságig</x:v>
      </x:c>
      <x:c r="F19" s="19" t="str">
        <x:v>m²</x:v>
      </x:c>
      <x:c r="G19" s="113" t="n">
        <x:v>6500</x:v>
      </x:c>
      <x:c r="H19" s="113" t="n">
        <x:v>9500</x:v>
      </x:c>
      <x:c r="I19" s="114" t="n">
        <x:v>0.55</x:v>
      </x:c>
      <x:c r="J19" s="113" t="n">
        <x:f>ROUND(H19*I19/Beallitasok!$B$7,0)*Beallitasok!$B$7</x:f>
        <x:v>5250</x:v>
      </x:c>
      <x:c r="K19" s="19" t="n">
        <x:v>2</x:v>
      </x:c>
      <x:c r="L19" s="19" t="n">
        <x:v>2</x:v>
      </x:c>
      <x:c r="M19" s="113" t="n">
        <x:f>K19*Beallitasok!$B$2+L19*Beallitasok!$B$3</x:f>
        <x:v>120000</x:v>
      </x:c>
      <x:c r="N19" s="115" t="n">
        <x:v>20</x:v>
      </x:c>
      <x:c r="O19" s="113" t="n">
        <x:f>IFERROR(M19/N19,"")</x:f>
        <x:v>6000</x:v>
      </x:c>
      <x:c r="P19" s="116" t="n">
        <x:f>Beallitasok!$B$5</x:f>
        <x:v>1.15</x:v>
      </x:c>
      <x:c r="Q19" s="113" t="n">
        <x:f>IFERROR(ROUND(O19*P19/Beallitasok!$B$7,0)*Beallitasok!$B$7,"")</x:f>
        <x:v>6900</x:v>
      </x:c>
      <x:c r="R19" s="113"/>
      <x:c r="S19" s="113" t="n">
        <x:f>IF(Q19="","",Q19+IF(R19="",0,R19))</x:f>
        <x:v>6900</x:v>
      </x:c>
      <x:c r="T19" s="113" t="n">
        <x:f>M19*Beallitasok!$B$4</x:f>
        <x:v>600000</x:v>
      </x:c>
      <x:c r="U19" s="115" t="n">
        <x:f>N19*Beallitasok!$B$4</x:f>
        <x:v>100</x:v>
      </x:c>
      <x:c r="V19" s="113"/>
      <x:c r="W19" s="113" t="str">
        <x:f>IF(V19="","",V19-J19)</x:f>
      </x:c>
      <x:c r="X19" s="19"/>
      <x:c r="Y19" s="113" t="n">
        <x:f>IF(S19="","",J19-S19)</x:f>
        <x:v>-1650</x:v>
      </x:c>
      <x:c r="Z19" s="19" t="str">
        <x:f>IF(AA19="IGEN",IF(J19&lt;S19,"GÉPIGÉNY + KRITIKUS: gépdíj nélkül is alacsony a plafon","GÉPIGÉNY: a saját egységár gépdíj nélkül értendő"),IF(J19&lt;S19,"KRITIKUS: alvállalkozói plafon &lt; saját terhelt egységköltség",IF(J19&lt;S19*Beallitasok!$B$6,"SZŰK TARTALÉK: 10% alatti tartalék","OK")))</x:f>
        <x:v>GÉPIGÉNY + KRITIKUS: gépdíj nélkül is alacsony a plafon</x:v>
      </x:c>
      <x:c r="AA19" s="19" t="str">
        <x:v>IGEN</x:v>
      </x:c>
      <x:c r="AB19" s="19" t="str">
        <x:v>https://www.ksh.hu/gyorstajekoztatok/epi/epi2603.html</x:v>
      </x:c>
      <x:c r="AC19" s="19" t="str">
        <x:v>2026 piaci részárak és brigádtermelékenység alapján levezetett</x:v>
      </x:c>
      <x:c r="AD19" s="19" t="str">
        <x:v>Konténer, elszállítás, lerakási díj és nagy gép nincs benne.</x:v>
      </x:c>
    </x:row>
    <x:row r="20">
      <x:c r="A20" s="19" t="str">
        <x:v>AR-0019</x:v>
      </x:c>
      <x:c r="B20" s="19" t="str">
        <x:v>02 Bontás</x:v>
      </x:c>
      <x:c r="C20" s="19" t="str">
        <x:v>Bontás és területtisztítás</x:v>
      </x:c>
      <x:c r="D20" s="19" t="str">
        <x:v>Mindegyik</x:v>
      </x:c>
      <x:c r="E20" s="19" t="str">
        <x:v>Téglafal bontása 10 cm vastagságig</x:v>
      </x:c>
      <x:c r="F20" s="19" t="str">
        <x:v>m²</x:v>
      </x:c>
      <x:c r="G20" s="113" t="n">
        <x:v>2600</x:v>
      </x:c>
      <x:c r="H20" s="113" t="n">
        <x:v>4000</x:v>
      </x:c>
      <x:c r="I20" s="114" t="n">
        <x:v>0.55</x:v>
      </x:c>
      <x:c r="J20" s="113" t="n">
        <x:f>ROUND(H20*I20/Beallitasok!$B$7,0)*Beallitasok!$B$7</x:f>
        <x:v>2200</x:v>
      </x:c>
      <x:c r="K20" s="19" t="n">
        <x:v>1</x:v>
      </x:c>
      <x:c r="L20" s="19" t="n">
        <x:v>2</x:v>
      </x:c>
      <x:c r="M20" s="113" t="n">
        <x:f>K20*Beallitasok!$B$2+L20*Beallitasok!$B$3</x:f>
        <x:v>85000</x:v>
      </x:c>
      <x:c r="N20" s="115" t="n">
        <x:v>45</x:v>
      </x:c>
      <x:c r="O20" s="113" t="n">
        <x:f>IFERROR(M20/N20,"")</x:f>
        <x:v>1888.888888888889</x:v>
      </x:c>
      <x:c r="P20" s="116" t="n">
        <x:f>Beallitasok!$B$5</x:f>
        <x:v>1.15</x:v>
      </x:c>
      <x:c r="Q20" s="113" t="n">
        <x:f>IFERROR(ROUND(O20*P20/Beallitasok!$B$7,0)*Beallitasok!$B$7,"")</x:f>
        <x:v>2150</x:v>
      </x:c>
      <x:c r="R20" s="113"/>
      <x:c r="S20" s="113" t="n">
        <x:f>IF(Q20="","",Q20+IF(R20="",0,R20))</x:f>
        <x:v>2150</x:v>
      </x:c>
      <x:c r="T20" s="113" t="n">
        <x:f>M20*Beallitasok!$B$4</x:f>
        <x:v>425000</x:v>
      </x:c>
      <x:c r="U20" s="115" t="n">
        <x:f>N20*Beallitasok!$B$4</x:f>
        <x:v>225</x:v>
      </x:c>
      <x:c r="V20" s="113"/>
      <x:c r="W20" s="113" t="str">
        <x:f>IF(V20="","",V20-J20)</x:f>
      </x:c>
      <x:c r="X20" s="19"/>
      <x:c r="Y20" s="113" t="n">
        <x:f>IF(S20="","",J20-S20)</x:f>
        <x:v>50</x:v>
      </x:c>
      <x:c r="Z20" s="19" t="str">
        <x:f>IF(AA20="IGEN",IF(J20&lt;S20,"GÉPIGÉNY + KRITIKUS: gépdíj nélkül is alacsony a plafon","GÉPIGÉNY: a saját egységár gépdíj nélkül értendő"),IF(J20&lt;S20,"KRITIKUS: alvállalkozói plafon &lt; saját terhelt egységköltség",IF(J20&lt;S20*Beallitasok!$B$6,"SZŰK TARTALÉK: 10% alatti tartalék","OK")))</x:f>
        <x:v>SZŰK TARTALÉK: 10% alatti tartalék</x:v>
      </x:c>
      <x:c r="AA20" s="19" t="str">
        <x:v>NEM</x:v>
      </x:c>
      <x:c r="AB20" s="19" t="str">
        <x:v>https://www.ksh.hu/gyorstajekoztatok/epi/epi2603.html</x:v>
      </x:c>
      <x:c r="AC20" s="19" t="str">
        <x:v>2026 piaci részárak és brigádtermelékenység alapján levezetett</x:v>
      </x:c>
      <x:c r="AD20" s="19" t="str">
        <x:v>Konténer, elszállítás, lerakási díj és nagy gép nincs benne.</x:v>
      </x:c>
    </x:row>
    <x:row r="21">
      <x:c r="A21" s="19" t="str">
        <x:v>AR-0020</x:v>
      </x:c>
      <x:c r="B21" s="19" t="str">
        <x:v>02 Bontás</x:v>
      </x:c>
      <x:c r="C21" s="19" t="str">
        <x:v>Bontás és területtisztítás</x:v>
      </x:c>
      <x:c r="D21" s="19" t="str">
        <x:v>Mindegyik</x:v>
      </x:c>
      <x:c r="E21" s="19" t="str">
        <x:v>Téglafal bontása 30 cm vastagságig</x:v>
      </x:c>
      <x:c r="F21" s="19" t="str">
        <x:v>m²</x:v>
      </x:c>
      <x:c r="G21" s="113" t="n">
        <x:v>4800</x:v>
      </x:c>
      <x:c r="H21" s="113" t="n">
        <x:v>7200</x:v>
      </x:c>
      <x:c r="I21" s="114" t="n">
        <x:v>0.55</x:v>
      </x:c>
      <x:c r="J21" s="113" t="n">
        <x:f>ROUND(H21*I21/Beallitasok!$B$7,0)*Beallitasok!$B$7</x:f>
        <x:v>3950</x:v>
      </x:c>
      <x:c r="K21" s="19" t="n">
        <x:v>2</x:v>
      </x:c>
      <x:c r="L21" s="19" t="n">
        <x:v>2</x:v>
      </x:c>
      <x:c r="M21" s="113" t="n">
        <x:f>K21*Beallitasok!$B$2+L21*Beallitasok!$B$3</x:f>
        <x:v>120000</x:v>
      </x:c>
      <x:c r="N21" s="115" t="n">
        <x:v>28</x:v>
      </x:c>
      <x:c r="O21" s="113" t="n">
        <x:f>IFERROR(M21/N21,"")</x:f>
        <x:v>4285.714285714285</x:v>
      </x:c>
      <x:c r="P21" s="116" t="n">
        <x:f>Beallitasok!$B$5</x:f>
        <x:v>1.15</x:v>
      </x:c>
      <x:c r="Q21" s="113" t="n">
        <x:f>IFERROR(ROUND(O21*P21/Beallitasok!$B$7,0)*Beallitasok!$B$7,"")</x:f>
        <x:v>4950</x:v>
      </x:c>
      <x:c r="R21" s="113"/>
      <x:c r="S21" s="113" t="n">
        <x:f>IF(Q21="","",Q21+IF(R21="",0,R21))</x:f>
        <x:v>4950</x:v>
      </x:c>
      <x:c r="T21" s="113" t="n">
        <x:f>M21*Beallitasok!$B$4</x:f>
        <x:v>600000</x:v>
      </x:c>
      <x:c r="U21" s="115" t="n">
        <x:f>N21*Beallitasok!$B$4</x:f>
        <x:v>140</x:v>
      </x:c>
      <x:c r="V21" s="113"/>
      <x:c r="W21" s="113" t="str">
        <x:f>IF(V21="","",V21-J21)</x:f>
      </x:c>
      <x:c r="X21" s="19"/>
      <x:c r="Y21" s="113" t="n">
        <x:f>IF(S21="","",J21-S21)</x:f>
        <x:v>-1000</x:v>
      </x:c>
      <x:c r="Z21" s="19" t="str">
        <x:f>IF(AA21="IGEN",IF(J21&lt;S21,"GÉPIGÉNY + KRITIKUS: gépdíj nélkül is alacsony a plafon","GÉPIGÉNY: a saját egységár gépdíj nélkül értendő"),IF(J21&lt;S21,"KRITIKUS: alvállalkozói plafon &lt; saját terhelt egységköltség",IF(J21&lt;S21*Beallitasok!$B$6,"SZŰK TARTALÉK: 10% alatti tartalék","OK")))</x:f>
        <x:v>KRITIKUS: alvállalkozói plafon &lt; saját terhelt egységköltség</x:v>
      </x:c>
      <x:c r="AA21" s="19" t="str">
        <x:v>NEM</x:v>
      </x:c>
      <x:c r="AB21" s="19" t="str">
        <x:v>https://www.ksh.hu/gyorstajekoztatok/epi/epi2603.html</x:v>
      </x:c>
      <x:c r="AC21" s="19" t="str">
        <x:v>2026 piaci részárak és brigádtermelékenység alapján levezetett</x:v>
      </x:c>
      <x:c r="AD21" s="19" t="str">
        <x:v>Konténer, elszállítás, lerakási díj és nagy gép nincs benne.</x:v>
      </x:c>
    </x:row>
    <x:row r="22">
      <x:c r="A22" s="19" t="str">
        <x:v>AR-0021</x:v>
      </x:c>
      <x:c r="B22" s="19" t="str">
        <x:v>02 Bontás</x:v>
      </x:c>
      <x:c r="C22" s="19" t="str">
        <x:v>Bontás és területtisztítás</x:v>
      </x:c>
      <x:c r="D22" s="19" t="str">
        <x:v>Mindegyik</x:v>
      </x:c>
      <x:c r="E22" s="19" t="str">
        <x:v>Vakolat leverése téglafalról</x:v>
      </x:c>
      <x:c r="F22" s="19" t="str">
        <x:v>m²</x:v>
      </x:c>
      <x:c r="G22" s="113" t="n">
        <x:v>1800</x:v>
      </x:c>
      <x:c r="H22" s="113" t="n">
        <x:v>2700</x:v>
      </x:c>
      <x:c r="I22" s="114" t="n">
        <x:v>0.55</x:v>
      </x:c>
      <x:c r="J22" s="113" t="n">
        <x:f>ROUND(H22*I22/Beallitasok!$B$7,0)*Beallitasok!$B$7</x:f>
        <x:v>1500</x:v>
      </x:c>
      <x:c r="K22" s="19" t="n">
        <x:v>1</x:v>
      </x:c>
      <x:c r="L22" s="19" t="n">
        <x:v>2</x:v>
      </x:c>
      <x:c r="M22" s="113" t="n">
        <x:f>K22*Beallitasok!$B$2+L22*Beallitasok!$B$3</x:f>
        <x:v>85000</x:v>
      </x:c>
      <x:c r="N22" s="115" t="n">
        <x:v>60</x:v>
      </x:c>
      <x:c r="O22" s="113" t="n">
        <x:f>IFERROR(M22/N22,"")</x:f>
        <x:v>1416.6666666666667</x:v>
      </x:c>
      <x:c r="P22" s="116" t="n">
        <x:f>Beallitasok!$B$5</x:f>
        <x:v>1.15</x:v>
      </x:c>
      <x:c r="Q22" s="113" t="n">
        <x:f>IFERROR(ROUND(O22*P22/Beallitasok!$B$7,0)*Beallitasok!$B$7,"")</x:f>
        <x:v>1650</x:v>
      </x:c>
      <x:c r="R22" s="113"/>
      <x:c r="S22" s="113" t="n">
        <x:f>IF(Q22="","",Q22+IF(R22="",0,R22))</x:f>
        <x:v>1650</x:v>
      </x:c>
      <x:c r="T22" s="113" t="n">
        <x:f>M22*Beallitasok!$B$4</x:f>
        <x:v>425000</x:v>
      </x:c>
      <x:c r="U22" s="115" t="n">
        <x:f>N22*Beallitasok!$B$4</x:f>
        <x:v>300</x:v>
      </x:c>
      <x:c r="V22" s="113"/>
      <x:c r="W22" s="113" t="str">
        <x:f>IF(V22="","",V22-J22)</x:f>
      </x:c>
      <x:c r="X22" s="19"/>
      <x:c r="Y22" s="113" t="n">
        <x:f>IF(S22="","",J22-S22)</x:f>
        <x:v>-150</x:v>
      </x:c>
      <x:c r="Z22" s="19" t="str">
        <x:f>IF(AA22="IGEN",IF(J22&lt;S22,"GÉPIGÉNY + KRITIKUS: gépdíj nélkül is alacsony a plafon","GÉPIGÉNY: a saját egységár gépdíj nélkül értendő"),IF(J22&lt;S22,"KRITIKUS: alvállalkozói plafon &lt; saját terhelt egységköltség",IF(J22&lt;S22*Beallitasok!$B$6,"SZŰK TARTALÉK: 10% alatti tartalék","OK")))</x:f>
        <x:v>KRITIKUS: alvállalkozói plafon &lt; saját terhelt egységköltség</x:v>
      </x:c>
      <x:c r="AA22" s="19" t="str">
        <x:v>NEM</x:v>
      </x:c>
      <x:c r="AB22" s="19" t="str">
        <x:v>https://www.ksh.hu/gyorstajekoztatok/epi/epi2603.html</x:v>
      </x:c>
      <x:c r="AC22" s="19" t="str">
        <x:v>2026 piaci részárak és brigádtermelékenység alapján levezetett</x:v>
      </x:c>
      <x:c r="AD22" s="19" t="str">
        <x:v>Konténer, elszállítás, lerakási díj és nagy gép nincs benne.</x:v>
      </x:c>
    </x:row>
    <x:row r="23">
      <x:c r="A23" s="19" t="str">
        <x:v>AR-0022</x:v>
      </x:c>
      <x:c r="B23" s="19" t="str">
        <x:v>02 Bontás</x:v>
      </x:c>
      <x:c r="C23" s="19" t="str">
        <x:v>Bontás és területtisztítás</x:v>
      </x:c>
      <x:c r="D23" s="19" t="str">
        <x:v>Mindegyik</x:v>
      </x:c>
      <x:c r="E23" s="19" t="str">
        <x:v>Hidegburkolat bontása aljzatról</x:v>
      </x:c>
      <x:c r="F23" s="19" t="str">
        <x:v>m²</x:v>
      </x:c>
      <x:c r="G23" s="113" t="n">
        <x:v>2200</x:v>
      </x:c>
      <x:c r="H23" s="113" t="n">
        <x:v>3500</x:v>
      </x:c>
      <x:c r="I23" s="114" t="n">
        <x:v>0.55</x:v>
      </x:c>
      <x:c r="J23" s="113" t="n">
        <x:f>ROUND(H23*I23/Beallitasok!$B$7,0)*Beallitasok!$B$7</x:f>
        <x:v>1950</x:v>
      </x:c>
      <x:c r="K23" s="19" t="n">
        <x:v>1</x:v>
      </x:c>
      <x:c r="L23" s="19" t="n">
        <x:v>1</x:v>
      </x:c>
      <x:c r="M23" s="113" t="n">
        <x:f>K23*Beallitasok!$B$2+L23*Beallitasok!$B$3</x:f>
        <x:v>60000</x:v>
      </x:c>
      <x:c r="N23" s="115" t="n">
        <x:v>35</x:v>
      </x:c>
      <x:c r="O23" s="113" t="n">
        <x:f>IFERROR(M23/N23,"")</x:f>
        <x:v>1714.2857142857142</x:v>
      </x:c>
      <x:c r="P23" s="116" t="n">
        <x:f>Beallitasok!$B$5</x:f>
        <x:v>1.15</x:v>
      </x:c>
      <x:c r="Q23" s="113" t="n">
        <x:f>IFERROR(ROUND(O23*P23/Beallitasok!$B$7,0)*Beallitasok!$B$7,"")</x:f>
        <x:v>1950</x:v>
      </x:c>
      <x:c r="R23" s="113"/>
      <x:c r="S23" s="113" t="n">
        <x:f>IF(Q23="","",Q23+IF(R23="",0,R23))</x:f>
        <x:v>1950</x:v>
      </x:c>
      <x:c r="T23" s="113" t="n">
        <x:f>M23*Beallitasok!$B$4</x:f>
        <x:v>300000</x:v>
      </x:c>
      <x:c r="U23" s="115" t="n">
        <x:f>N23*Beallitasok!$B$4</x:f>
        <x:v>175</x:v>
      </x:c>
      <x:c r="V23" s="113"/>
      <x:c r="W23" s="113" t="str">
        <x:f>IF(V23="","",V23-J23)</x:f>
      </x:c>
      <x:c r="X23" s="19"/>
      <x:c r="Y23" s="113" t="n">
        <x:f>IF(S23="","",J23-S23)</x:f>
        <x:v>0</x:v>
      </x:c>
      <x:c r="Z23" s="19" t="str">
        <x:f>IF(AA23="IGEN",IF(J23&lt;S23,"GÉPIGÉNY + KRITIKUS: gépdíj nélkül is alacsony a plafon","GÉPIGÉNY: a saját egységár gépdíj nélkül értendő"),IF(J23&lt;S23,"KRITIKUS: alvállalkozói plafon &lt; saját terhelt egységköltség",IF(J23&lt;S23*Beallitasok!$B$6,"SZŰK TARTALÉK: 10% alatti tartalék","OK")))</x:f>
        <x:v>SZŰK TARTALÉK: 10% alatti tartalék</x:v>
      </x:c>
      <x:c r="AA23" s="19" t="str">
        <x:v>NEM</x:v>
      </x:c>
      <x:c r="AB23" s="19" t="str">
        <x:v>https://www.ksh.hu/gyorstajekoztatok/epi/epi2603.html</x:v>
      </x:c>
      <x:c r="AC23" s="19" t="str">
        <x:v>2026 piaci részárak és brigádtermelékenység alapján levezetett</x:v>
      </x:c>
      <x:c r="AD23" s="19" t="str">
        <x:v>Konténer, elszállítás, lerakási díj és nagy gép nincs benne.</x:v>
      </x:c>
    </x:row>
    <x:row r="24">
      <x:c r="A24" s="19" t="str">
        <x:v>AR-0023</x:v>
      </x:c>
      <x:c r="B24" s="19" t="str">
        <x:v>02 Bontás</x:v>
      </x:c>
      <x:c r="C24" s="19" t="str">
        <x:v>Bontás és területtisztítás</x:v>
      </x:c>
      <x:c r="D24" s="19" t="str">
        <x:v>Mindegyik</x:v>
      </x:c>
      <x:c r="E24" s="19" t="str">
        <x:v>Csempe bontása falról</x:v>
      </x:c>
      <x:c r="F24" s="19" t="str">
        <x:v>m²</x:v>
      </x:c>
      <x:c r="G24" s="113" t="n">
        <x:v>2500</x:v>
      </x:c>
      <x:c r="H24" s="113" t="n">
        <x:v>3800</x:v>
      </x:c>
      <x:c r="I24" s="114" t="n">
        <x:v>0.55</x:v>
      </x:c>
      <x:c r="J24" s="113" t="n">
        <x:f>ROUND(H24*I24/Beallitasok!$B$7,0)*Beallitasok!$B$7</x:f>
        <x:v>2100</x:v>
      </x:c>
      <x:c r="K24" s="19" t="n">
        <x:v>1</x:v>
      </x:c>
      <x:c r="L24" s="19" t="n">
        <x:v>1</x:v>
      </x:c>
      <x:c r="M24" s="113" t="n">
        <x:f>K24*Beallitasok!$B$2+L24*Beallitasok!$B$3</x:f>
        <x:v>60000</x:v>
      </x:c>
      <x:c r="N24" s="115" t="n">
        <x:v>30</x:v>
      </x:c>
      <x:c r="O24" s="113" t="n">
        <x:f>IFERROR(M24/N24,"")</x:f>
        <x:v>2000</x:v>
      </x:c>
      <x:c r="P24" s="116" t="n">
        <x:f>Beallitasok!$B$5</x:f>
        <x:v>1.15</x:v>
      </x:c>
      <x:c r="Q24" s="113" t="n">
        <x:f>IFERROR(ROUND(O24*P24/Beallitasok!$B$7,0)*Beallitasok!$B$7,"")</x:f>
        <x:v>2300</x:v>
      </x:c>
      <x:c r="R24" s="113"/>
      <x:c r="S24" s="113" t="n">
        <x:f>IF(Q24="","",Q24+IF(R24="",0,R24))</x:f>
        <x:v>2300</x:v>
      </x:c>
      <x:c r="T24" s="113" t="n">
        <x:f>M24*Beallitasok!$B$4</x:f>
        <x:v>300000</x:v>
      </x:c>
      <x:c r="U24" s="115" t="n">
        <x:f>N24*Beallitasok!$B$4</x:f>
        <x:v>150</x:v>
      </x:c>
      <x:c r="V24" s="113"/>
      <x:c r="W24" s="113" t="str">
        <x:f>IF(V24="","",V24-J24)</x:f>
      </x:c>
      <x:c r="X24" s="19"/>
      <x:c r="Y24" s="113" t="n">
        <x:f>IF(S24="","",J24-S24)</x:f>
        <x:v>-200</x:v>
      </x:c>
      <x:c r="Z24" s="19" t="str">
        <x:f>IF(AA24="IGEN",IF(J24&lt;S24,"GÉPIGÉNY + KRITIKUS: gépdíj nélkül is alacsony a plafon","GÉPIGÉNY: a saját egységár gépdíj nélkül értendő"),IF(J24&lt;S24,"KRITIKUS: alvállalkozói plafon &lt; saját terhelt egységköltség",IF(J24&lt;S24*Beallitasok!$B$6,"SZŰK TARTALÉK: 10% alatti tartalék","OK")))</x:f>
        <x:v>KRITIKUS: alvállalkozói plafon &lt; saját terhelt egységköltség</x:v>
      </x:c>
      <x:c r="AA24" s="19" t="str">
        <x:v>NEM</x:v>
      </x:c>
      <x:c r="AB24" s="19" t="str">
        <x:v>https://www.ksh.hu/gyorstajekoztatok/epi/epi2603.html</x:v>
      </x:c>
      <x:c r="AC24" s="19" t="str">
        <x:v>2026 piaci részárak és brigádtermelékenység alapján levezetett</x:v>
      </x:c>
      <x:c r="AD24" s="19" t="str">
        <x:v>Konténer, elszállítás, lerakási díj és nagy gép nincs benne.</x:v>
      </x:c>
    </x:row>
    <x:row r="25">
      <x:c r="A25" s="19" t="str">
        <x:v>AR-0024</x:v>
      </x:c>
      <x:c r="B25" s="19" t="str">
        <x:v>02 Bontás</x:v>
      </x:c>
      <x:c r="C25" s="19" t="str">
        <x:v>Bontás és területtisztítás</x:v>
      </x:c>
      <x:c r="D25" s="19" t="str">
        <x:v>Mindegyik</x:v>
      </x:c>
      <x:c r="E25" s="19" t="str">
        <x:v>Gipszkarton válaszfal bontása</x:v>
      </x:c>
      <x:c r="F25" s="19" t="str">
        <x:v>m²</x:v>
      </x:c>
      <x:c r="G25" s="113" t="n">
        <x:v>1600</x:v>
      </x:c>
      <x:c r="H25" s="113" t="n">
        <x:v>2500</x:v>
      </x:c>
      <x:c r="I25" s="114" t="n">
        <x:v>0.55</x:v>
      </x:c>
      <x:c r="J25" s="113" t="n">
        <x:f>ROUND(H25*I25/Beallitasok!$B$7,0)*Beallitasok!$B$7</x:f>
        <x:v>1400</x:v>
      </x:c>
      <x:c r="K25" s="19" t="n">
        <x:v>1</x:v>
      </x:c>
      <x:c r="L25" s="19" t="n">
        <x:v>2</x:v>
      </x:c>
      <x:c r="M25" s="113" t="n">
        <x:f>K25*Beallitasok!$B$2+L25*Beallitasok!$B$3</x:f>
        <x:v>85000</x:v>
      </x:c>
      <x:c r="N25" s="115" t="n">
        <x:v>65</x:v>
      </x:c>
      <x:c r="O25" s="113" t="n">
        <x:f>IFERROR(M25/N25,"")</x:f>
        <x:v>1307.6923076923076</x:v>
      </x:c>
      <x:c r="P25" s="116" t="n">
        <x:f>Beallitasok!$B$5</x:f>
        <x:v>1.15</x:v>
      </x:c>
      <x:c r="Q25" s="113" t="n">
        <x:f>IFERROR(ROUND(O25*P25/Beallitasok!$B$7,0)*Beallitasok!$B$7,"")</x:f>
        <x:v>1500</x:v>
      </x:c>
      <x:c r="R25" s="113"/>
      <x:c r="S25" s="113" t="n">
        <x:f>IF(Q25="","",Q25+IF(R25="",0,R25))</x:f>
        <x:v>1500</x:v>
      </x:c>
      <x:c r="T25" s="113" t="n">
        <x:f>M25*Beallitasok!$B$4</x:f>
        <x:v>425000</x:v>
      </x:c>
      <x:c r="U25" s="115" t="n">
        <x:f>N25*Beallitasok!$B$4</x:f>
        <x:v>325</x:v>
      </x:c>
      <x:c r="V25" s="113"/>
      <x:c r="W25" s="113" t="str">
        <x:f>IF(V25="","",V25-J25)</x:f>
      </x:c>
      <x:c r="X25" s="19"/>
      <x:c r="Y25" s="113" t="n">
        <x:f>IF(S25="","",J25-S25)</x:f>
        <x:v>-100</x:v>
      </x:c>
      <x:c r="Z25" s="19" t="str">
        <x:f>IF(AA25="IGEN",IF(J25&lt;S25,"GÉPIGÉNY + KRITIKUS: gépdíj nélkül is alacsony a plafon","GÉPIGÉNY: a saját egységár gépdíj nélkül értendő"),IF(J25&lt;S25,"KRITIKUS: alvállalkozói plafon &lt; saját terhelt egységköltség",IF(J25&lt;S25*Beallitasok!$B$6,"SZŰK TARTALÉK: 10% alatti tartalék","OK")))</x:f>
        <x:v>KRITIKUS: alvállalkozói plafon &lt; saját terhelt egységköltség</x:v>
      </x:c>
      <x:c r="AA25" s="19" t="str">
        <x:v>NEM</x:v>
      </x:c>
      <x:c r="AB25" s="19" t="str">
        <x:v>https://www.ksh.hu/gyorstajekoztatok/epi/epi2603.html</x:v>
      </x:c>
      <x:c r="AC25" s="19" t="str">
        <x:v>2026 piaci részárak és brigádtermelékenység alapján levezetett</x:v>
      </x:c>
      <x:c r="AD25" s="19" t="str">
        <x:v>Konténer, elszállítás, lerakási díj és nagy gép nincs benne.</x:v>
      </x:c>
    </x:row>
    <x:row r="26">
      <x:c r="A26" s="19" t="str">
        <x:v>AR-0025</x:v>
      </x:c>
      <x:c r="B26" s="19" t="str">
        <x:v>02 Bontás</x:v>
      </x:c>
      <x:c r="C26" s="19" t="str">
        <x:v>Bontás és területtisztítás</x:v>
      </x:c>
      <x:c r="D26" s="19" t="str">
        <x:v>Mindegyik</x:v>
      </x:c>
      <x:c r="E26" s="19" t="str">
        <x:v>Tetőcserép bontása és raklapozása</x:v>
      </x:c>
      <x:c r="F26" s="19" t="str">
        <x:v>m²</x:v>
      </x:c>
      <x:c r="G26" s="113" t="n">
        <x:v>1800</x:v>
      </x:c>
      <x:c r="H26" s="113" t="n">
        <x:v>2800</x:v>
      </x:c>
      <x:c r="I26" s="114" t="n">
        <x:v>0.55</x:v>
      </x:c>
      <x:c r="J26" s="113" t="n">
        <x:f>ROUND(H26*I26/Beallitasok!$B$7,0)*Beallitasok!$B$7</x:f>
        <x:v>1550</x:v>
      </x:c>
      <x:c r="K26" s="19" t="n">
        <x:v>2</x:v>
      </x:c>
      <x:c r="L26" s="19" t="n">
        <x:v>2</x:v>
      </x:c>
      <x:c r="M26" s="113" t="n">
        <x:f>K26*Beallitasok!$B$2+L26*Beallitasok!$B$3</x:f>
        <x:v>120000</x:v>
      </x:c>
      <x:c r="N26" s="115" t="n">
        <x:v>65</x:v>
      </x:c>
      <x:c r="O26" s="113" t="n">
        <x:f>IFERROR(M26/N26,"")</x:f>
        <x:v>1846.1538461538462</x:v>
      </x:c>
      <x:c r="P26" s="116" t="n">
        <x:f>Beallitasok!$B$5</x:f>
        <x:v>1.15</x:v>
      </x:c>
      <x:c r="Q26" s="113" t="n">
        <x:f>IFERROR(ROUND(O26*P26/Beallitasok!$B$7,0)*Beallitasok!$B$7,"")</x:f>
        <x:v>2100</x:v>
      </x:c>
      <x:c r="R26" s="113"/>
      <x:c r="S26" s="113" t="n">
        <x:f>IF(Q26="","",Q26+IF(R26="",0,R26))</x:f>
        <x:v>2100</x:v>
      </x:c>
      <x:c r="T26" s="113" t="n">
        <x:f>M26*Beallitasok!$B$4</x:f>
        <x:v>600000</x:v>
      </x:c>
      <x:c r="U26" s="115" t="n">
        <x:f>N26*Beallitasok!$B$4</x:f>
        <x:v>325</x:v>
      </x:c>
      <x:c r="V26" s="113"/>
      <x:c r="W26" s="113" t="str">
        <x:f>IF(V26="","",V26-J26)</x:f>
      </x:c>
      <x:c r="X26" s="19"/>
      <x:c r="Y26" s="113" t="n">
        <x:f>IF(S26="","",J26-S26)</x:f>
        <x:v>-550</x:v>
      </x:c>
      <x:c r="Z26" s="19" t="str">
        <x:f>IF(AA26="IGEN",IF(J26&lt;S26,"GÉPIGÉNY + KRITIKUS: gépdíj nélkül is alacsony a plafon","GÉPIGÉNY: a saját egységár gépdíj nélkül értendő"),IF(J26&lt;S26,"KRITIKUS: alvállalkozói plafon &lt; saját terhelt egységköltség",IF(J26&lt;S26*Beallitasok!$B$6,"SZŰK TARTALÉK: 10% alatti tartalék","OK")))</x:f>
        <x:v>KRITIKUS: alvállalkozói plafon &lt; saját terhelt egységköltség</x:v>
      </x:c>
      <x:c r="AA26" s="19" t="str">
        <x:v>NEM</x:v>
      </x:c>
      <x:c r="AB26" s="19" t="str">
        <x:v>https://www.ksh.hu/gyorstajekoztatok/epi/epi2603.html</x:v>
      </x:c>
      <x:c r="AC26" s="19" t="str">
        <x:v>2026 piaci részárak és brigádtermelékenység alapján levezetett</x:v>
      </x:c>
      <x:c r="AD26" s="19" t="str">
        <x:v>Konténer, elszállítás, lerakási díj és nagy gép nincs benne.</x:v>
      </x:c>
    </x:row>
    <x:row r="27">
      <x:c r="A27" s="19" t="str">
        <x:v>AR-0026</x:v>
      </x:c>
      <x:c r="B27" s="19" t="str">
        <x:v>02 Bontás</x:v>
      </x:c>
      <x:c r="C27" s="19" t="str">
        <x:v>Bontás és területtisztítás</x:v>
      </x:c>
      <x:c r="D27" s="19" t="str">
        <x:v>Mindegyik</x:v>
      </x:c>
      <x:c r="E27" s="19" t="str">
        <x:v>Tetőlécezés és ellenlécezés bontása</x:v>
      </x:c>
      <x:c r="F27" s="19" t="str">
        <x:v>m²</x:v>
      </x:c>
      <x:c r="G27" s="113" t="n">
        <x:v>900</x:v>
      </x:c>
      <x:c r="H27" s="113" t="n">
        <x:v>1500</x:v>
      </x:c>
      <x:c r="I27" s="114" t="n">
        <x:v>0.55</x:v>
      </x:c>
      <x:c r="J27" s="113" t="n">
        <x:f>ROUND(H27*I27/Beallitasok!$B$7,0)*Beallitasok!$B$7</x:f>
        <x:v>850</x:v>
      </x:c>
      <x:c r="K27" s="19" t="n">
        <x:v>2</x:v>
      </x:c>
      <x:c r="L27" s="19" t="n">
        <x:v>2</x:v>
      </x:c>
      <x:c r="M27" s="113" t="n">
        <x:f>K27*Beallitasok!$B$2+L27*Beallitasok!$B$3</x:f>
        <x:v>120000</x:v>
      </x:c>
      <x:c r="N27" s="115" t="n">
        <x:v>90</x:v>
      </x:c>
      <x:c r="O27" s="113" t="n">
        <x:f>IFERROR(M27/N27,"")</x:f>
        <x:v>1333.3333333333333</x:v>
      </x:c>
      <x:c r="P27" s="116" t="n">
        <x:f>Beallitasok!$B$5</x:f>
        <x:v>1.15</x:v>
      </x:c>
      <x:c r="Q27" s="113" t="n">
        <x:f>IFERROR(ROUND(O27*P27/Beallitasok!$B$7,0)*Beallitasok!$B$7,"")</x:f>
        <x:v>1550</x:v>
      </x:c>
      <x:c r="R27" s="113"/>
      <x:c r="S27" s="113" t="n">
        <x:f>IF(Q27="","",Q27+IF(R27="",0,R27))</x:f>
        <x:v>1550</x:v>
      </x:c>
      <x:c r="T27" s="113" t="n">
        <x:f>M27*Beallitasok!$B$4</x:f>
        <x:v>600000</x:v>
      </x:c>
      <x:c r="U27" s="115" t="n">
        <x:f>N27*Beallitasok!$B$4</x:f>
        <x:v>450</x:v>
      </x:c>
      <x:c r="V27" s="113"/>
      <x:c r="W27" s="113" t="str">
        <x:f>IF(V27="","",V27-J27)</x:f>
      </x:c>
      <x:c r="X27" s="19"/>
      <x:c r="Y27" s="113" t="n">
        <x:f>IF(S27="","",J27-S27)</x:f>
        <x:v>-700</x:v>
      </x:c>
      <x:c r="Z27" s="19" t="str">
        <x:f>IF(AA27="IGEN",IF(J27&lt;S27,"GÉPIGÉNY + KRITIKUS: gépdíj nélkül is alacsony a plafon","GÉPIGÉNY: a saját egységár gépdíj nélkül értendő"),IF(J27&lt;S27,"KRITIKUS: alvállalkozói plafon &lt; saját terhelt egységköltség",IF(J27&lt;S27*Beallitasok!$B$6,"SZŰK TARTALÉK: 10% alatti tartalék","OK")))</x:f>
        <x:v>KRITIKUS: alvállalkozói plafon &lt; saját terhelt egységköltség</x:v>
      </x:c>
      <x:c r="AA27" s="19" t="str">
        <x:v>NEM</x:v>
      </x:c>
      <x:c r="AB27" s="19" t="str">
        <x:v>https://www.ksh.hu/gyorstajekoztatok/epi/epi2603.html</x:v>
      </x:c>
      <x:c r="AC27" s="19" t="str">
        <x:v>2026 piaci részárak és brigádtermelékenység alapján levezetett</x:v>
      </x:c>
      <x:c r="AD27" s="19" t="str">
        <x:v>Konténer, elszállítás, lerakási díj és nagy gép nincs benne.</x:v>
      </x:c>
    </x:row>
    <x:row r="28">
      <x:c r="A28" s="19" t="str">
        <x:v>AR-0027</x:v>
      </x:c>
      <x:c r="B28" s="19" t="str">
        <x:v>02 Bontás</x:v>
      </x:c>
      <x:c r="C28" s="19" t="str">
        <x:v>Bontás és területtisztítás</x:v>
      </x:c>
      <x:c r="D28" s="19" t="str">
        <x:v>Mindegyik</x:v>
      </x:c>
      <x:c r="E28" s="19" t="str">
        <x:v>Építési törmelék kézi konténerbe rakása</x:v>
      </x:c>
      <x:c r="F28" s="19" t="str">
        <x:v>m³</x:v>
      </x:c>
      <x:c r="G28" s="113" t="n">
        <x:v>7000</x:v>
      </x:c>
      <x:c r="H28" s="113" t="n">
        <x:v>10000</x:v>
      </x:c>
      <x:c r="I28" s="114" t="n">
        <x:v>0.6</x:v>
      </x:c>
      <x:c r="J28" s="113" t="n">
        <x:f>ROUND(H28*I28/Beallitasok!$B$7,0)*Beallitasok!$B$7</x:f>
        <x:v>6000</x:v>
      </x:c>
      <x:c r="K28" s="19" t="n">
        <x:v>0</x:v>
      </x:c>
      <x:c r="L28" s="19" t="n">
        <x:v>4</x:v>
      </x:c>
      <x:c r="M28" s="113" t="n">
        <x:f>K28*Beallitasok!$B$2+L28*Beallitasok!$B$3</x:f>
        <x:v>100000</x:v>
      </x:c>
      <x:c r="N28" s="115" t="n">
        <x:v>10</x:v>
      </x:c>
      <x:c r="O28" s="113" t="n">
        <x:f>IFERROR(M28/N28,"")</x:f>
        <x:v>10000</x:v>
      </x:c>
      <x:c r="P28" s="116" t="n">
        <x:f>Beallitasok!$B$5</x:f>
        <x:v>1.15</x:v>
      </x:c>
      <x:c r="Q28" s="113" t="n">
        <x:f>IFERROR(ROUND(O28*P28/Beallitasok!$B$7,0)*Beallitasok!$B$7,"")</x:f>
        <x:v>11500</x:v>
      </x:c>
      <x:c r="R28" s="113"/>
      <x:c r="S28" s="113" t="n">
        <x:f>IF(Q28="","",Q28+IF(R28="",0,R28))</x:f>
        <x:v>11500</x:v>
      </x:c>
      <x:c r="T28" s="113" t="n">
        <x:f>M28*Beallitasok!$B$4</x:f>
        <x:v>500000</x:v>
      </x:c>
      <x:c r="U28" s="115" t="n">
        <x:f>N28*Beallitasok!$B$4</x:f>
        <x:v>50</x:v>
      </x:c>
      <x:c r="V28" s="113"/>
      <x:c r="W28" s="113" t="str">
        <x:f>IF(V28="","",V28-J28)</x:f>
      </x:c>
      <x:c r="X28" s="19"/>
      <x:c r="Y28" s="113" t="n">
        <x:f>IF(S28="","",J28-S28)</x:f>
        <x:v>-5500</x:v>
      </x:c>
      <x:c r="Z28" s="19" t="str">
        <x:f>IF(AA28="IGEN",IF(J28&lt;S28,"GÉPIGÉNY + KRITIKUS: gépdíj nélkül is alacsony a plafon","GÉPIGÉNY: a saját egységár gépdíj nélkül értendő"),IF(J28&lt;S28,"KRITIKUS: alvállalkozói plafon &lt; saját terhelt egységköltség",IF(J28&lt;S28*Beallitasok!$B$6,"SZŰK TARTALÉK: 10% alatti tartalék","OK")))</x:f>
        <x:v>KRITIKUS: alvállalkozói plafon &lt; saját terhelt egységköltség</x:v>
      </x:c>
      <x:c r="AA28" s="19" t="str">
        <x:v>NEM</x:v>
      </x:c>
      <x:c r="AB28" s="19" t="str">
        <x:v>https://www.ksh.hu/gyorstajekoztatok/epi/epi2603.html</x:v>
      </x:c>
      <x:c r="AC28" s="19" t="str">
        <x:v>2026 piaci részárak és brigádtermelékenység alapján levezetett</x:v>
      </x:c>
      <x:c r="AD28" s="19" t="str">
        <x:v>Konténer, elszállítás, lerakási díj és nagy gép nincs benne.</x:v>
      </x:c>
    </x:row>
    <x:row r="29">
      <x:c r="A29" s="19" t="str">
        <x:v>AR-0028</x:v>
      </x:c>
      <x:c r="B29" s="19" t="str">
        <x:v>03 Földmunka</x:v>
      </x:c>
      <x:c r="C29" s="19" t="str">
        <x:v>Földkiemelés és tömörítés</x:v>
      </x:c>
      <x:c r="D29" s="19" t="str">
        <x:v>Mindegyik</x:v>
      </x:c>
      <x:c r="E29" s="19" t="str">
        <x:v>Humuszréteg gépi letermelése és telken belüli deponálása</x:v>
      </x:c>
      <x:c r="F29" s="19" t="str">
        <x:v>m³</x:v>
      </x:c>
      <x:c r="G29" s="113" t="n">
        <x:v>3500</x:v>
      </x:c>
      <x:c r="H29" s="113" t="n">
        <x:v>5000</x:v>
      </x:c>
      <x:c r="I29" s="114" t="n">
        <x:v>0.5</x:v>
      </x:c>
      <x:c r="J29" s="113" t="n">
        <x:f>ROUND(H29*I29/Beallitasok!$B$7,0)*Beallitasok!$B$7</x:f>
        <x:v>2500</x:v>
      </x:c>
      <x:c r="K29" s="19" t="n">
        <x:v>1</x:v>
      </x:c>
      <x:c r="L29" s="19" t="n">
        <x:v>1</x:v>
      </x:c>
      <x:c r="M29" s="113" t="n">
        <x:f>K29*Beallitasok!$B$2+L29*Beallitasok!$B$3</x:f>
        <x:v>60000</x:v>
      </x:c>
      <x:c r="N29" s="115" t="n">
        <x:v>45</x:v>
      </x:c>
      <x:c r="O29" s="113" t="n">
        <x:f>IFERROR(M29/N29,"")</x:f>
        <x:v>1333.3333333333333</x:v>
      </x:c>
      <x:c r="P29" s="116" t="n">
        <x:f>Beallitasok!$B$5</x:f>
        <x:v>1.15</x:v>
      </x:c>
      <x:c r="Q29" s="113" t="n">
        <x:f>IFERROR(ROUND(O29*P29/Beallitasok!$B$7,0)*Beallitasok!$B$7,"")</x:f>
        <x:v>1550</x:v>
      </x:c>
      <x:c r="R29" s="113"/>
      <x:c r="S29" s="113" t="n">
        <x:f>IF(Q29="","",Q29+IF(R29="",0,R29))</x:f>
        <x:v>1550</x:v>
      </x:c>
      <x:c r="T29" s="113" t="n">
        <x:f>M29*Beallitasok!$B$4</x:f>
        <x:v>300000</x:v>
      </x:c>
      <x:c r="U29" s="115" t="n">
        <x:f>N29*Beallitasok!$B$4</x:f>
        <x:v>225</x:v>
      </x:c>
      <x:c r="V29" s="113"/>
      <x:c r="W29" s="113" t="str">
        <x:f>IF(V29="","",V29-J29)</x:f>
      </x:c>
      <x:c r="X29" s="19"/>
      <x:c r="Y29" s="113" t="n">
        <x:f>IF(S29="","",J29-S29)</x:f>
        <x:v>950</x:v>
      </x:c>
      <x:c r="Z29" s="19" t="str">
        <x:f>IF(AA29="IGEN",IF(J29&lt;S29,"GÉPIGÉNY + KRITIKUS: gépdíj nélkül is alacsony a plafon","GÉPIGÉNY: a saját egységár gépdíj nélkül értendő"),IF(J29&lt;S29,"KRITIKUS: alvállalkozói plafon &lt; saját terhelt egységköltség",IF(J29&lt;S29*Beallitasok!$B$6,"SZŰK TARTALÉK: 10% alatti tartalék","OK")))</x:f>
        <x:v>GÉPIGÉNY: a saját egységár gépdíj nélkül értendő</x:v>
      </x:c>
      <x:c r="AA29" s="19" t="str">
        <x:v>IGEN</x:v>
      </x:c>
      <x:c r="AB29" s="19" t="str">
        <x:v>https://joszaki.hu/arak/haz-alapozas</x:v>
      </x:c>
      <x:c r="AC29" s="19" t="str">
        <x:v>2026 alapozási piaci alsó sáv és brigádtermelékenység</x:v>
      </x:c>
      <x:c r="AD29" s="19" t="str">
        <x:v>Gépdíj, fuvar és lerakási díj csak akkor része az árnak, ha a szerződés külön kimondja.</x:v>
      </x:c>
    </x:row>
    <x:row r="30">
      <x:c r="A30" s="19" t="str">
        <x:v>AR-0029</x:v>
      </x:c>
      <x:c r="B30" s="19" t="str">
        <x:v>03 Földmunka</x:v>
      </x:c>
      <x:c r="C30" s="19" t="str">
        <x:v>Földkiemelés és tömörítés</x:v>
      </x:c>
      <x:c r="D30" s="19" t="str">
        <x:v>Mindegyik</x:v>
      </x:c>
      <x:c r="E30" s="19" t="str">
        <x:v>Épület munkagödör gépi kiemelése normál talajban</x:v>
      </x:c>
      <x:c r="F30" s="19" t="str">
        <x:v>m³</x:v>
      </x:c>
      <x:c r="G30" s="113" t="n">
        <x:v>6500</x:v>
      </x:c>
      <x:c r="H30" s="113" t="n">
        <x:v>9000</x:v>
      </x:c>
      <x:c r="I30" s="114" t="n">
        <x:v>0.5</x:v>
      </x:c>
      <x:c r="J30" s="113" t="n">
        <x:f>ROUND(H30*I30/Beallitasok!$B$7,0)*Beallitasok!$B$7</x:f>
        <x:v>4500</x:v>
      </x:c>
      <x:c r="K30" s="19" t="n">
        <x:v>1</x:v>
      </x:c>
      <x:c r="L30" s="19" t="n">
        <x:v>1</x:v>
      </x:c>
      <x:c r="M30" s="113" t="n">
        <x:f>K30*Beallitasok!$B$2+L30*Beallitasok!$B$3</x:f>
        <x:v>60000</x:v>
      </x:c>
      <x:c r="N30" s="115" t="n">
        <x:v>35</x:v>
      </x:c>
      <x:c r="O30" s="113" t="n">
        <x:f>IFERROR(M30/N30,"")</x:f>
        <x:v>1714.2857142857142</x:v>
      </x:c>
      <x:c r="P30" s="116" t="n">
        <x:f>Beallitasok!$B$5</x:f>
        <x:v>1.15</x:v>
      </x:c>
      <x:c r="Q30" s="113" t="n">
        <x:f>IFERROR(ROUND(O30*P30/Beallitasok!$B$7,0)*Beallitasok!$B$7,"")</x:f>
        <x:v>1950</x:v>
      </x:c>
      <x:c r="R30" s="113"/>
      <x:c r="S30" s="113" t="n">
        <x:f>IF(Q30="","",Q30+IF(R30="",0,R30))</x:f>
        <x:v>1950</x:v>
      </x:c>
      <x:c r="T30" s="113" t="n">
        <x:f>M30*Beallitasok!$B$4</x:f>
        <x:v>300000</x:v>
      </x:c>
      <x:c r="U30" s="115" t="n">
        <x:f>N30*Beallitasok!$B$4</x:f>
        <x:v>175</x:v>
      </x:c>
      <x:c r="V30" s="113"/>
      <x:c r="W30" s="113" t="str">
        <x:f>IF(V30="","",V30-J30)</x:f>
      </x:c>
      <x:c r="X30" s="19"/>
      <x:c r="Y30" s="113" t="n">
        <x:f>IF(S30="","",J30-S30)</x:f>
        <x:v>2550</x:v>
      </x:c>
      <x:c r="Z30" s="19" t="str">
        <x:f>IF(AA30="IGEN",IF(J30&lt;S30,"GÉPIGÉNY + KRITIKUS: gépdíj nélkül is alacsony a plafon","GÉPIGÉNY: a saját egységár gépdíj nélkül értendő"),IF(J30&lt;S30,"KRITIKUS: alvállalkozói plafon &lt; saját terhelt egységköltség",IF(J30&lt;S30*Beallitasok!$B$6,"SZŰK TARTALÉK: 10% alatti tartalék","OK")))</x:f>
        <x:v>GÉPIGÉNY: a saját egységár gépdíj nélkül értendő</x:v>
      </x:c>
      <x:c r="AA30" s="19" t="str">
        <x:v>IGEN</x:v>
      </x:c>
      <x:c r="AB30" s="19" t="str">
        <x:v>https://joszaki.hu/arak/haz-alapozas</x:v>
      </x:c>
      <x:c r="AC30" s="19" t="str">
        <x:v>2026 alapozási piaci alsó sáv és brigádtermelékenység</x:v>
      </x:c>
      <x:c r="AD30" s="19" t="str">
        <x:v>Gépdíj, fuvar és lerakási díj csak akkor része az árnak, ha a szerződés külön kimondja.</x:v>
      </x:c>
    </x:row>
    <x:row r="31">
      <x:c r="A31" s="19" t="str">
        <x:v>AR-0030</x:v>
      </x:c>
      <x:c r="B31" s="19" t="str">
        <x:v>03 Földmunka</x:v>
      </x:c>
      <x:c r="C31" s="19" t="str">
        <x:v>Földkiemelés és tömörítés</x:v>
      </x:c>
      <x:c r="D31" s="19" t="str">
        <x:v>Mindegyik</x:v>
      </x:c>
      <x:c r="E31" s="19" t="str">
        <x:v>Sávalap gépi kiemelése normál talajban</x:v>
      </x:c>
      <x:c r="F31" s="19" t="str">
        <x:v>m³</x:v>
      </x:c>
      <x:c r="G31" s="113" t="n">
        <x:v>7500</x:v>
      </x:c>
      <x:c r="H31" s="113" t="n">
        <x:v>10000</x:v>
      </x:c>
      <x:c r="I31" s="114" t="n">
        <x:v>0.5</x:v>
      </x:c>
      <x:c r="J31" s="113" t="n">
        <x:f>ROUND(H31*I31/Beallitasok!$B$7,0)*Beallitasok!$B$7</x:f>
        <x:v>5000</x:v>
      </x:c>
      <x:c r="K31" s="19" t="n">
        <x:v>1</x:v>
      </x:c>
      <x:c r="L31" s="19" t="n">
        <x:v>1</x:v>
      </x:c>
      <x:c r="M31" s="113" t="n">
        <x:f>K31*Beallitasok!$B$2+L31*Beallitasok!$B$3</x:f>
        <x:v>60000</x:v>
      </x:c>
      <x:c r="N31" s="115" t="n">
        <x:v>28</x:v>
      </x:c>
      <x:c r="O31" s="113" t="n">
        <x:f>IFERROR(M31/N31,"")</x:f>
        <x:v>2142.8571428571427</x:v>
      </x:c>
      <x:c r="P31" s="116" t="n">
        <x:f>Beallitasok!$B$5</x:f>
        <x:v>1.15</x:v>
      </x:c>
      <x:c r="Q31" s="113" t="n">
        <x:f>IFERROR(ROUND(O31*P31/Beallitasok!$B$7,0)*Beallitasok!$B$7,"")</x:f>
        <x:v>2450</x:v>
      </x:c>
      <x:c r="R31" s="113"/>
      <x:c r="S31" s="113" t="n">
        <x:f>IF(Q31="","",Q31+IF(R31="",0,R31))</x:f>
        <x:v>2450</x:v>
      </x:c>
      <x:c r="T31" s="113" t="n">
        <x:f>M31*Beallitasok!$B$4</x:f>
        <x:v>300000</x:v>
      </x:c>
      <x:c r="U31" s="115" t="n">
        <x:f>N31*Beallitasok!$B$4</x:f>
        <x:v>140</x:v>
      </x:c>
      <x:c r="V31" s="113"/>
      <x:c r="W31" s="113" t="str">
        <x:f>IF(V31="","",V31-J31)</x:f>
      </x:c>
      <x:c r="X31" s="19"/>
      <x:c r="Y31" s="113" t="n">
        <x:f>IF(S31="","",J31-S31)</x:f>
        <x:v>2550</x:v>
      </x:c>
      <x:c r="Z31" s="19" t="str">
        <x:f>IF(AA31="IGEN",IF(J31&lt;S31,"GÉPIGÉNY + KRITIKUS: gépdíj nélkül is alacsony a plafon","GÉPIGÉNY: a saját egységár gépdíj nélkül értendő"),IF(J31&lt;S31,"KRITIKUS: alvállalkozói plafon &lt; saját terhelt egységköltség",IF(J31&lt;S31*Beallitasok!$B$6,"SZŰK TARTALÉK: 10% alatti tartalék","OK")))</x:f>
        <x:v>GÉPIGÉNY: a saját egységár gépdíj nélkül értendő</x:v>
      </x:c>
      <x:c r="AA31" s="19" t="str">
        <x:v>IGEN</x:v>
      </x:c>
      <x:c r="AB31" s="19" t="str">
        <x:v>https://joszaki.hu/arak/haz-alapozas</x:v>
      </x:c>
      <x:c r="AC31" s="19" t="str">
        <x:v>2026 alapozási piaci alsó sáv és brigádtermelékenység</x:v>
      </x:c>
      <x:c r="AD31" s="19" t="str">
        <x:v>Gépdíj, fuvar és lerakási díj csak akkor része az árnak, ha a szerződés külön kimondja.</x:v>
      </x:c>
    </x:row>
    <x:row r="32">
      <x:c r="A32" s="19" t="str">
        <x:v>AR-0031</x:v>
      </x:c>
      <x:c r="B32" s="19" t="str">
        <x:v>03 Földmunka</x:v>
      </x:c>
      <x:c r="C32" s="19" t="str">
        <x:v>Földkiemelés és tömörítés</x:v>
      </x:c>
      <x:c r="D32" s="19" t="str">
        <x:v>Mindegyik</x:v>
      </x:c>
      <x:c r="E32" s="19" t="str">
        <x:v>Kézi földkiemelés alapárokban</x:v>
      </x:c>
      <x:c r="F32" s="19" t="str">
        <x:v>m³</x:v>
      </x:c>
      <x:c r="G32" s="113" t="n">
        <x:v>15000</x:v>
      </x:c>
      <x:c r="H32" s="113" t="n">
        <x:v>22000</x:v>
      </x:c>
      <x:c r="I32" s="114" t="n">
        <x:v>0.55</x:v>
      </x:c>
      <x:c r="J32" s="113" t="n">
        <x:f>ROUND(H32*I32/Beallitasok!$B$7,0)*Beallitasok!$B$7</x:f>
        <x:v>12100</x:v>
      </x:c>
      <x:c r="K32" s="19" t="n">
        <x:v>0</x:v>
      </x:c>
      <x:c r="L32" s="19" t="n">
        <x:v>4</x:v>
      </x:c>
      <x:c r="M32" s="113" t="n">
        <x:f>K32*Beallitasok!$B$2+L32*Beallitasok!$B$3</x:f>
        <x:v>100000</x:v>
      </x:c>
      <x:c r="N32" s="115" t="n">
        <x:v>6</x:v>
      </x:c>
      <x:c r="O32" s="113" t="n">
        <x:f>IFERROR(M32/N32,"")</x:f>
        <x:v>16666.666666666668</x:v>
      </x:c>
      <x:c r="P32" s="116" t="n">
        <x:f>Beallitasok!$B$5</x:f>
        <x:v>1.15</x:v>
      </x:c>
      <x:c r="Q32" s="113" t="n">
        <x:f>IFERROR(ROUND(O32*P32/Beallitasok!$B$7,0)*Beallitasok!$B$7,"")</x:f>
        <x:v>19150</x:v>
      </x:c>
      <x:c r="R32" s="113"/>
      <x:c r="S32" s="113" t="n">
        <x:f>IF(Q32="","",Q32+IF(R32="",0,R32))</x:f>
        <x:v>19150</x:v>
      </x:c>
      <x:c r="T32" s="113" t="n">
        <x:f>M32*Beallitasok!$B$4</x:f>
        <x:v>500000</x:v>
      </x:c>
      <x:c r="U32" s="115" t="n">
        <x:f>N32*Beallitasok!$B$4</x:f>
        <x:v>30</x:v>
      </x:c>
      <x:c r="V32" s="113"/>
      <x:c r="W32" s="113" t="str">
        <x:f>IF(V32="","",V32-J32)</x:f>
      </x:c>
      <x:c r="X32" s="19"/>
      <x:c r="Y32" s="113" t="n">
        <x:f>IF(S32="","",J32-S32)</x:f>
        <x:v>-7050</x:v>
      </x:c>
      <x:c r="Z32" s="19" t="str">
        <x:f>IF(AA32="IGEN",IF(J32&lt;S32,"GÉPIGÉNY + KRITIKUS: gépdíj nélkül is alacsony a plafon","GÉPIGÉNY: a saját egységár gépdíj nélkül értendő"),IF(J32&lt;S32,"KRITIKUS: alvállalkozói plafon &lt; saját terhelt egységköltség",IF(J32&lt;S32*Beallitasok!$B$6,"SZŰK TARTALÉK: 10% alatti tartalék","OK")))</x:f>
        <x:v>KRITIKUS: alvállalkozói plafon &lt; saját terhelt egységköltség</x:v>
      </x:c>
      <x:c r="AA32" s="19" t="str">
        <x:v>NEM</x:v>
      </x:c>
      <x:c r="AB32" s="19" t="str">
        <x:v>https://joszaki.hu/arak/haz-alapozas</x:v>
      </x:c>
      <x:c r="AC32" s="19" t="str">
        <x:v>2026 alapozási piaci alsó sáv és brigádtermelékenység</x:v>
      </x:c>
      <x:c r="AD32" s="19" t="str">
        <x:v>Gépdíj, fuvar és lerakási díj csak akkor része az árnak, ha a szerződés külön kimondja.</x:v>
      </x:c>
    </x:row>
    <x:row r="33">
      <x:c r="A33" s="19" t="str">
        <x:v>AR-0032</x:v>
      </x:c>
      <x:c r="B33" s="19" t="str">
        <x:v>03 Földmunka</x:v>
      </x:c>
      <x:c r="C33" s="19" t="str">
        <x:v>Földkiemelés és tömörítés</x:v>
      </x:c>
      <x:c r="D33" s="19" t="str">
        <x:v>Mindegyik</x:v>
      </x:c>
      <x:c r="E33" s="19" t="str">
        <x:v>Közműárok gépi kiemelése 0,8 m mélységig</x:v>
      </x:c>
      <x:c r="F33" s="19" t="str">
        <x:v>fm</x:v>
      </x:c>
      <x:c r="G33" s="113" t="n">
        <x:v>3500</x:v>
      </x:c>
      <x:c r="H33" s="113" t="n">
        <x:v>5000</x:v>
      </x:c>
      <x:c r="I33" s="114" t="n">
        <x:v>0.5</x:v>
      </x:c>
      <x:c r="J33" s="113" t="n">
        <x:f>ROUND(H33*I33/Beallitasok!$B$7,0)*Beallitasok!$B$7</x:f>
        <x:v>2500</x:v>
      </x:c>
      <x:c r="K33" s="19" t="n">
        <x:v>1</x:v>
      </x:c>
      <x:c r="L33" s="19" t="n">
        <x:v>1</x:v>
      </x:c>
      <x:c r="M33" s="113" t="n">
        <x:f>K33*Beallitasok!$B$2+L33*Beallitasok!$B$3</x:f>
        <x:v>60000</x:v>
      </x:c>
      <x:c r="N33" s="115" t="n">
        <x:v>45</x:v>
      </x:c>
      <x:c r="O33" s="113" t="n">
        <x:f>IFERROR(M33/N33,"")</x:f>
        <x:v>1333.3333333333333</x:v>
      </x:c>
      <x:c r="P33" s="116" t="n">
        <x:f>Beallitasok!$B$5</x:f>
        <x:v>1.15</x:v>
      </x:c>
      <x:c r="Q33" s="113" t="n">
        <x:f>IFERROR(ROUND(O33*P33/Beallitasok!$B$7,0)*Beallitasok!$B$7,"")</x:f>
        <x:v>1550</x:v>
      </x:c>
      <x:c r="R33" s="113"/>
      <x:c r="S33" s="113" t="n">
        <x:f>IF(Q33="","",Q33+IF(R33="",0,R33))</x:f>
        <x:v>1550</x:v>
      </x:c>
      <x:c r="T33" s="113" t="n">
        <x:f>M33*Beallitasok!$B$4</x:f>
        <x:v>300000</x:v>
      </x:c>
      <x:c r="U33" s="115" t="n">
        <x:f>N33*Beallitasok!$B$4</x:f>
        <x:v>225</x:v>
      </x:c>
      <x:c r="V33" s="113"/>
      <x:c r="W33" s="113" t="str">
        <x:f>IF(V33="","",V33-J33)</x:f>
      </x:c>
      <x:c r="X33" s="19"/>
      <x:c r="Y33" s="113" t="n">
        <x:f>IF(S33="","",J33-S33)</x:f>
        <x:v>950</x:v>
      </x:c>
      <x:c r="Z33" s="19" t="str">
        <x:f>IF(AA33="IGEN",IF(J33&lt;S33,"GÉPIGÉNY + KRITIKUS: gépdíj nélkül is alacsony a plafon","GÉPIGÉNY: a saját egységár gépdíj nélkül értendő"),IF(J33&lt;S33,"KRITIKUS: alvállalkozói plafon &lt; saját terhelt egységköltség",IF(J33&lt;S33*Beallitasok!$B$6,"SZŰK TARTALÉK: 10% alatti tartalék","OK")))</x:f>
        <x:v>GÉPIGÉNY: a saját egységár gépdíj nélkül értendő</x:v>
      </x:c>
      <x:c r="AA33" s="19" t="str">
        <x:v>IGEN</x:v>
      </x:c>
      <x:c r="AB33" s="19" t="str">
        <x:v>https://joszaki.hu/arak/haz-alapozas</x:v>
      </x:c>
      <x:c r="AC33" s="19" t="str">
        <x:v>2026 alapozási piaci alsó sáv és brigádtermelékenység</x:v>
      </x:c>
      <x:c r="AD33" s="19" t="str">
        <x:v>Gépdíj, fuvar és lerakási díj csak akkor része az árnak, ha a szerződés külön kimondja.</x:v>
      </x:c>
    </x:row>
    <x:row r="34">
      <x:c r="A34" s="19" t="str">
        <x:v>AR-0033</x:v>
      </x:c>
      <x:c r="B34" s="19" t="str">
        <x:v>03 Földmunka</x:v>
      </x:c>
      <x:c r="C34" s="19" t="str">
        <x:v>Földkiemelés és tömörítés</x:v>
      </x:c>
      <x:c r="D34" s="19" t="str">
        <x:v>Mindegyik</x:v>
      </x:c>
      <x:c r="E34" s="19" t="str">
        <x:v>Közműárok kézi kiemelése közműkeresztezésnél</x:v>
      </x:c>
      <x:c r="F34" s="19" t="str">
        <x:v>fm</x:v>
      </x:c>
      <x:c r="G34" s="113" t="n">
        <x:v>6500</x:v>
      </x:c>
      <x:c r="H34" s="113" t="n">
        <x:v>9500</x:v>
      </x:c>
      <x:c r="I34" s="114" t="n">
        <x:v>0.55</x:v>
      </x:c>
      <x:c r="J34" s="113" t="n">
        <x:f>ROUND(H34*I34/Beallitasok!$B$7,0)*Beallitasok!$B$7</x:f>
        <x:v>5250</x:v>
      </x:c>
      <x:c r="K34" s="19" t="n">
        <x:v>1</x:v>
      </x:c>
      <x:c r="L34" s="19" t="n">
        <x:v>2</x:v>
      </x:c>
      <x:c r="M34" s="113" t="n">
        <x:f>K34*Beallitasok!$B$2+L34*Beallitasok!$B$3</x:f>
        <x:v>85000</x:v>
      </x:c>
      <x:c r="N34" s="115" t="n">
        <x:v>18</x:v>
      </x:c>
      <x:c r="O34" s="113" t="n">
        <x:f>IFERROR(M34/N34,"")</x:f>
        <x:v>4722.222222222223</x:v>
      </x:c>
      <x:c r="P34" s="116" t="n">
        <x:f>Beallitasok!$B$5</x:f>
        <x:v>1.15</x:v>
      </x:c>
      <x:c r="Q34" s="113" t="n">
        <x:f>IFERROR(ROUND(O34*P34/Beallitasok!$B$7,0)*Beallitasok!$B$7,"")</x:f>
        <x:v>5450</x:v>
      </x:c>
      <x:c r="R34" s="113"/>
      <x:c r="S34" s="113" t="n">
        <x:f>IF(Q34="","",Q34+IF(R34="",0,R34))</x:f>
        <x:v>5450</x:v>
      </x:c>
      <x:c r="T34" s="113" t="n">
        <x:f>M34*Beallitasok!$B$4</x:f>
        <x:v>425000</x:v>
      </x:c>
      <x:c r="U34" s="115" t="n">
        <x:f>N34*Beallitasok!$B$4</x:f>
        <x:v>90</x:v>
      </x:c>
      <x:c r="V34" s="113"/>
      <x:c r="W34" s="113" t="str">
        <x:f>IF(V34="","",V34-J34)</x:f>
      </x:c>
      <x:c r="X34" s="19"/>
      <x:c r="Y34" s="113" t="n">
        <x:f>IF(S34="","",J34-S34)</x:f>
        <x:v>-200</x:v>
      </x:c>
      <x:c r="Z34" s="19" t="str">
        <x:f>IF(AA34="IGEN",IF(J34&lt;S34,"GÉPIGÉNY + KRITIKUS: gépdíj nélkül is alacsony a plafon","GÉPIGÉNY: a saját egységár gépdíj nélkül értendő"),IF(J34&lt;S34,"KRITIKUS: alvállalkozói plafon &lt; saját terhelt egységköltség",IF(J34&lt;S34*Beallitasok!$B$6,"SZŰK TARTALÉK: 10% alatti tartalék","OK")))</x:f>
        <x:v>KRITIKUS: alvállalkozói plafon &lt; saját terhelt egységköltség</x:v>
      </x:c>
      <x:c r="AA34" s="19" t="str">
        <x:v>NEM</x:v>
      </x:c>
      <x:c r="AB34" s="19" t="str">
        <x:v>https://joszaki.hu/arak/haz-alapozas</x:v>
      </x:c>
      <x:c r="AC34" s="19" t="str">
        <x:v>2026 alapozási piaci alsó sáv és brigádtermelékenység</x:v>
      </x:c>
      <x:c r="AD34" s="19" t="str">
        <x:v>Gépdíj, fuvar és lerakási díj csak akkor része az árnak, ha a szerződés külön kimondja.</x:v>
      </x:c>
    </x:row>
    <x:row r="35">
      <x:c r="A35" s="19" t="str">
        <x:v>AR-0034</x:v>
      </x:c>
      <x:c r="B35" s="19" t="str">
        <x:v>03 Földmunka</x:v>
      </x:c>
      <x:c r="C35" s="19" t="str">
        <x:v>Földkiemelés és tömörítés</x:v>
      </x:c>
      <x:c r="D35" s="19" t="str">
        <x:v>Mindegyik</x:v>
      </x:c>
      <x:c r="E35" s="19" t="str">
        <x:v>Tükörkészítés kézi finomplanírozással</x:v>
      </x:c>
      <x:c r="F35" s="19" t="str">
        <x:v>m²</x:v>
      </x:c>
      <x:c r="G35" s="113" t="n">
        <x:v>1200</x:v>
      </x:c>
      <x:c r="H35" s="113" t="n">
        <x:v>1800</x:v>
      </x:c>
      <x:c r="I35" s="114" t="n">
        <x:v>0.55</x:v>
      </x:c>
      <x:c r="J35" s="113" t="n">
        <x:f>ROUND(H35*I35/Beallitasok!$B$7,0)*Beallitasok!$B$7</x:f>
        <x:v>1000</x:v>
      </x:c>
      <x:c r="K35" s="19" t="n">
        <x:v>1</x:v>
      </x:c>
      <x:c r="L35" s="19" t="n">
        <x:v>2</x:v>
      </x:c>
      <x:c r="M35" s="113" t="n">
        <x:f>K35*Beallitasok!$B$2+L35*Beallitasok!$B$3</x:f>
        <x:v>85000</x:v>
      </x:c>
      <x:c r="N35" s="115" t="n">
        <x:v>90</x:v>
      </x:c>
      <x:c r="O35" s="113" t="n">
        <x:f>IFERROR(M35/N35,"")</x:f>
        <x:v>944.4444444444445</x:v>
      </x:c>
      <x:c r="P35" s="116" t="n">
        <x:f>Beallitasok!$B$5</x:f>
        <x:v>1.15</x:v>
      </x:c>
      <x:c r="Q35" s="113" t="n">
        <x:f>IFERROR(ROUND(O35*P35/Beallitasok!$B$7,0)*Beallitasok!$B$7,"")</x:f>
        <x:v>1100</x:v>
      </x:c>
      <x:c r="R35" s="113"/>
      <x:c r="S35" s="113" t="n">
        <x:f>IF(Q35="","",Q35+IF(R35="",0,R35))</x:f>
        <x:v>1100</x:v>
      </x:c>
      <x:c r="T35" s="113" t="n">
        <x:f>M35*Beallitasok!$B$4</x:f>
        <x:v>425000</x:v>
      </x:c>
      <x:c r="U35" s="115" t="n">
        <x:f>N35*Beallitasok!$B$4</x:f>
        <x:v>450</x:v>
      </x:c>
      <x:c r="V35" s="113"/>
      <x:c r="W35" s="113" t="str">
        <x:f>IF(V35="","",V35-J35)</x:f>
      </x:c>
      <x:c r="X35" s="19"/>
      <x:c r="Y35" s="113" t="n">
        <x:f>IF(S35="","",J35-S35)</x:f>
        <x:v>-100</x:v>
      </x:c>
      <x:c r="Z35" s="19" t="str">
        <x:f>IF(AA35="IGEN",IF(J35&lt;S35,"GÉPIGÉNY + KRITIKUS: gépdíj nélkül is alacsony a plafon","GÉPIGÉNY: a saját egységár gépdíj nélkül értendő"),IF(J35&lt;S35,"KRITIKUS: alvállalkozói plafon &lt; saját terhelt egységköltség",IF(J35&lt;S35*Beallitasok!$B$6,"SZŰK TARTALÉK: 10% alatti tartalék","OK")))</x:f>
        <x:v>KRITIKUS: alvállalkozói plafon &lt; saját terhelt egységköltség</x:v>
      </x:c>
      <x:c r="AA35" s="19" t="str">
        <x:v>NEM</x:v>
      </x:c>
      <x:c r="AB35" s="19" t="str">
        <x:v>https://joszaki.hu/arak/haz-alapozas</x:v>
      </x:c>
      <x:c r="AC35" s="19" t="str">
        <x:v>2026 alapozási piaci alsó sáv és brigádtermelékenység</x:v>
      </x:c>
      <x:c r="AD35" s="19" t="str">
        <x:v>Gépdíj, fuvar és lerakási díj csak akkor része az árnak, ha a szerződés külön kimondja.</x:v>
      </x:c>
    </x:row>
    <x:row r="36">
      <x:c r="A36" s="19" t="str">
        <x:v>AR-0035</x:v>
      </x:c>
      <x:c r="B36" s="19" t="str">
        <x:v>03 Földmunka</x:v>
      </x:c>
      <x:c r="C36" s="19" t="str">
        <x:v>Földkiemelés és tömörítés</x:v>
      </x:c>
      <x:c r="D36" s="19" t="str">
        <x:v>Mindegyik</x:v>
      </x:c>
      <x:c r="E36" s="19" t="str">
        <x:v>Termett talaj tömörítése vibrolappal</x:v>
      </x:c>
      <x:c r="F36" s="19" t="str">
        <x:v>m²</x:v>
      </x:c>
      <x:c r="G36" s="113" t="n">
        <x:v>900</x:v>
      </x:c>
      <x:c r="H36" s="113" t="n">
        <x:v>1400</x:v>
      </x:c>
      <x:c r="I36" s="114" t="n">
        <x:v>0.55</x:v>
      </x:c>
      <x:c r="J36" s="113" t="n">
        <x:f>ROUND(H36*I36/Beallitasok!$B$7,0)*Beallitasok!$B$7</x:f>
        <x:v>750</x:v>
      </x:c>
      <x:c r="K36" s="19" t="n">
        <x:v>1</x:v>
      </x:c>
      <x:c r="L36" s="19" t="n">
        <x:v>1</x:v>
      </x:c>
      <x:c r="M36" s="113" t="n">
        <x:f>K36*Beallitasok!$B$2+L36*Beallitasok!$B$3</x:f>
        <x:v>60000</x:v>
      </x:c>
      <x:c r="N36" s="115" t="n">
        <x:v>160</x:v>
      </x:c>
      <x:c r="O36" s="113" t="n">
        <x:f>IFERROR(M36/N36,"")</x:f>
        <x:v>375</x:v>
      </x:c>
      <x:c r="P36" s="116" t="n">
        <x:f>Beallitasok!$B$5</x:f>
        <x:v>1.15</x:v>
      </x:c>
      <x:c r="Q36" s="113" t="n">
        <x:f>IFERROR(ROUND(O36*P36/Beallitasok!$B$7,0)*Beallitasok!$B$7,"")</x:f>
        <x:v>450</x:v>
      </x:c>
      <x:c r="R36" s="113"/>
      <x:c r="S36" s="113" t="n">
        <x:f>IF(Q36="","",Q36+IF(R36="",0,R36))</x:f>
        <x:v>450</x:v>
      </x:c>
      <x:c r="T36" s="113" t="n">
        <x:f>M36*Beallitasok!$B$4</x:f>
        <x:v>300000</x:v>
      </x:c>
      <x:c r="U36" s="115" t="n">
        <x:f>N36*Beallitasok!$B$4</x:f>
        <x:v>800</x:v>
      </x:c>
      <x:c r="V36" s="113"/>
      <x:c r="W36" s="113" t="str">
        <x:f>IF(V36="","",V36-J36)</x:f>
      </x:c>
      <x:c r="X36" s="19"/>
      <x:c r="Y36" s="113" t="n">
        <x:f>IF(S36="","",J36-S36)</x:f>
        <x:v>300</x:v>
      </x:c>
      <x:c r="Z36" s="19" t="str">
        <x:f>IF(AA36="IGEN",IF(J36&lt;S36,"GÉPIGÉNY + KRITIKUS: gépdíj nélkül is alacsony a plafon","GÉPIGÉNY: a saját egységár gépdíj nélkül értendő"),IF(J36&lt;S36,"KRITIKUS: alvállalkozói plafon &lt; saját terhelt egységköltség",IF(J36&lt;S36*Beallitasok!$B$6,"SZŰK TARTALÉK: 10% alatti tartalék","OK")))</x:f>
        <x:v>GÉPIGÉNY: a saját egységár gépdíj nélkül értendő</x:v>
      </x:c>
      <x:c r="AA36" s="19" t="str">
        <x:v>IGEN</x:v>
      </x:c>
      <x:c r="AB36" s="19" t="str">
        <x:v>https://joszaki.hu/arak/haz-alapozas</x:v>
      </x:c>
      <x:c r="AC36" s="19" t="str">
        <x:v>2026 alapozási piaci alsó sáv és brigádtermelékenység</x:v>
      </x:c>
      <x:c r="AD36" s="19" t="str">
        <x:v>Gépdíj, fuvar és lerakási díj csak akkor része az árnak, ha a szerződés külön kimondja.</x:v>
      </x:c>
    </x:row>
    <x:row r="37">
      <x:c r="A37" s="19" t="str">
        <x:v>AR-0036</x:v>
      </x:c>
      <x:c r="B37" s="19" t="str">
        <x:v>03 Földmunka</x:v>
      </x:c>
      <x:c r="C37" s="19" t="str">
        <x:v>Földkiemelés és tömörítés</x:v>
      </x:c>
      <x:c r="D37" s="19" t="str">
        <x:v>Mindegyik</x:v>
      </x:c>
      <x:c r="E37" s="19" t="str">
        <x:v>Töltőanyag terítése 20 cm-es rétegben</x:v>
      </x:c>
      <x:c r="F37" s="19" t="str">
        <x:v>m³</x:v>
      </x:c>
      <x:c r="G37" s="113" t="n">
        <x:v>4500</x:v>
      </x:c>
      <x:c r="H37" s="113" t="n">
        <x:v>6500</x:v>
      </x:c>
      <x:c r="I37" s="114" t="n">
        <x:v>0.5</x:v>
      </x:c>
      <x:c r="J37" s="113" t="n">
        <x:f>ROUND(H37*I37/Beallitasok!$B$7,0)*Beallitasok!$B$7</x:f>
        <x:v>3250</x:v>
      </x:c>
      <x:c r="K37" s="19" t="n">
        <x:v>1</x:v>
      </x:c>
      <x:c r="L37" s="19" t="n">
        <x:v>2</x:v>
      </x:c>
      <x:c r="M37" s="113" t="n">
        <x:f>K37*Beallitasok!$B$2+L37*Beallitasok!$B$3</x:f>
        <x:v>85000</x:v>
      </x:c>
      <x:c r="N37" s="115" t="n">
        <x:v>35</x:v>
      </x:c>
      <x:c r="O37" s="113" t="n">
        <x:f>IFERROR(M37/N37,"")</x:f>
        <x:v>2428.5714285714284</x:v>
      </x:c>
      <x:c r="P37" s="116" t="n">
        <x:f>Beallitasok!$B$5</x:f>
        <x:v>1.15</x:v>
      </x:c>
      <x:c r="Q37" s="113" t="n">
        <x:f>IFERROR(ROUND(O37*P37/Beallitasok!$B$7,0)*Beallitasok!$B$7,"")</x:f>
        <x:v>2800</x:v>
      </x:c>
      <x:c r="R37" s="113"/>
      <x:c r="S37" s="113" t="n">
        <x:f>IF(Q37="","",Q37+IF(R37="",0,R37))</x:f>
        <x:v>2800</x:v>
      </x:c>
      <x:c r="T37" s="113" t="n">
        <x:f>M37*Beallitasok!$B$4</x:f>
        <x:v>425000</x:v>
      </x:c>
      <x:c r="U37" s="115" t="n">
        <x:f>N37*Beallitasok!$B$4</x:f>
        <x:v>175</x:v>
      </x:c>
      <x:c r="V37" s="113"/>
      <x:c r="W37" s="113" t="str">
        <x:f>IF(V37="","",V37-J37)</x:f>
      </x:c>
      <x:c r="X37" s="19"/>
      <x:c r="Y37" s="113" t="n">
        <x:f>IF(S37="","",J37-S37)</x:f>
        <x:v>450</x:v>
      </x:c>
      <x:c r="Z37" s="19" t="str">
        <x:f>IF(AA37="IGEN",IF(J37&lt;S37,"GÉPIGÉNY + KRITIKUS: gépdíj nélkül is alacsony a plafon","GÉPIGÉNY: a saját egységár gépdíj nélkül értendő"),IF(J37&lt;S37,"KRITIKUS: alvállalkozói plafon &lt; saját terhelt egységköltség",IF(J37&lt;S37*Beallitasok!$B$6,"SZŰK TARTALÉK: 10% alatti tartalék","OK")))</x:f>
        <x:v>GÉPIGÉNY: a saját egységár gépdíj nélkül értendő</x:v>
      </x:c>
      <x:c r="AA37" s="19" t="str">
        <x:v>IGEN</x:v>
      </x:c>
      <x:c r="AB37" s="19" t="str">
        <x:v>https://joszaki.hu/arak/haz-alapozas</x:v>
      </x:c>
      <x:c r="AC37" s="19" t="str">
        <x:v>2026 alapozási piaci alsó sáv és brigádtermelékenység</x:v>
      </x:c>
      <x:c r="AD37" s="19" t="str">
        <x:v>Gépdíj, fuvar és lerakási díj csak akkor része az árnak, ha a szerződés külön kimondja.</x:v>
      </x:c>
    </x:row>
    <x:row r="38">
      <x:c r="A38" s="19" t="str">
        <x:v>AR-0037</x:v>
      </x:c>
      <x:c r="B38" s="19" t="str">
        <x:v>03 Földmunka</x:v>
      </x:c>
      <x:c r="C38" s="19" t="str">
        <x:v>Földkiemelés és tömörítés</x:v>
      </x:c>
      <x:c r="D38" s="19" t="str">
        <x:v>Mindegyik</x:v>
      </x:c>
      <x:c r="E38" s="19" t="str">
        <x:v>Töltőanyag réteges tömörítése</x:v>
      </x:c>
      <x:c r="F38" s="19" t="str">
        <x:v>m³</x:v>
      </x:c>
      <x:c r="G38" s="113" t="n">
        <x:v>4200</x:v>
      </x:c>
      <x:c r="H38" s="113" t="n">
        <x:v>6200</x:v>
      </x:c>
      <x:c r="I38" s="114" t="n">
        <x:v>0.5</x:v>
      </x:c>
      <x:c r="J38" s="113" t="n">
        <x:f>ROUND(H38*I38/Beallitasok!$B$7,0)*Beallitasok!$B$7</x:f>
        <x:v>3100</x:v>
      </x:c>
      <x:c r="K38" s="19" t="n">
        <x:v>1</x:v>
      </x:c>
      <x:c r="L38" s="19" t="n">
        <x:v>1</x:v>
      </x:c>
      <x:c r="M38" s="113" t="n">
        <x:f>K38*Beallitasok!$B$2+L38*Beallitasok!$B$3</x:f>
        <x:v>60000</x:v>
      </x:c>
      <x:c r="N38" s="115" t="n">
        <x:v>40</x:v>
      </x:c>
      <x:c r="O38" s="113" t="n">
        <x:f>IFERROR(M38/N38,"")</x:f>
        <x:v>1500</x:v>
      </x:c>
      <x:c r="P38" s="116" t="n">
        <x:f>Beallitasok!$B$5</x:f>
        <x:v>1.15</x:v>
      </x:c>
      <x:c r="Q38" s="113" t="n">
        <x:f>IFERROR(ROUND(O38*P38/Beallitasok!$B$7,0)*Beallitasok!$B$7,"")</x:f>
        <x:v>1700</x:v>
      </x:c>
      <x:c r="R38" s="113"/>
      <x:c r="S38" s="113" t="n">
        <x:f>IF(Q38="","",Q38+IF(R38="",0,R38))</x:f>
        <x:v>1700</x:v>
      </x:c>
      <x:c r="T38" s="113" t="n">
        <x:f>M38*Beallitasok!$B$4</x:f>
        <x:v>300000</x:v>
      </x:c>
      <x:c r="U38" s="115" t="n">
        <x:f>N38*Beallitasok!$B$4</x:f>
        <x:v>200</x:v>
      </x:c>
      <x:c r="V38" s="113"/>
      <x:c r="W38" s="113" t="str">
        <x:f>IF(V38="","",V38-J38)</x:f>
      </x:c>
      <x:c r="X38" s="19"/>
      <x:c r="Y38" s="113" t="n">
        <x:f>IF(S38="","",J38-S38)</x:f>
        <x:v>1400</x:v>
      </x:c>
      <x:c r="Z38" s="19" t="str">
        <x:f>IF(AA38="IGEN",IF(J38&lt;S38,"GÉPIGÉNY + KRITIKUS: gépdíj nélkül is alacsony a plafon","GÉPIGÉNY: a saját egységár gépdíj nélkül értendő"),IF(J38&lt;S38,"KRITIKUS: alvállalkozói plafon &lt; saját terhelt egységköltség",IF(J38&lt;S38*Beallitasok!$B$6,"SZŰK TARTALÉK: 10% alatti tartalék","OK")))</x:f>
        <x:v>GÉPIGÉNY: a saját egységár gépdíj nélkül értendő</x:v>
      </x:c>
      <x:c r="AA38" s="19" t="str">
        <x:v>IGEN</x:v>
      </x:c>
      <x:c r="AB38" s="19" t="str">
        <x:v>https://joszaki.hu/arak/haz-alapozas</x:v>
      </x:c>
      <x:c r="AC38" s="19" t="str">
        <x:v>2026 alapozási piaci alsó sáv és brigádtermelékenység</x:v>
      </x:c>
      <x:c r="AD38" s="19" t="str">
        <x:v>Gépdíj, fuvar és lerakási díj csak akkor része az árnak, ha a szerződés külön kimondja.</x:v>
      </x:c>
    </x:row>
    <x:row r="39">
      <x:c r="A39" s="19" t="str">
        <x:v>AR-0038</x:v>
      </x:c>
      <x:c r="B39" s="19" t="str">
        <x:v>03 Földmunka</x:v>
      </x:c>
      <x:c r="C39" s="19" t="str">
        <x:v>Földkiemelés és tömörítés</x:v>
      </x:c>
      <x:c r="D39" s="19" t="str">
        <x:v>Mindegyik</x:v>
      </x:c>
      <x:c r="E39" s="19" t="str">
        <x:v>Kulékavics drénréteg terítése</x:v>
      </x:c>
      <x:c r="F39" s="19" t="str">
        <x:v>m³</x:v>
      </x:c>
      <x:c r="G39" s="113" t="n">
        <x:v>5500</x:v>
      </x:c>
      <x:c r="H39" s="113" t="n">
        <x:v>8000</x:v>
      </x:c>
      <x:c r="I39" s="114" t="n">
        <x:v>0.55</x:v>
      </x:c>
      <x:c r="J39" s="113" t="n">
        <x:f>ROUND(H39*I39/Beallitasok!$B$7,0)*Beallitasok!$B$7</x:f>
        <x:v>4400</x:v>
      </x:c>
      <x:c r="K39" s="19" t="n">
        <x:v>1</x:v>
      </x:c>
      <x:c r="L39" s="19" t="n">
        <x:v>2</x:v>
      </x:c>
      <x:c r="M39" s="113" t="n">
        <x:f>K39*Beallitasok!$B$2+L39*Beallitasok!$B$3</x:f>
        <x:v>85000</x:v>
      </x:c>
      <x:c r="N39" s="115" t="n">
        <x:v>25</x:v>
      </x:c>
      <x:c r="O39" s="113" t="n">
        <x:f>IFERROR(M39/N39,"")</x:f>
        <x:v>3400</x:v>
      </x:c>
      <x:c r="P39" s="116" t="n">
        <x:f>Beallitasok!$B$5</x:f>
        <x:v>1.15</x:v>
      </x:c>
      <x:c r="Q39" s="113" t="n">
        <x:f>IFERROR(ROUND(O39*P39/Beallitasok!$B$7,0)*Beallitasok!$B$7,"")</x:f>
        <x:v>3900</x:v>
      </x:c>
      <x:c r="R39" s="113"/>
      <x:c r="S39" s="113" t="n">
        <x:f>IF(Q39="","",Q39+IF(R39="",0,R39))</x:f>
        <x:v>3900</x:v>
      </x:c>
      <x:c r="T39" s="113" t="n">
        <x:f>M39*Beallitasok!$B$4</x:f>
        <x:v>425000</x:v>
      </x:c>
      <x:c r="U39" s="115" t="n">
        <x:f>N39*Beallitasok!$B$4</x:f>
        <x:v>125</x:v>
      </x:c>
      <x:c r="V39" s="113"/>
      <x:c r="W39" s="113" t="str">
        <x:f>IF(V39="","",V39-J39)</x:f>
      </x:c>
      <x:c r="X39" s="19"/>
      <x:c r="Y39" s="113" t="n">
        <x:f>IF(S39="","",J39-S39)</x:f>
        <x:v>500</x:v>
      </x:c>
      <x:c r="Z39" s="19" t="str">
        <x:f>IF(AA39="IGEN",IF(J39&lt;S39,"GÉPIGÉNY + KRITIKUS: gépdíj nélkül is alacsony a plafon","GÉPIGÉNY: a saját egységár gépdíj nélkül értendő"),IF(J39&lt;S39,"KRITIKUS: alvállalkozói plafon &lt; saját terhelt egységköltség",IF(J39&lt;S39*Beallitasok!$B$6,"SZŰK TARTALÉK: 10% alatti tartalék","OK")))</x:f>
        <x:v>GÉPIGÉNY: a saját egységár gépdíj nélkül értendő</x:v>
      </x:c>
      <x:c r="AA39" s="19" t="str">
        <x:v>IGEN</x:v>
      </x:c>
      <x:c r="AB39" s="19" t="str">
        <x:v>https://joszaki.hu/arak/haz-alapozas</x:v>
      </x:c>
      <x:c r="AC39" s="19" t="str">
        <x:v>2026 alapozási piaci alsó sáv és brigádtermelékenység</x:v>
      </x:c>
      <x:c r="AD39" s="19" t="str">
        <x:v>Gépdíj, fuvar és lerakási díj csak akkor része az árnak, ha a szerződés külön kimondja.</x:v>
      </x:c>
    </x:row>
    <x:row r="40">
      <x:c r="A40" s="19" t="str">
        <x:v>AR-0039</x:v>
      </x:c>
      <x:c r="B40" s="19" t="str">
        <x:v>03 Földmunka</x:v>
      </x:c>
      <x:c r="C40" s="19" t="str">
        <x:v>Földkiemelés és tömörítés</x:v>
      </x:c>
      <x:c r="D40" s="19" t="str">
        <x:v>Mindegyik</x:v>
      </x:c>
      <x:c r="E40" s="19" t="str">
        <x:v>Geotextília fektetése átlapolással</x:v>
      </x:c>
      <x:c r="F40" s="19" t="str">
        <x:v>m²</x:v>
      </x:c>
      <x:c r="G40" s="113" t="n">
        <x:v>700</x:v>
      </x:c>
      <x:c r="H40" s="113" t="n">
        <x:v>1100</x:v>
      </x:c>
      <x:c r="I40" s="114" t="n">
        <x:v>0.55</x:v>
      </x:c>
      <x:c r="J40" s="113" t="n">
        <x:f>ROUND(H40*I40/Beallitasok!$B$7,0)*Beallitasok!$B$7</x:f>
        <x:v>600</x:v>
      </x:c>
      <x:c r="K40" s="19" t="n">
        <x:v>1</x:v>
      </x:c>
      <x:c r="L40" s="19" t="n">
        <x:v>1</x:v>
      </x:c>
      <x:c r="M40" s="113" t="n">
        <x:f>K40*Beallitasok!$B$2+L40*Beallitasok!$B$3</x:f>
        <x:v>60000</x:v>
      </x:c>
      <x:c r="N40" s="115" t="n">
        <x:v>180</x:v>
      </x:c>
      <x:c r="O40" s="113" t="n">
        <x:f>IFERROR(M40/N40,"")</x:f>
        <x:v>333.3333333333333</x:v>
      </x:c>
      <x:c r="P40" s="116" t="n">
        <x:f>Beallitasok!$B$5</x:f>
        <x:v>1.15</x:v>
      </x:c>
      <x:c r="Q40" s="113" t="n">
        <x:f>IFERROR(ROUND(O40*P40/Beallitasok!$B$7,0)*Beallitasok!$B$7,"")</x:f>
        <x:v>400</x:v>
      </x:c>
      <x:c r="R40" s="113"/>
      <x:c r="S40" s="113" t="n">
        <x:f>IF(Q40="","",Q40+IF(R40="",0,R40))</x:f>
        <x:v>400</x:v>
      </x:c>
      <x:c r="T40" s="113" t="n">
        <x:f>M40*Beallitasok!$B$4</x:f>
        <x:v>300000</x:v>
      </x:c>
      <x:c r="U40" s="115" t="n">
        <x:f>N40*Beallitasok!$B$4</x:f>
        <x:v>900</x:v>
      </x:c>
      <x:c r="V40" s="113"/>
      <x:c r="W40" s="113" t="str">
        <x:f>IF(V40="","",V40-J40)</x:f>
      </x:c>
      <x:c r="X40" s="19"/>
      <x:c r="Y40" s="113" t="n">
        <x:f>IF(S40="","",J40-S40)</x:f>
        <x:v>200</x:v>
      </x:c>
      <x:c r="Z40" s="19" t="str">
        <x:f>IF(AA40="IGEN",IF(J40&lt;S40,"GÉPIGÉNY + KRITIKUS: gépdíj nélkül is alacsony a plafon","GÉPIGÉNY: a saját egységár gépdíj nélkül értendő"),IF(J40&lt;S40,"KRITIKUS: alvállalkozói plafon &lt; saját terhelt egységköltség",IF(J40&lt;S40*Beallitasok!$B$6,"SZŰK TARTALÉK: 10% alatti tartalék","OK")))</x:f>
        <x:v>OK</x:v>
      </x:c>
      <x:c r="AA40" s="19" t="str">
        <x:v>NEM</x:v>
      </x:c>
      <x:c r="AB40" s="19" t="str">
        <x:v>https://joszaki.hu/arak/haz-alapozas</x:v>
      </x:c>
      <x:c r="AC40" s="19" t="str">
        <x:v>2026 alapozási piaci alsó sáv és brigádtermelékenység</x:v>
      </x:c>
      <x:c r="AD40" s="19" t="str">
        <x:v>Gépdíj, fuvar és lerakási díj csak akkor része az árnak, ha a szerződés külön kimondja.</x:v>
      </x:c>
    </x:row>
    <x:row r="41">
      <x:c r="A41" s="19" t="str">
        <x:v>AR-0040</x:v>
      </x:c>
      <x:c r="B41" s="19" t="str">
        <x:v>03 Földmunka</x:v>
      </x:c>
      <x:c r="C41" s="19" t="str">
        <x:v>Földkiemelés és tömörítés</x:v>
      </x:c>
      <x:c r="D41" s="19" t="str">
        <x:v>Mindegyik</x:v>
      </x:c>
      <x:c r="E41" s="19" t="str">
        <x:v>Dréncső fektetése szintezéssel</x:v>
      </x:c>
      <x:c r="F41" s="19" t="str">
        <x:v>fm</x:v>
      </x:c>
      <x:c r="G41" s="113" t="n">
        <x:v>2800</x:v>
      </x:c>
      <x:c r="H41" s="113" t="n">
        <x:v>4200</x:v>
      </x:c>
      <x:c r="I41" s="114" t="n">
        <x:v>0.55</x:v>
      </x:c>
      <x:c r="J41" s="113" t="n">
        <x:f>ROUND(H41*I41/Beallitasok!$B$7,0)*Beallitasok!$B$7</x:f>
        <x:v>2300</x:v>
      </x:c>
      <x:c r="K41" s="19" t="n">
        <x:v>1</x:v>
      </x:c>
      <x:c r="L41" s="19" t="n">
        <x:v>1</x:v>
      </x:c>
      <x:c r="M41" s="113" t="n">
        <x:f>K41*Beallitasok!$B$2+L41*Beallitasok!$B$3</x:f>
        <x:v>60000</x:v>
      </x:c>
      <x:c r="N41" s="115" t="n">
        <x:v>55</x:v>
      </x:c>
      <x:c r="O41" s="113" t="n">
        <x:f>IFERROR(M41/N41,"")</x:f>
        <x:v>1090.909090909091</x:v>
      </x:c>
      <x:c r="P41" s="116" t="n">
        <x:f>Beallitasok!$B$5</x:f>
        <x:v>1.15</x:v>
      </x:c>
      <x:c r="Q41" s="113" t="n">
        <x:f>IFERROR(ROUND(O41*P41/Beallitasok!$B$7,0)*Beallitasok!$B$7,"")</x:f>
        <x:v>1250</x:v>
      </x:c>
      <x:c r="R41" s="113"/>
      <x:c r="S41" s="113" t="n">
        <x:f>IF(Q41="","",Q41+IF(R41="",0,R41))</x:f>
        <x:v>1250</x:v>
      </x:c>
      <x:c r="T41" s="113" t="n">
        <x:f>M41*Beallitasok!$B$4</x:f>
        <x:v>300000</x:v>
      </x:c>
      <x:c r="U41" s="115" t="n">
        <x:f>N41*Beallitasok!$B$4</x:f>
        <x:v>275</x:v>
      </x:c>
      <x:c r="V41" s="113"/>
      <x:c r="W41" s="113" t="str">
        <x:f>IF(V41="","",V41-J41)</x:f>
      </x:c>
      <x:c r="X41" s="19"/>
      <x:c r="Y41" s="113" t="n">
        <x:f>IF(S41="","",J41-S41)</x:f>
        <x:v>1050</x:v>
      </x:c>
      <x:c r="Z41" s="19" t="str">
        <x:f>IF(AA41="IGEN",IF(J41&lt;S41,"GÉPIGÉNY + KRITIKUS: gépdíj nélkül is alacsony a plafon","GÉPIGÉNY: a saját egységár gépdíj nélkül értendő"),IF(J41&lt;S41,"KRITIKUS: alvállalkozói plafon &lt; saját terhelt egységköltség",IF(J41&lt;S41*Beallitasok!$B$6,"SZŰK TARTALÉK: 10% alatti tartalék","OK")))</x:f>
        <x:v>OK</x:v>
      </x:c>
      <x:c r="AA41" s="19" t="str">
        <x:v>NEM</x:v>
      </x:c>
      <x:c r="AB41" s="19" t="str">
        <x:v>https://joszaki.hu/arak/haz-alapozas</x:v>
      </x:c>
      <x:c r="AC41" s="19" t="str">
        <x:v>2026 alapozási piaci alsó sáv és brigádtermelékenység</x:v>
      </x:c>
      <x:c r="AD41" s="19" t="str">
        <x:v>Gépdíj, fuvar és lerakási díj csak akkor része az árnak, ha a szerződés külön kimondja.</x:v>
      </x:c>
    </x:row>
    <x:row r="42">
      <x:c r="A42" s="19" t="str">
        <x:v>AR-0041</x:v>
      </x:c>
      <x:c r="B42" s="19" t="str">
        <x:v>03 Földmunka</x:v>
      </x:c>
      <x:c r="C42" s="19" t="str">
        <x:v>Földkiemelés és tömörítés</x:v>
      </x:c>
      <x:c r="D42" s="19" t="str">
        <x:v>Mindegyik</x:v>
      </x:c>
      <x:c r="E42" s="19" t="str">
        <x:v>Dréncső kavicságyazása és geotextil visszahajtása</x:v>
      </x:c>
      <x:c r="F42" s="19" t="str">
        <x:v>fm</x:v>
      </x:c>
      <x:c r="G42" s="113" t="n">
        <x:v>4200</x:v>
      </x:c>
      <x:c r="H42" s="113" t="n">
        <x:v>6200</x:v>
      </x:c>
      <x:c r="I42" s="114" t="n">
        <x:v>0.55</x:v>
      </x:c>
      <x:c r="J42" s="113" t="n">
        <x:f>ROUND(H42*I42/Beallitasok!$B$7,0)*Beallitasok!$B$7</x:f>
        <x:v>3400</x:v>
      </x:c>
      <x:c r="K42" s="19" t="n">
        <x:v>1</x:v>
      </x:c>
      <x:c r="L42" s="19" t="n">
        <x:v>2</x:v>
      </x:c>
      <x:c r="M42" s="113" t="n">
        <x:f>K42*Beallitasok!$B$2+L42*Beallitasok!$B$3</x:f>
        <x:v>85000</x:v>
      </x:c>
      <x:c r="N42" s="115" t="n">
        <x:v>32</x:v>
      </x:c>
      <x:c r="O42" s="113" t="n">
        <x:f>IFERROR(M42/N42,"")</x:f>
        <x:v>2656.25</x:v>
      </x:c>
      <x:c r="P42" s="116" t="n">
        <x:f>Beallitasok!$B$5</x:f>
        <x:v>1.15</x:v>
      </x:c>
      <x:c r="Q42" s="113" t="n">
        <x:f>IFERROR(ROUND(O42*P42/Beallitasok!$B$7,0)*Beallitasok!$B$7,"")</x:f>
        <x:v>3050</x:v>
      </x:c>
      <x:c r="R42" s="113"/>
      <x:c r="S42" s="113" t="n">
        <x:f>IF(Q42="","",Q42+IF(R42="",0,R42))</x:f>
        <x:v>3050</x:v>
      </x:c>
      <x:c r="T42" s="113" t="n">
        <x:f>M42*Beallitasok!$B$4</x:f>
        <x:v>425000</x:v>
      </x:c>
      <x:c r="U42" s="115" t="n">
        <x:f>N42*Beallitasok!$B$4</x:f>
        <x:v>160</x:v>
      </x:c>
      <x:c r="V42" s="113"/>
      <x:c r="W42" s="113" t="str">
        <x:f>IF(V42="","",V42-J42)</x:f>
      </x:c>
      <x:c r="X42" s="19"/>
      <x:c r="Y42" s="113" t="n">
        <x:f>IF(S42="","",J42-S42)</x:f>
        <x:v>350</x:v>
      </x:c>
      <x:c r="Z42" s="19" t="str">
        <x:f>IF(AA42="IGEN",IF(J42&lt;S42,"GÉPIGÉNY + KRITIKUS: gépdíj nélkül is alacsony a plafon","GÉPIGÉNY: a saját egységár gépdíj nélkül értendő"),IF(J42&lt;S42,"KRITIKUS: alvállalkozói plafon &lt; saját terhelt egységköltség",IF(J42&lt;S42*Beallitasok!$B$6,"SZŰK TARTALÉK: 10% alatti tartalék","OK")))</x:f>
        <x:v>OK</x:v>
      </x:c>
      <x:c r="AA42" s="19" t="str">
        <x:v>NEM</x:v>
      </x:c>
      <x:c r="AB42" s="19" t="str">
        <x:v>https://joszaki.hu/arak/haz-alapozas</x:v>
      </x:c>
      <x:c r="AC42" s="19" t="str">
        <x:v>2026 alapozási piaci alsó sáv és brigádtermelékenység</x:v>
      </x:c>
      <x:c r="AD42" s="19" t="str">
        <x:v>Gépdíj, fuvar és lerakási díj csak akkor része az árnak, ha a szerződés külön kimondja.</x:v>
      </x:c>
    </x:row>
    <x:row r="43">
      <x:c r="A43" s="19" t="str">
        <x:v>AR-0042</x:v>
      </x:c>
      <x:c r="B43" s="19" t="str">
        <x:v>03 Földmunka</x:v>
      </x:c>
      <x:c r="C43" s="19" t="str">
        <x:v>Földkiemelés és tömörítés</x:v>
      </x:c>
      <x:c r="D43" s="19" t="str">
        <x:v>Mindegyik</x:v>
      </x:c>
      <x:c r="E43" s="19" t="str">
        <x:v>Munkagödör visszatöltése réteges tömörítéssel</x:v>
      </x:c>
      <x:c r="F43" s="19" t="str">
        <x:v>m³</x:v>
      </x:c>
      <x:c r="G43" s="113" t="n">
        <x:v>7500</x:v>
      </x:c>
      <x:c r="H43" s="113" t="n">
        <x:v>10500</x:v>
      </x:c>
      <x:c r="I43" s="114" t="n">
        <x:v>0.5</x:v>
      </x:c>
      <x:c r="J43" s="113" t="n">
        <x:f>ROUND(H43*I43/Beallitasok!$B$7,0)*Beallitasok!$B$7</x:f>
        <x:v>5250</x:v>
      </x:c>
      <x:c r="K43" s="19" t="n">
        <x:v>1</x:v>
      </x:c>
      <x:c r="L43" s="19" t="n">
        <x:v>2</x:v>
      </x:c>
      <x:c r="M43" s="113" t="n">
        <x:f>K43*Beallitasok!$B$2+L43*Beallitasok!$B$3</x:f>
        <x:v>85000</x:v>
      </x:c>
      <x:c r="N43" s="115" t="n">
        <x:v>25</x:v>
      </x:c>
      <x:c r="O43" s="113" t="n">
        <x:f>IFERROR(M43/N43,"")</x:f>
        <x:v>3400</x:v>
      </x:c>
      <x:c r="P43" s="116" t="n">
        <x:f>Beallitasok!$B$5</x:f>
        <x:v>1.15</x:v>
      </x:c>
      <x:c r="Q43" s="113" t="n">
        <x:f>IFERROR(ROUND(O43*P43/Beallitasok!$B$7,0)*Beallitasok!$B$7,"")</x:f>
        <x:v>3900</x:v>
      </x:c>
      <x:c r="R43" s="113"/>
      <x:c r="S43" s="113" t="n">
        <x:f>IF(Q43="","",Q43+IF(R43="",0,R43))</x:f>
        <x:v>3900</x:v>
      </x:c>
      <x:c r="T43" s="113" t="n">
        <x:f>M43*Beallitasok!$B$4</x:f>
        <x:v>425000</x:v>
      </x:c>
      <x:c r="U43" s="115" t="n">
        <x:f>N43*Beallitasok!$B$4</x:f>
        <x:v>125</x:v>
      </x:c>
      <x:c r="V43" s="113"/>
      <x:c r="W43" s="113" t="str">
        <x:f>IF(V43="","",V43-J43)</x:f>
      </x:c>
      <x:c r="X43" s="19"/>
      <x:c r="Y43" s="113" t="n">
        <x:f>IF(S43="","",J43-S43)</x:f>
        <x:v>1350</x:v>
      </x:c>
      <x:c r="Z43" s="19" t="str">
        <x:f>IF(AA43="IGEN",IF(J43&lt;S43,"GÉPIGÉNY + KRITIKUS: gépdíj nélkül is alacsony a plafon","GÉPIGÉNY: a saját egységár gépdíj nélkül értendő"),IF(J43&lt;S43,"KRITIKUS: alvállalkozói plafon &lt; saját terhelt egységköltség",IF(J43&lt;S43*Beallitasok!$B$6,"SZŰK TARTALÉK: 10% alatti tartalék","OK")))</x:f>
        <x:v>GÉPIGÉNY: a saját egységár gépdíj nélkül értendő</x:v>
      </x:c>
      <x:c r="AA43" s="19" t="str">
        <x:v>IGEN</x:v>
      </x:c>
      <x:c r="AB43" s="19" t="str">
        <x:v>https://joszaki.hu/arak/haz-alapozas</x:v>
      </x:c>
      <x:c r="AC43" s="19" t="str">
        <x:v>2026 alapozási piaci alsó sáv és brigádtermelékenység</x:v>
      </x:c>
      <x:c r="AD43" s="19" t="str">
        <x:v>Gépdíj, fuvar és lerakási díj csak akkor része az árnak, ha a szerződés külön kimondja.</x:v>
      </x:c>
    </x:row>
    <x:row r="44">
      <x:c r="A44" s="19" t="str">
        <x:v>AR-0043</x:v>
      </x:c>
      <x:c r="B44" s="19" t="str">
        <x:v>03 Földmunka</x:v>
      </x:c>
      <x:c r="C44" s="19" t="str">
        <x:v>Földkiemelés és tömörítés</x:v>
      </x:c>
      <x:c r="D44" s="19" t="str">
        <x:v>Mindegyik</x:v>
      </x:c>
      <x:c r="E44" s="19" t="str">
        <x:v>Felesleges föld gépi rakodása teherautóra</x:v>
      </x:c>
      <x:c r="F44" s="19" t="str">
        <x:v>m³</x:v>
      </x:c>
      <x:c r="G44" s="113" t="n">
        <x:v>2500</x:v>
      </x:c>
      <x:c r="H44" s="113" t="n">
        <x:v>3800</x:v>
      </x:c>
      <x:c r="I44" s="114" t="n">
        <x:v>0.5</x:v>
      </x:c>
      <x:c r="J44" s="113" t="n">
        <x:f>ROUND(H44*I44/Beallitasok!$B$7,0)*Beallitasok!$B$7</x:f>
        <x:v>1900</x:v>
      </x:c>
      <x:c r="K44" s="19" t="n">
        <x:v>1</x:v>
      </x:c>
      <x:c r="L44" s="19" t="n">
        <x:v>1</x:v>
      </x:c>
      <x:c r="M44" s="113" t="n">
        <x:f>K44*Beallitasok!$B$2+L44*Beallitasok!$B$3</x:f>
        <x:v>60000</x:v>
      </x:c>
      <x:c r="N44" s="115" t="n">
        <x:v>75</x:v>
      </x:c>
      <x:c r="O44" s="113" t="n">
        <x:f>IFERROR(M44/N44,"")</x:f>
        <x:v>800</x:v>
      </x:c>
      <x:c r="P44" s="116" t="n">
        <x:f>Beallitasok!$B$5</x:f>
        <x:v>1.15</x:v>
      </x:c>
      <x:c r="Q44" s="113" t="n">
        <x:f>IFERROR(ROUND(O44*P44/Beallitasok!$B$7,0)*Beallitasok!$B$7,"")</x:f>
        <x:v>900</x:v>
      </x:c>
      <x:c r="R44" s="113"/>
      <x:c r="S44" s="113" t="n">
        <x:f>IF(Q44="","",Q44+IF(R44="",0,R44))</x:f>
        <x:v>900</x:v>
      </x:c>
      <x:c r="T44" s="113" t="n">
        <x:f>M44*Beallitasok!$B$4</x:f>
        <x:v>300000</x:v>
      </x:c>
      <x:c r="U44" s="115" t="n">
        <x:f>N44*Beallitasok!$B$4</x:f>
        <x:v>375</x:v>
      </x:c>
      <x:c r="V44" s="113"/>
      <x:c r="W44" s="113" t="str">
        <x:f>IF(V44="","",V44-J44)</x:f>
      </x:c>
      <x:c r="X44" s="19"/>
      <x:c r="Y44" s="113" t="n">
        <x:f>IF(S44="","",J44-S44)</x:f>
        <x:v>1000</x:v>
      </x:c>
      <x:c r="Z44" s="19" t="str">
        <x:f>IF(AA44="IGEN",IF(J44&lt;S44,"GÉPIGÉNY + KRITIKUS: gépdíj nélkül is alacsony a plafon","GÉPIGÉNY: a saját egységár gépdíj nélkül értendő"),IF(J44&lt;S44,"KRITIKUS: alvállalkozói plafon &lt; saját terhelt egységköltség",IF(J44&lt;S44*Beallitasok!$B$6,"SZŰK TARTALÉK: 10% alatti tartalék","OK")))</x:f>
        <x:v>GÉPIGÉNY: a saját egységár gépdíj nélkül értendő</x:v>
      </x:c>
      <x:c r="AA44" s="19" t="str">
        <x:v>IGEN</x:v>
      </x:c>
      <x:c r="AB44" s="19" t="str">
        <x:v>https://joszaki.hu/arak/haz-alapozas</x:v>
      </x:c>
      <x:c r="AC44" s="19" t="str">
        <x:v>2026 alapozási piaci alsó sáv és brigádtermelékenység</x:v>
      </x:c>
      <x:c r="AD44" s="19" t="str">
        <x:v>Gépdíj, fuvar és lerakási díj csak akkor része az árnak, ha a szerződés külön kimondja.</x:v>
      </x:c>
    </x:row>
    <x:row r="45">
      <x:c r="A45" s="19" t="str">
        <x:v>AR-0044</x:v>
      </x:c>
      <x:c r="B45" s="19" t="str">
        <x:v>03 Földmunka</x:v>
      </x:c>
      <x:c r="C45" s="19" t="str">
        <x:v>Földkiemelés és tömörítés</x:v>
      </x:c>
      <x:c r="D45" s="19" t="str">
        <x:v>Mindegyik</x:v>
      </x:c>
      <x:c r="E45" s="19" t="str">
        <x:v>Tereprendezés durva gépi planírozással</x:v>
      </x:c>
      <x:c r="F45" s="19" t="str">
        <x:v>m²</x:v>
      </x:c>
      <x:c r="G45" s="113" t="n">
        <x:v>500</x:v>
      </x:c>
      <x:c r="H45" s="113" t="n">
        <x:v>850</x:v>
      </x:c>
      <x:c r="I45" s="114" t="n">
        <x:v>0.5</x:v>
      </x:c>
      <x:c r="J45" s="113" t="n">
        <x:f>ROUND(H45*I45/Beallitasok!$B$7,0)*Beallitasok!$B$7</x:f>
        <x:v>450</x:v>
      </x:c>
      <x:c r="K45" s="19" t="n">
        <x:v>1</x:v>
      </x:c>
      <x:c r="L45" s="19" t="n">
        <x:v>1</x:v>
      </x:c>
      <x:c r="M45" s="113" t="n">
        <x:f>K45*Beallitasok!$B$2+L45*Beallitasok!$B$3</x:f>
        <x:v>60000</x:v>
      </x:c>
      <x:c r="N45" s="115" t="n">
        <x:v>450</x:v>
      </x:c>
      <x:c r="O45" s="113" t="n">
        <x:f>IFERROR(M45/N45,"")</x:f>
        <x:v>133.33333333333334</x:v>
      </x:c>
      <x:c r="P45" s="116" t="n">
        <x:f>Beallitasok!$B$5</x:f>
        <x:v>1.15</x:v>
      </x:c>
      <x:c r="Q45" s="113" t="n">
        <x:f>IFERROR(ROUND(O45*P45/Beallitasok!$B$7,0)*Beallitasok!$B$7,"")</x:f>
        <x:v>150</x:v>
      </x:c>
      <x:c r="R45" s="113"/>
      <x:c r="S45" s="113" t="n">
        <x:f>IF(Q45="","",Q45+IF(R45="",0,R45))</x:f>
        <x:v>150</x:v>
      </x:c>
      <x:c r="T45" s="113" t="n">
        <x:f>M45*Beallitasok!$B$4</x:f>
        <x:v>300000</x:v>
      </x:c>
      <x:c r="U45" s="115" t="n">
        <x:f>N45*Beallitasok!$B$4</x:f>
        <x:v>2250</x:v>
      </x:c>
      <x:c r="V45" s="113"/>
      <x:c r="W45" s="113" t="str">
        <x:f>IF(V45="","",V45-J45)</x:f>
      </x:c>
      <x:c r="X45" s="19"/>
      <x:c r="Y45" s="113" t="n">
        <x:f>IF(S45="","",J45-S45)</x:f>
        <x:v>300</x:v>
      </x:c>
      <x:c r="Z45" s="19" t="str">
        <x:f>IF(AA45="IGEN",IF(J45&lt;S45,"GÉPIGÉNY + KRITIKUS: gépdíj nélkül is alacsony a plafon","GÉPIGÉNY: a saját egységár gépdíj nélkül értendő"),IF(J45&lt;S45,"KRITIKUS: alvállalkozói plafon &lt; saját terhelt egységköltség",IF(J45&lt;S45*Beallitasok!$B$6,"SZŰK TARTALÉK: 10% alatti tartalék","OK")))</x:f>
        <x:v>GÉPIGÉNY: a saját egységár gépdíj nélkül értendő</x:v>
      </x:c>
      <x:c r="AA45" s="19" t="str">
        <x:v>IGEN</x:v>
      </x:c>
      <x:c r="AB45" s="19" t="str">
        <x:v>https://joszaki.hu/arak/haz-alapozas</x:v>
      </x:c>
      <x:c r="AC45" s="19" t="str">
        <x:v>2026 alapozási piaci alsó sáv és brigádtermelékenység</x:v>
      </x:c>
      <x:c r="AD45" s="19" t="str">
        <x:v>Gépdíj, fuvar és lerakási díj csak akkor része az árnak, ha a szerződés külön kimondja.</x:v>
      </x:c>
    </x:row>
    <x:row r="46">
      <x:c r="A46" s="19" t="str">
        <x:v>AR-0045</x:v>
      </x:c>
      <x:c r="B46" s="19" t="str">
        <x:v>03 Földmunka</x:v>
      </x:c>
      <x:c r="C46" s="19" t="str">
        <x:v>Földkiemelés és tömörítés</x:v>
      </x:c>
      <x:c r="D46" s="19" t="str">
        <x:v>Mindegyik</x:v>
      </x:c>
      <x:c r="E46" s="19" t="str">
        <x:v>Tereprendezés kézi finomplanírozással</x:v>
      </x:c>
      <x:c r="F46" s="19" t="str">
        <x:v>m²</x:v>
      </x:c>
      <x:c r="G46" s="113" t="n">
        <x:v>900</x:v>
      </x:c>
      <x:c r="H46" s="113" t="n">
        <x:v>1400</x:v>
      </x:c>
      <x:c r="I46" s="114" t="n">
        <x:v>0.55</x:v>
      </x:c>
      <x:c r="J46" s="113" t="n">
        <x:f>ROUND(H46*I46/Beallitasok!$B$7,0)*Beallitasok!$B$7</x:f>
        <x:v>750</x:v>
      </x:c>
      <x:c r="K46" s="19" t="n">
        <x:v>0</x:v>
      </x:c>
      <x:c r="L46" s="19" t="n">
        <x:v>4</x:v>
      </x:c>
      <x:c r="M46" s="113" t="n">
        <x:f>K46*Beallitasok!$B$2+L46*Beallitasok!$B$3</x:f>
        <x:v>100000</x:v>
      </x:c>
      <x:c r="N46" s="115" t="n">
        <x:v>140</x:v>
      </x:c>
      <x:c r="O46" s="113" t="n">
        <x:f>IFERROR(M46/N46,"")</x:f>
        <x:v>714.2857142857143</x:v>
      </x:c>
      <x:c r="P46" s="116" t="n">
        <x:f>Beallitasok!$B$5</x:f>
        <x:v>1.15</x:v>
      </x:c>
      <x:c r="Q46" s="113" t="n">
        <x:f>IFERROR(ROUND(O46*P46/Beallitasok!$B$7,0)*Beallitasok!$B$7,"")</x:f>
        <x:v>800</x:v>
      </x:c>
      <x:c r="R46" s="113"/>
      <x:c r="S46" s="113" t="n">
        <x:f>IF(Q46="","",Q46+IF(R46="",0,R46))</x:f>
        <x:v>800</x:v>
      </x:c>
      <x:c r="T46" s="113" t="n">
        <x:f>M46*Beallitasok!$B$4</x:f>
        <x:v>500000</x:v>
      </x:c>
      <x:c r="U46" s="115" t="n">
        <x:f>N46*Beallitasok!$B$4</x:f>
        <x:v>700</x:v>
      </x:c>
      <x:c r="V46" s="113"/>
      <x:c r="W46" s="113" t="str">
        <x:f>IF(V46="","",V46-J46)</x:f>
      </x:c>
      <x:c r="X46" s="19"/>
      <x:c r="Y46" s="113" t="n">
        <x:f>IF(S46="","",J46-S46)</x:f>
        <x:v>-50</x:v>
      </x:c>
      <x:c r="Z46" s="19" t="str">
        <x:f>IF(AA46="IGEN",IF(J46&lt;S46,"GÉPIGÉNY + KRITIKUS: gépdíj nélkül is alacsony a plafon","GÉPIGÉNY: a saját egységár gépdíj nélkül értendő"),IF(J46&lt;S46,"KRITIKUS: alvállalkozói plafon &lt; saját terhelt egységköltség",IF(J46&lt;S46*Beallitasok!$B$6,"SZŰK TARTALÉK: 10% alatti tartalék","OK")))</x:f>
        <x:v>KRITIKUS: alvállalkozói plafon &lt; saját terhelt egységköltség</x:v>
      </x:c>
      <x:c r="AA46" s="19" t="str">
        <x:v>NEM</x:v>
      </x:c>
      <x:c r="AB46" s="19" t="str">
        <x:v>https://joszaki.hu/arak/haz-alapozas</x:v>
      </x:c>
      <x:c r="AC46" s="19" t="str">
        <x:v>2026 alapozási piaci alsó sáv és brigádtermelékenység</x:v>
      </x:c>
      <x:c r="AD46" s="19" t="str">
        <x:v>Gépdíj, fuvar és lerakási díj csak akkor része az árnak, ha a szerződés külön kimondja.</x:v>
      </x:c>
    </x:row>
    <x:row r="47">
      <x:c r="A47" s="19" t="str">
        <x:v>AR-0046</x:v>
      </x:c>
      <x:c r="B47" s="19" t="str">
        <x:v>04 Vasbeton</x:v>
      </x:c>
      <x:c r="C47" s="19" t="str">
        <x:v>Alapozás, vasalás, zsaluzás, betonozás</x:v>
      </x:c>
      <x:c r="D47" s="19" t="str">
        <x:v>Mindegyik</x:v>
      </x:c>
      <x:c r="E47" s="19" t="str">
        <x:v>Szerelőbeton terítése és lehúzása 5–7 cm</x:v>
      </x:c>
      <x:c r="F47" s="19" t="str">
        <x:v>m²</x:v>
      </x:c>
      <x:c r="G47" s="113" t="n">
        <x:v>6500</x:v>
      </x:c>
      <x:c r="H47" s="113" t="n">
        <x:v>6500</x:v>
      </x:c>
      <x:c r="I47" s="114" t="n">
        <x:v>0.5</x:v>
      </x:c>
      <x:c r="J47" s="113" t="n">
        <x:f>ROUND(H47*I47/Beallitasok!$B$7,0)*Beallitasok!$B$7</x:f>
        <x:v>3250</x:v>
      </x:c>
      <x:c r="K47" s="19" t="n">
        <x:v>2</x:v>
      </x:c>
      <x:c r="L47" s="19" t="n">
        <x:v>2</x:v>
      </x:c>
      <x:c r="M47" s="113" t="n">
        <x:f>K47*Beallitasok!$B$2+L47*Beallitasok!$B$3</x:f>
        <x:v>120000</x:v>
      </x:c>
      <x:c r="N47" s="115" t="n">
        <x:v>45</x:v>
      </x:c>
      <x:c r="O47" s="113" t="n">
        <x:f>IFERROR(M47/N47,"")</x:f>
        <x:v>2666.6666666666665</x:v>
      </x:c>
      <x:c r="P47" s="116" t="n">
        <x:f>Beallitasok!$B$5</x:f>
        <x:v>1.15</x:v>
      </x:c>
      <x:c r="Q47" s="113" t="n">
        <x:f>IFERROR(ROUND(O47*P47/Beallitasok!$B$7,0)*Beallitasok!$B$7,"")</x:f>
        <x:v>3050</x:v>
      </x:c>
      <x:c r="R47" s="113"/>
      <x:c r="S47" s="113" t="n">
        <x:f>IF(Q47="","",Q47+IF(R47="",0,R47))</x:f>
        <x:v>3050</x:v>
      </x:c>
      <x:c r="T47" s="113" t="n">
        <x:f>M47*Beallitasok!$B$4</x:f>
        <x:v>600000</x:v>
      </x:c>
      <x:c r="U47" s="115" t="n">
        <x:f>N47*Beallitasok!$B$4</x:f>
        <x:v>225</x:v>
      </x:c>
      <x:c r="V47" s="113"/>
      <x:c r="W47" s="113" t="str">
        <x:f>IF(V47="","",V47-J47)</x:f>
      </x:c>
      <x:c r="X47" s="19"/>
      <x:c r="Y47" s="113" t="n">
        <x:f>IF(S47="","",J47-S47)</x:f>
        <x:v>200</x:v>
      </x:c>
      <x:c r="Z47" s="19" t="str">
        <x:f>IF(AA47="IGEN",IF(J47&lt;S47,"GÉPIGÉNY + KRITIKUS: gépdíj nélkül is alacsony a plafon","GÉPIGÉNY: a saját egységár gépdíj nélkül értendő"),IF(J47&lt;S47,"KRITIKUS: alvállalkozói plafon &lt; saját terhelt egységköltség",IF(J47&lt;S47*Beallitasok!$B$6,"SZŰK TARTALÉK: 10% alatti tartalék","OK")))</x:f>
        <x:v>SZŰK TARTALÉK: 10% alatti tartalék</x:v>
      </x:c>
      <x:c r="AA47" s="19" t="str">
        <x:v>NEM</x:v>
      </x:c>
      <x:c r="AB47" s="19" t="str">
        <x:v>https://joszaki.hu/arak/vasbetonszereles</x:v>
      </x:c>
      <x:c r="AC47" s="19" t="str">
        <x:v>2026 betonozási/zsaluzási alsó ársáv és mérnöki bontás</x:v>
      </x:c>
      <x:c r="AD47" s="19" t="str">
        <x:v>Beton, betonacél, zsaluanyag, pumpa és daru nem része a tiszta munkadíjnak.</x:v>
      </x:c>
    </x:row>
    <x:row r="48">
      <x:c r="A48" s="19" t="str">
        <x:v>AR-0047</x:v>
      </x:c>
      <x:c r="B48" s="19" t="str">
        <x:v>04 Vasbeton</x:v>
      </x:c>
      <x:c r="C48" s="19" t="str">
        <x:v>Alapozás, vasalás, zsaluzás, betonozás</x:v>
      </x:c>
      <x:c r="D48" s="19" t="str">
        <x:v>Mindegyik</x:v>
      </x:c>
      <x:c r="E48" s="19" t="str">
        <x:v>Vasalt aljzatlemez betonozása pumpával, lehúzással</x:v>
      </x:c>
      <x:c r="F48" s="19" t="str">
        <x:v>m²</x:v>
      </x:c>
      <x:c r="G48" s="113" t="n">
        <x:v>6500</x:v>
      </x:c>
      <x:c r="H48" s="113" t="n">
        <x:v>6500</x:v>
      </x:c>
      <x:c r="I48" s="114" t="n">
        <x:v>0.5</x:v>
      </x:c>
      <x:c r="J48" s="113" t="n">
        <x:f>ROUND(H48*I48/Beallitasok!$B$7,0)*Beallitasok!$B$7</x:f>
        <x:v>3250</x:v>
      </x:c>
      <x:c r="K48" s="19" t="n">
        <x:v>2</x:v>
      </x:c>
      <x:c r="L48" s="19" t="n">
        <x:v>2</x:v>
      </x:c>
      <x:c r="M48" s="113" t="n">
        <x:f>K48*Beallitasok!$B$2+L48*Beallitasok!$B$3</x:f>
        <x:v>120000</x:v>
      </x:c>
      <x:c r="N48" s="115" t="n">
        <x:v>42</x:v>
      </x:c>
      <x:c r="O48" s="113" t="n">
        <x:f>IFERROR(M48/N48,"")</x:f>
        <x:v>2857.1428571428573</x:v>
      </x:c>
      <x:c r="P48" s="116" t="n">
        <x:f>Beallitasok!$B$5</x:f>
        <x:v>1.15</x:v>
      </x:c>
      <x:c r="Q48" s="113" t="n">
        <x:f>IFERROR(ROUND(O48*P48/Beallitasok!$B$7,0)*Beallitasok!$B$7,"")</x:f>
        <x:v>3300</x:v>
      </x:c>
      <x:c r="R48" s="113"/>
      <x:c r="S48" s="113" t="n">
        <x:f>IF(Q48="","",Q48+IF(R48="",0,R48))</x:f>
        <x:v>3300</x:v>
      </x:c>
      <x:c r="T48" s="113" t="n">
        <x:f>M48*Beallitasok!$B$4</x:f>
        <x:v>600000</x:v>
      </x:c>
      <x:c r="U48" s="115" t="n">
        <x:f>N48*Beallitasok!$B$4</x:f>
        <x:v>210</x:v>
      </x:c>
      <x:c r="V48" s="113"/>
      <x:c r="W48" s="113" t="str">
        <x:f>IF(V48="","",V48-J48)</x:f>
      </x:c>
      <x:c r="X48" s="19"/>
      <x:c r="Y48" s="113" t="n">
        <x:f>IF(S48="","",J48-S48)</x:f>
        <x:v>-50</x:v>
      </x:c>
      <x:c r="Z48" s="19" t="str">
        <x:f>IF(AA48="IGEN",IF(J48&lt;S48,"GÉPIGÉNY + KRITIKUS: gépdíj nélkül is alacsony a plafon","GÉPIGÉNY: a saját egységár gépdíj nélkül értendő"),IF(J48&lt;S48,"KRITIKUS: alvállalkozói plafon &lt; saját terhelt egységköltség",IF(J48&lt;S48*Beallitasok!$B$6,"SZŰK TARTALÉK: 10% alatti tartalék","OK")))</x:f>
        <x:v>GÉPIGÉNY + KRITIKUS: gépdíj nélkül is alacsony a plafon</x:v>
      </x:c>
      <x:c r="AA48" s="19" t="str">
        <x:v>IGEN</x:v>
      </x:c>
      <x:c r="AB48" s="19" t="str">
        <x:v>https://joszaki.hu/arak/vasbetonszereles</x:v>
      </x:c>
      <x:c r="AC48" s="19" t="str">
        <x:v>2026 betonozási/zsaluzási alsó ársáv és mérnöki bontás</x:v>
      </x:c>
      <x:c r="AD48" s="19" t="str">
        <x:v>Beton, betonacél, zsaluanyag, pumpa és daru nem része a tiszta munkadíjnak.</x:v>
      </x:c>
    </x:row>
    <x:row r="49">
      <x:c r="A49" s="19" t="str">
        <x:v>AR-0048</x:v>
      </x:c>
      <x:c r="B49" s="19" t="str">
        <x:v>04 Vasbeton</x:v>
      </x:c>
      <x:c r="C49" s="19" t="str">
        <x:v>Alapozás, vasalás, zsaluzás, betonozás</x:v>
      </x:c>
      <x:c r="D49" s="19" t="str">
        <x:v>Mindegyik</x:v>
      </x:c>
      <x:c r="E49" s="19" t="str">
        <x:v>Járda és teraszlemez betonozása</x:v>
      </x:c>
      <x:c r="F49" s="19" t="str">
        <x:v>m²</x:v>
      </x:c>
      <x:c r="G49" s="113" t="n">
        <x:v>6500</x:v>
      </x:c>
      <x:c r="H49" s="113" t="n">
        <x:v>6500</x:v>
      </x:c>
      <x:c r="I49" s="114" t="n">
        <x:v>0.5</x:v>
      </x:c>
      <x:c r="J49" s="113" t="n">
        <x:f>ROUND(H49*I49/Beallitasok!$B$7,0)*Beallitasok!$B$7</x:f>
        <x:v>3250</x:v>
      </x:c>
      <x:c r="K49" s="19" t="n">
        <x:v>2</x:v>
      </x:c>
      <x:c r="L49" s="19" t="n">
        <x:v>2</x:v>
      </x:c>
      <x:c r="M49" s="113" t="n">
        <x:f>K49*Beallitasok!$B$2+L49*Beallitasok!$B$3</x:f>
        <x:v>120000</x:v>
      </x:c>
      <x:c r="N49" s="115" t="n">
        <x:v>40</x:v>
      </x:c>
      <x:c r="O49" s="113" t="n">
        <x:f>IFERROR(M49/N49,"")</x:f>
        <x:v>3000</x:v>
      </x:c>
      <x:c r="P49" s="116" t="n">
        <x:f>Beallitasok!$B$5</x:f>
        <x:v>1.15</x:v>
      </x:c>
      <x:c r="Q49" s="113" t="n">
        <x:f>IFERROR(ROUND(O49*P49/Beallitasok!$B$7,0)*Beallitasok!$B$7,"")</x:f>
        <x:v>3450</x:v>
      </x:c>
      <x:c r="R49" s="113"/>
      <x:c r="S49" s="113" t="n">
        <x:f>IF(Q49="","",Q49+IF(R49="",0,R49))</x:f>
        <x:v>3450</x:v>
      </x:c>
      <x:c r="T49" s="113" t="n">
        <x:f>M49*Beallitasok!$B$4</x:f>
        <x:v>600000</x:v>
      </x:c>
      <x:c r="U49" s="115" t="n">
        <x:f>N49*Beallitasok!$B$4</x:f>
        <x:v>200</x:v>
      </x:c>
      <x:c r="V49" s="113"/>
      <x:c r="W49" s="113" t="str">
        <x:f>IF(V49="","",V49-J49)</x:f>
      </x:c>
      <x:c r="X49" s="19"/>
      <x:c r="Y49" s="113" t="n">
        <x:f>IF(S49="","",J49-S49)</x:f>
        <x:v>-200</x:v>
      </x:c>
      <x:c r="Z49" s="19" t="str">
        <x:f>IF(AA49="IGEN",IF(J49&lt;S49,"GÉPIGÉNY + KRITIKUS: gépdíj nélkül is alacsony a plafon","GÉPIGÉNY: a saját egységár gépdíj nélkül értendő"),IF(J49&lt;S49,"KRITIKUS: alvállalkozói plafon &lt; saját terhelt egységköltség",IF(J49&lt;S49*Beallitasok!$B$6,"SZŰK TARTALÉK: 10% alatti tartalék","OK")))</x:f>
        <x:v>KRITIKUS: alvállalkozói plafon &lt; saját terhelt egységköltség</x:v>
      </x:c>
      <x:c r="AA49" s="19" t="str">
        <x:v>NEM</x:v>
      </x:c>
      <x:c r="AB49" s="19" t="str">
        <x:v>https://joszaki.hu/arak/vasbetonszereles</x:v>
      </x:c>
      <x:c r="AC49" s="19" t="str">
        <x:v>2026 betonozási/zsaluzási alsó ársáv és mérnöki bontás</x:v>
      </x:c>
      <x:c r="AD49" s="19" t="str">
        <x:v>Beton, betonacél, zsaluanyag, pumpa és daru nem része a tiszta munkadíjnak.</x:v>
      </x:c>
    </x:row>
    <x:row r="50">
      <x:c r="A50" s="19" t="str">
        <x:v>AR-0049</x:v>
      </x:c>
      <x:c r="B50" s="19" t="str">
        <x:v>04 Vasbeton</x:v>
      </x:c>
      <x:c r="C50" s="19" t="str">
        <x:v>Alapozás, vasalás, zsaluzás, betonozás</x:v>
      </x:c>
      <x:c r="D50" s="19" t="str">
        <x:v>Mindegyik</x:v>
      </x:c>
      <x:c r="E50" s="19" t="str">
        <x:v>Sávalap betonozása mixerből, vibrálással</x:v>
      </x:c>
      <x:c r="F50" s="19" t="str">
        <x:v>m³</x:v>
      </x:c>
      <x:c r="G50" s="113" t="n">
        <x:v>7500</x:v>
      </x:c>
      <x:c r="H50" s="113" t="n">
        <x:v>10500</x:v>
      </x:c>
      <x:c r="I50" s="114" t="n">
        <x:v>0.5</x:v>
      </x:c>
      <x:c r="J50" s="113" t="n">
        <x:f>ROUND(H50*I50/Beallitasok!$B$7,0)*Beallitasok!$B$7</x:f>
        <x:v>5250</x:v>
      </x:c>
      <x:c r="K50" s="19" t="n">
        <x:v>2</x:v>
      </x:c>
      <x:c r="L50" s="19" t="n">
        <x:v>2</x:v>
      </x:c>
      <x:c r="M50" s="113" t="n">
        <x:f>K50*Beallitasok!$B$2+L50*Beallitasok!$B$3</x:f>
        <x:v>120000</x:v>
      </x:c>
      <x:c r="N50" s="115" t="n">
        <x:v>18</x:v>
      </x:c>
      <x:c r="O50" s="113" t="n">
        <x:f>IFERROR(M50/N50,"")</x:f>
        <x:v>6666.666666666667</x:v>
      </x:c>
      <x:c r="P50" s="116" t="n">
        <x:f>Beallitasok!$B$5</x:f>
        <x:v>1.15</x:v>
      </x:c>
      <x:c r="Q50" s="113" t="n">
        <x:f>IFERROR(ROUND(O50*P50/Beallitasok!$B$7,0)*Beallitasok!$B$7,"")</x:f>
        <x:v>7650</x:v>
      </x:c>
      <x:c r="R50" s="113"/>
      <x:c r="S50" s="113" t="n">
        <x:f>IF(Q50="","",Q50+IF(R50="",0,R50))</x:f>
        <x:v>7650</x:v>
      </x:c>
      <x:c r="T50" s="113" t="n">
        <x:f>M50*Beallitasok!$B$4</x:f>
        <x:v>600000</x:v>
      </x:c>
      <x:c r="U50" s="115" t="n">
        <x:f>N50*Beallitasok!$B$4</x:f>
        <x:v>90</x:v>
      </x:c>
      <x:c r="V50" s="113"/>
      <x:c r="W50" s="113" t="str">
        <x:f>IF(V50="","",V50-J50)</x:f>
      </x:c>
      <x:c r="X50" s="19"/>
      <x:c r="Y50" s="113" t="n">
        <x:f>IF(S50="","",J50-S50)</x:f>
        <x:v>-2400</x:v>
      </x:c>
      <x:c r="Z50" s="19" t="str">
        <x:f>IF(AA50="IGEN",IF(J50&lt;S50,"GÉPIGÉNY + KRITIKUS: gépdíj nélkül is alacsony a plafon","GÉPIGÉNY: a saját egységár gépdíj nélkül értendő"),IF(J50&lt;S50,"KRITIKUS: alvállalkozói plafon &lt; saját terhelt egységköltség",IF(J50&lt;S50*Beallitasok!$B$6,"SZŰK TARTALÉK: 10% alatti tartalék","OK")))</x:f>
        <x:v>KRITIKUS: alvállalkozói plafon &lt; saját terhelt egységköltség</x:v>
      </x:c>
      <x:c r="AA50" s="19" t="str">
        <x:v>NEM</x:v>
      </x:c>
      <x:c r="AB50" s="19" t="str">
        <x:v>https://joszaki.hu/arak/vasbetonszereles</x:v>
      </x:c>
      <x:c r="AC50" s="19" t="str">
        <x:v>2026 betonozási/zsaluzási alsó ársáv és mérnöki bontás</x:v>
      </x:c>
      <x:c r="AD50" s="19" t="str">
        <x:v>Beton, betonacél, zsaluanyag, pumpa és daru nem része a tiszta munkadíjnak.</x:v>
      </x:c>
    </x:row>
    <x:row r="51">
      <x:c r="A51" s="19" t="str">
        <x:v>AR-0050</x:v>
      </x:c>
      <x:c r="B51" s="19" t="str">
        <x:v>04 Vasbeton</x:v>
      </x:c>
      <x:c r="C51" s="19" t="str">
        <x:v>Alapozás, vasalás, zsaluzás, betonozás</x:v>
      </x:c>
      <x:c r="D51" s="19" t="str">
        <x:v>Mindegyik</x:v>
      </x:c>
      <x:c r="E51" s="19" t="str">
        <x:v>Pontalap betonozása mixerből</x:v>
      </x:c>
      <x:c r="F51" s="19" t="str">
        <x:v>m³</x:v>
      </x:c>
      <x:c r="G51" s="113" t="n">
        <x:v>8500</x:v>
      </x:c>
      <x:c r="H51" s="113" t="n">
        <x:v>12000</x:v>
      </x:c>
      <x:c r="I51" s="114" t="n">
        <x:v>0.5</x:v>
      </x:c>
      <x:c r="J51" s="113" t="n">
        <x:f>ROUND(H51*I51/Beallitasok!$B$7,0)*Beallitasok!$B$7</x:f>
        <x:v>6000</x:v>
      </x:c>
      <x:c r="K51" s="19" t="n">
        <x:v>2</x:v>
      </x:c>
      <x:c r="L51" s="19" t="n">
        <x:v>2</x:v>
      </x:c>
      <x:c r="M51" s="113" t="n">
        <x:f>K51*Beallitasok!$B$2+L51*Beallitasok!$B$3</x:f>
        <x:v>120000</x:v>
      </x:c>
      <x:c r="N51" s="115" t="n">
        <x:v>14</x:v>
      </x:c>
      <x:c r="O51" s="113" t="n">
        <x:f>IFERROR(M51/N51,"")</x:f>
        <x:v>8571.42857142857</x:v>
      </x:c>
      <x:c r="P51" s="116" t="n">
        <x:f>Beallitasok!$B$5</x:f>
        <x:v>1.15</x:v>
      </x:c>
      <x:c r="Q51" s="113" t="n">
        <x:f>IFERROR(ROUND(O51*P51/Beallitasok!$B$7,0)*Beallitasok!$B$7,"")</x:f>
        <x:v>9850</x:v>
      </x:c>
      <x:c r="R51" s="113"/>
      <x:c r="S51" s="113" t="n">
        <x:f>IF(Q51="","",Q51+IF(R51="",0,R51))</x:f>
        <x:v>9850</x:v>
      </x:c>
      <x:c r="T51" s="113" t="n">
        <x:f>M51*Beallitasok!$B$4</x:f>
        <x:v>600000</x:v>
      </x:c>
      <x:c r="U51" s="115" t="n">
        <x:f>N51*Beallitasok!$B$4</x:f>
        <x:v>70</x:v>
      </x:c>
      <x:c r="V51" s="113"/>
      <x:c r="W51" s="113" t="str">
        <x:f>IF(V51="","",V51-J51)</x:f>
      </x:c>
      <x:c r="X51" s="19"/>
      <x:c r="Y51" s="113" t="n">
        <x:f>IF(S51="","",J51-S51)</x:f>
        <x:v>-3850</x:v>
      </x:c>
      <x:c r="Z51" s="19" t="str">
        <x:f>IF(AA51="IGEN",IF(J51&lt;S51,"GÉPIGÉNY + KRITIKUS: gépdíj nélkül is alacsony a plafon","GÉPIGÉNY: a saját egységár gépdíj nélkül értendő"),IF(J51&lt;S51,"KRITIKUS: alvállalkozói plafon &lt; saját terhelt egységköltség",IF(J51&lt;S51*Beallitasok!$B$6,"SZŰK TARTALÉK: 10% alatti tartalék","OK")))</x:f>
        <x:v>KRITIKUS: alvállalkozói plafon &lt; saját terhelt egységköltség</x:v>
      </x:c>
      <x:c r="AA51" s="19" t="str">
        <x:v>NEM</x:v>
      </x:c>
      <x:c r="AB51" s="19" t="str">
        <x:v>https://joszaki.hu/arak/vasbetonszereles</x:v>
      </x:c>
      <x:c r="AC51" s="19" t="str">
        <x:v>2026 betonozási/zsaluzási alsó ársáv és mérnöki bontás</x:v>
      </x:c>
      <x:c r="AD51" s="19" t="str">
        <x:v>Beton, betonacél, zsaluanyag, pumpa és daru nem része a tiszta munkadíjnak.</x:v>
      </x:c>
    </x:row>
    <x:row r="52">
      <x:c r="A52" s="19" t="str">
        <x:v>AR-0051</x:v>
      </x:c>
      <x:c r="B52" s="19" t="str">
        <x:v>04 Vasbeton</x:v>
      </x:c>
      <x:c r="C52" s="19" t="str">
        <x:v>Alapozás, vasalás, zsaluzás, betonozás</x:v>
      </x:c>
      <x:c r="D52" s="19" t="str">
        <x:v>Mindegyik</x:v>
      </x:c>
      <x:c r="E52" s="19" t="str">
        <x:v>Talpgerenda betonozása</x:v>
      </x:c>
      <x:c r="F52" s="19" t="str">
        <x:v>m³</x:v>
      </x:c>
      <x:c r="G52" s="113" t="n">
        <x:v>9500</x:v>
      </x:c>
      <x:c r="H52" s="113" t="n">
        <x:v>13500</x:v>
      </x:c>
      <x:c r="I52" s="114" t="n">
        <x:v>0.5</x:v>
      </x:c>
      <x:c r="J52" s="113" t="n">
        <x:f>ROUND(H52*I52/Beallitasok!$B$7,0)*Beallitasok!$B$7</x:f>
        <x:v>6750</x:v>
      </x:c>
      <x:c r="K52" s="19" t="n">
        <x:v>2</x:v>
      </x:c>
      <x:c r="L52" s="19" t="n">
        <x:v>2</x:v>
      </x:c>
      <x:c r="M52" s="113" t="n">
        <x:f>K52*Beallitasok!$B$2+L52*Beallitasok!$B$3</x:f>
        <x:v>120000</x:v>
      </x:c>
      <x:c r="N52" s="115" t="n">
        <x:v>12</x:v>
      </x:c>
      <x:c r="O52" s="113" t="n">
        <x:f>IFERROR(M52/N52,"")</x:f>
        <x:v>10000</x:v>
      </x:c>
      <x:c r="P52" s="116" t="n">
        <x:f>Beallitasok!$B$5</x:f>
        <x:v>1.15</x:v>
      </x:c>
      <x:c r="Q52" s="113" t="n">
        <x:f>IFERROR(ROUND(O52*P52/Beallitasok!$B$7,0)*Beallitasok!$B$7,"")</x:f>
        <x:v>11500</x:v>
      </x:c>
      <x:c r="R52" s="113"/>
      <x:c r="S52" s="113" t="n">
        <x:f>IF(Q52="","",Q52+IF(R52="",0,R52))</x:f>
        <x:v>11500</x:v>
      </x:c>
      <x:c r="T52" s="113" t="n">
        <x:f>M52*Beallitasok!$B$4</x:f>
        <x:v>600000</x:v>
      </x:c>
      <x:c r="U52" s="115" t="n">
        <x:f>N52*Beallitasok!$B$4</x:f>
        <x:v>60</x:v>
      </x:c>
      <x:c r="V52" s="113"/>
      <x:c r="W52" s="113" t="str">
        <x:f>IF(V52="","",V52-J52)</x:f>
      </x:c>
      <x:c r="X52" s="19"/>
      <x:c r="Y52" s="113" t="n">
        <x:f>IF(S52="","",J52-S52)</x:f>
        <x:v>-4750</x:v>
      </x:c>
      <x:c r="Z52" s="19" t="str">
        <x:f>IF(AA52="IGEN",IF(J52&lt;S52,"GÉPIGÉNY + KRITIKUS: gépdíj nélkül is alacsony a plafon","GÉPIGÉNY: a saját egységár gépdíj nélkül értendő"),IF(J52&lt;S52,"KRITIKUS: alvállalkozói plafon &lt; saját terhelt egységköltség",IF(J52&lt;S52*Beallitasok!$B$6,"SZŰK TARTALÉK: 10% alatti tartalék","OK")))</x:f>
        <x:v>KRITIKUS: alvállalkozói plafon &lt; saját terhelt egységköltség</x:v>
      </x:c>
      <x:c r="AA52" s="19" t="str">
        <x:v>NEM</x:v>
      </x:c>
      <x:c r="AB52" s="19" t="str">
        <x:v>https://joszaki.hu/arak/vasbetonszereles</x:v>
      </x:c>
      <x:c r="AC52" s="19" t="str">
        <x:v>2026 betonozási/zsaluzási alsó ársáv és mérnöki bontás</x:v>
      </x:c>
      <x:c r="AD52" s="19" t="str">
        <x:v>Beton, betonacél, zsaluanyag, pumpa és daru nem része a tiszta munkadíjnak.</x:v>
      </x:c>
    </x:row>
    <x:row r="53">
      <x:c r="A53" s="19" t="str">
        <x:v>AR-0052</x:v>
      </x:c>
      <x:c r="B53" s="19" t="str">
        <x:v>04 Vasbeton</x:v>
      </x:c>
      <x:c r="C53" s="19" t="str">
        <x:v>Alapozás, vasalás, zsaluzás, betonozás</x:v>
      </x:c>
      <x:c r="D53" s="19" t="str">
        <x:v>Mindegyik</x:v>
      </x:c>
      <x:c r="E53" s="19" t="str">
        <x:v>Monolit vasbeton fal betonozása</x:v>
      </x:c>
      <x:c r="F53" s="19" t="str">
        <x:v>m³</x:v>
      </x:c>
      <x:c r="G53" s="113" t="n">
        <x:v>11000</x:v>
      </x:c>
      <x:c r="H53" s="113" t="n">
        <x:v>15500</x:v>
      </x:c>
      <x:c r="I53" s="114" t="n">
        <x:v>0.5</x:v>
      </x:c>
      <x:c r="J53" s="113" t="n">
        <x:f>ROUND(H53*I53/Beallitasok!$B$7,0)*Beallitasok!$B$7</x:f>
        <x:v>7750</x:v>
      </x:c>
      <x:c r="K53" s="19" t="n">
        <x:v>2</x:v>
      </x:c>
      <x:c r="L53" s="19" t="n">
        <x:v>2</x:v>
      </x:c>
      <x:c r="M53" s="113" t="n">
        <x:f>K53*Beallitasok!$B$2+L53*Beallitasok!$B$3</x:f>
        <x:v>120000</x:v>
      </x:c>
      <x:c r="N53" s="115" t="n">
        <x:v>10</x:v>
      </x:c>
      <x:c r="O53" s="113" t="n">
        <x:f>IFERROR(M53/N53,"")</x:f>
        <x:v>12000</x:v>
      </x:c>
      <x:c r="P53" s="116" t="n">
        <x:f>Beallitasok!$B$5</x:f>
        <x:v>1.15</x:v>
      </x:c>
      <x:c r="Q53" s="113" t="n">
        <x:f>IFERROR(ROUND(O53*P53/Beallitasok!$B$7,0)*Beallitasok!$B$7,"")</x:f>
        <x:v>13800</x:v>
      </x:c>
      <x:c r="R53" s="113"/>
      <x:c r="S53" s="113" t="n">
        <x:f>IF(Q53="","",Q53+IF(R53="",0,R53))</x:f>
        <x:v>13800</x:v>
      </x:c>
      <x:c r="T53" s="113" t="n">
        <x:f>M53*Beallitasok!$B$4</x:f>
        <x:v>600000</x:v>
      </x:c>
      <x:c r="U53" s="115" t="n">
        <x:f>N53*Beallitasok!$B$4</x:f>
        <x:v>50</x:v>
      </x:c>
      <x:c r="V53" s="113"/>
      <x:c r="W53" s="113" t="str">
        <x:f>IF(V53="","",V53-J53)</x:f>
      </x:c>
      <x:c r="X53" s="19"/>
      <x:c r="Y53" s="113" t="n">
        <x:f>IF(S53="","",J53-S53)</x:f>
        <x:v>-6050</x:v>
      </x:c>
      <x:c r="Z53" s="19" t="str">
        <x:f>IF(AA53="IGEN",IF(J53&lt;S53,"GÉPIGÉNY + KRITIKUS: gépdíj nélkül is alacsony a plafon","GÉPIGÉNY: a saját egységár gépdíj nélkül értendő"),IF(J53&lt;S53,"KRITIKUS: alvállalkozói plafon &lt; saját terhelt egységköltség",IF(J53&lt;S53*Beallitasok!$B$6,"SZŰK TARTALÉK: 10% alatti tartalék","OK")))</x:f>
        <x:v>KRITIKUS: alvállalkozói plafon &lt; saját terhelt egységköltség</x:v>
      </x:c>
      <x:c r="AA53" s="19" t="str">
        <x:v>NEM</x:v>
      </x:c>
      <x:c r="AB53" s="19" t="str">
        <x:v>https://joszaki.hu/arak/vasbetonszereles</x:v>
      </x:c>
      <x:c r="AC53" s="19" t="str">
        <x:v>2026 betonozási/zsaluzási alsó ársáv és mérnöki bontás</x:v>
      </x:c>
      <x:c r="AD53" s="19" t="str">
        <x:v>Beton, betonacél, zsaluanyag, pumpa és daru nem része a tiszta munkadíjnak.</x:v>
      </x:c>
    </x:row>
    <x:row r="54">
      <x:c r="A54" s="19" t="str">
        <x:v>AR-0053</x:v>
      </x:c>
      <x:c r="B54" s="19" t="str">
        <x:v>04 Vasbeton</x:v>
      </x:c>
      <x:c r="C54" s="19" t="str">
        <x:v>Alapozás, vasalás, zsaluzás, betonozás</x:v>
      </x:c>
      <x:c r="D54" s="19" t="str">
        <x:v>Mindegyik</x:v>
      </x:c>
      <x:c r="E54" s="19" t="str">
        <x:v>Monolit födém betonozása pumpával</x:v>
      </x:c>
      <x:c r="F54" s="19" t="str">
        <x:v>m²</x:v>
      </x:c>
      <x:c r="G54" s="113" t="n">
        <x:v>6000</x:v>
      </x:c>
      <x:c r="H54" s="113" t="n">
        <x:v>8500</x:v>
      </x:c>
      <x:c r="I54" s="114" t="n">
        <x:v>0.5</x:v>
      </x:c>
      <x:c r="J54" s="113" t="n">
        <x:f>ROUND(H54*I54/Beallitasok!$B$7,0)*Beallitasok!$B$7</x:f>
        <x:v>4250</x:v>
      </x:c>
      <x:c r="K54" s="19" t="n">
        <x:v>3</x:v>
      </x:c>
      <x:c r="L54" s="19" t="n">
        <x:v>3</x:v>
      </x:c>
      <x:c r="M54" s="113" t="n">
        <x:f>K54*Beallitasok!$B$2+L54*Beallitasok!$B$3</x:f>
        <x:v>180000</x:v>
      </x:c>
      <x:c r="N54" s="115" t="n">
        <x:v>55</x:v>
      </x:c>
      <x:c r="O54" s="113" t="n">
        <x:f>IFERROR(M54/N54,"")</x:f>
        <x:v>3272.7272727272725</x:v>
      </x:c>
      <x:c r="P54" s="116" t="n">
        <x:f>Beallitasok!$B$5</x:f>
        <x:v>1.15</x:v>
      </x:c>
      <x:c r="Q54" s="113" t="n">
        <x:f>IFERROR(ROUND(O54*P54/Beallitasok!$B$7,0)*Beallitasok!$B$7,"")</x:f>
        <x:v>3750</x:v>
      </x:c>
      <x:c r="R54" s="113"/>
      <x:c r="S54" s="113" t="n">
        <x:f>IF(Q54="","",Q54+IF(R54="",0,R54))</x:f>
        <x:v>3750</x:v>
      </x:c>
      <x:c r="T54" s="113" t="n">
        <x:f>M54*Beallitasok!$B$4</x:f>
        <x:v>900000</x:v>
      </x:c>
      <x:c r="U54" s="115" t="n">
        <x:f>N54*Beallitasok!$B$4</x:f>
        <x:v>275</x:v>
      </x:c>
      <x:c r="V54" s="113"/>
      <x:c r="W54" s="113" t="str">
        <x:f>IF(V54="","",V54-J54)</x:f>
      </x:c>
      <x:c r="X54" s="19"/>
      <x:c r="Y54" s="113" t="n">
        <x:f>IF(S54="","",J54-S54)</x:f>
        <x:v>500</x:v>
      </x:c>
      <x:c r="Z54" s="19" t="str">
        <x:f>IF(AA54="IGEN",IF(J54&lt;S54,"GÉPIGÉNY + KRITIKUS: gépdíj nélkül is alacsony a plafon","GÉPIGÉNY: a saját egységár gépdíj nélkül értendő"),IF(J54&lt;S54,"KRITIKUS: alvállalkozói plafon &lt; saját terhelt egységköltség",IF(J54&lt;S54*Beallitasok!$B$6,"SZŰK TARTALÉK: 10% alatti tartalék","OK")))</x:f>
        <x:v>GÉPIGÉNY: a saját egységár gépdíj nélkül értendő</x:v>
      </x:c>
      <x:c r="AA54" s="19" t="str">
        <x:v>IGEN</x:v>
      </x:c>
      <x:c r="AB54" s="19" t="str">
        <x:v>https://joszaki.hu/arak/vasbetonszereles</x:v>
      </x:c>
      <x:c r="AC54" s="19" t="str">
        <x:v>2026 betonozási/zsaluzási alsó ársáv és mérnöki bontás</x:v>
      </x:c>
      <x:c r="AD54" s="19" t="str">
        <x:v>Beton, betonacél, zsaluanyag, pumpa és daru nem része a tiszta munkadíjnak.</x:v>
      </x:c>
    </x:row>
    <x:row r="55">
      <x:c r="A55" s="19" t="str">
        <x:v>AR-0054</x:v>
      </x:c>
      <x:c r="B55" s="19" t="str">
        <x:v>04 Vasbeton</x:v>
      </x:c>
      <x:c r="C55" s="19" t="str">
        <x:v>Alapozás, vasalás, zsaluzás, betonozás</x:v>
      </x:c>
      <x:c r="D55" s="19" t="str">
        <x:v>Mindegyik</x:v>
      </x:c>
      <x:c r="E55" s="19" t="str">
        <x:v>Beton gépi vibrálása külön tételként</x:v>
      </x:c>
      <x:c r="F55" s="19" t="str">
        <x:v>m³</x:v>
      </x:c>
      <x:c r="G55" s="113" t="n">
        <x:v>1800</x:v>
      </x:c>
      <x:c r="H55" s="113" t="n">
        <x:v>2800</x:v>
      </x:c>
      <x:c r="I55" s="114" t="n">
        <x:v>0.5</x:v>
      </x:c>
      <x:c r="J55" s="113" t="n">
        <x:f>ROUND(H55*I55/Beallitasok!$B$7,0)*Beallitasok!$B$7</x:f>
        <x:v>1400</x:v>
      </x:c>
      <x:c r="K55" s="19" t="n">
        <x:v>1</x:v>
      </x:c>
      <x:c r="L55" s="19" t="n">
        <x:v>1</x:v>
      </x:c>
      <x:c r="M55" s="113" t="n">
        <x:f>K55*Beallitasok!$B$2+L55*Beallitasok!$B$3</x:f>
        <x:v>60000</x:v>
      </x:c>
      <x:c r="N55" s="115" t="n">
        <x:v>45</x:v>
      </x:c>
      <x:c r="O55" s="113" t="n">
        <x:f>IFERROR(M55/N55,"")</x:f>
        <x:v>1333.3333333333333</x:v>
      </x:c>
      <x:c r="P55" s="116" t="n">
        <x:f>Beallitasok!$B$5</x:f>
        <x:v>1.15</x:v>
      </x:c>
      <x:c r="Q55" s="113" t="n">
        <x:f>IFERROR(ROUND(O55*P55/Beallitasok!$B$7,0)*Beallitasok!$B$7,"")</x:f>
        <x:v>1550</x:v>
      </x:c>
      <x:c r="R55" s="113"/>
      <x:c r="S55" s="113" t="n">
        <x:f>IF(Q55="","",Q55+IF(R55="",0,R55))</x:f>
        <x:v>1550</x:v>
      </x:c>
      <x:c r="T55" s="113" t="n">
        <x:f>M55*Beallitasok!$B$4</x:f>
        <x:v>300000</x:v>
      </x:c>
      <x:c r="U55" s="115" t="n">
        <x:f>N55*Beallitasok!$B$4</x:f>
        <x:v>225</x:v>
      </x:c>
      <x:c r="V55" s="113"/>
      <x:c r="W55" s="113" t="str">
        <x:f>IF(V55="","",V55-J55)</x:f>
      </x:c>
      <x:c r="X55" s="19"/>
      <x:c r="Y55" s="113" t="n">
        <x:f>IF(S55="","",J55-S55)</x:f>
        <x:v>-150</x:v>
      </x:c>
      <x:c r="Z55" s="19" t="str">
        <x:f>IF(AA55="IGEN",IF(J55&lt;S55,"GÉPIGÉNY + KRITIKUS: gépdíj nélkül is alacsony a plafon","GÉPIGÉNY: a saját egységár gépdíj nélkül értendő"),IF(J55&lt;S55,"KRITIKUS: alvállalkozói plafon &lt; saját terhelt egységköltség",IF(J55&lt;S55*Beallitasok!$B$6,"SZŰK TARTALÉK: 10% alatti tartalék","OK")))</x:f>
        <x:v>GÉPIGÉNY + KRITIKUS: gépdíj nélkül is alacsony a plafon</x:v>
      </x:c>
      <x:c r="AA55" s="19" t="str">
        <x:v>IGEN</x:v>
      </x:c>
      <x:c r="AB55" s="19" t="str">
        <x:v>https://joszaki.hu/arak/vasbetonszereles</x:v>
      </x:c>
      <x:c r="AC55" s="19" t="str">
        <x:v>2026 betonozási/zsaluzási alsó ársáv és mérnöki bontás</x:v>
      </x:c>
      <x:c r="AD55" s="19" t="str">
        <x:v>Beton, betonacél, zsaluanyag, pumpa és daru nem része a tiszta munkadíjnak.</x:v>
      </x:c>
    </x:row>
    <x:row r="56">
      <x:c r="A56" s="19" t="str">
        <x:v>AR-0055</x:v>
      </x:c>
      <x:c r="B56" s="19" t="str">
        <x:v>04 Vasbeton</x:v>
      </x:c>
      <x:c r="C56" s="19" t="str">
        <x:v>Alapozás, vasalás, zsaluzás, betonozás</x:v>
      </x:c>
      <x:c r="D56" s="19" t="str">
        <x:v>Mindegyik</x:v>
      </x:c>
      <x:c r="E56" s="19" t="str">
        <x:v>Beton felület kézi lehúzása és simítása</x:v>
      </x:c>
      <x:c r="F56" s="19" t="str">
        <x:v>m²</x:v>
      </x:c>
      <x:c r="G56" s="113" t="n">
        <x:v>1500</x:v>
      </x:c>
      <x:c r="H56" s="113" t="n">
        <x:v>2300</x:v>
      </x:c>
      <x:c r="I56" s="114" t="n">
        <x:v>0.5</x:v>
      </x:c>
      <x:c r="J56" s="113" t="n">
        <x:f>ROUND(H56*I56/Beallitasok!$B$7,0)*Beallitasok!$B$7</x:f>
        <x:v>1150</x:v>
      </x:c>
      <x:c r="K56" s="19" t="n">
        <x:v>1</x:v>
      </x:c>
      <x:c r="L56" s="19" t="n">
        <x:v>2</x:v>
      </x:c>
      <x:c r="M56" s="113" t="n">
        <x:f>K56*Beallitasok!$B$2+L56*Beallitasok!$B$3</x:f>
        <x:v>85000</x:v>
      </x:c>
      <x:c r="N56" s="115" t="n">
        <x:v>95</x:v>
      </x:c>
      <x:c r="O56" s="113" t="n">
        <x:f>IFERROR(M56/N56,"")</x:f>
        <x:v>894.7368421052631</x:v>
      </x:c>
      <x:c r="P56" s="116" t="n">
        <x:f>Beallitasok!$B$5</x:f>
        <x:v>1.15</x:v>
      </x:c>
      <x:c r="Q56" s="113" t="n">
        <x:f>IFERROR(ROUND(O56*P56/Beallitasok!$B$7,0)*Beallitasok!$B$7,"")</x:f>
        <x:v>1050</x:v>
      </x:c>
      <x:c r="R56" s="113"/>
      <x:c r="S56" s="113" t="n">
        <x:f>IF(Q56="","",Q56+IF(R56="",0,R56))</x:f>
        <x:v>1050</x:v>
      </x:c>
      <x:c r="T56" s="113" t="n">
        <x:f>M56*Beallitasok!$B$4</x:f>
        <x:v>425000</x:v>
      </x:c>
      <x:c r="U56" s="115" t="n">
        <x:f>N56*Beallitasok!$B$4</x:f>
        <x:v>475</x:v>
      </x:c>
      <x:c r="V56" s="113"/>
      <x:c r="W56" s="113" t="str">
        <x:f>IF(V56="","",V56-J56)</x:f>
      </x:c>
      <x:c r="X56" s="19"/>
      <x:c r="Y56" s="113" t="n">
        <x:f>IF(S56="","",J56-S56)</x:f>
        <x:v>100</x:v>
      </x:c>
      <x:c r="Z56" s="19" t="str">
        <x:f>IF(AA56="IGEN",IF(J56&lt;S56,"GÉPIGÉNY + KRITIKUS: gépdíj nélkül is alacsony a plafon","GÉPIGÉNY: a saját egységár gépdíj nélkül értendő"),IF(J56&lt;S56,"KRITIKUS: alvállalkozói plafon &lt; saját terhelt egységköltség",IF(J56&lt;S56*Beallitasok!$B$6,"SZŰK TARTALÉK: 10% alatti tartalék","OK")))</x:f>
        <x:v>SZŰK TARTALÉK: 10% alatti tartalék</x:v>
      </x:c>
      <x:c r="AA56" s="19" t="str">
        <x:v>NEM</x:v>
      </x:c>
      <x:c r="AB56" s="19" t="str">
        <x:v>https://joszaki.hu/arak/vasbetonszereles</x:v>
      </x:c>
      <x:c r="AC56" s="19" t="str">
        <x:v>2026 betonozási/zsaluzási alsó ársáv és mérnöki bontás</x:v>
      </x:c>
      <x:c r="AD56" s="19" t="str">
        <x:v>Beton, betonacél, zsaluanyag, pumpa és daru nem része a tiszta munkadíjnak.</x:v>
      </x:c>
    </x:row>
    <x:row r="57">
      <x:c r="A57" s="19" t="str">
        <x:v>AR-0056</x:v>
      </x:c>
      <x:c r="B57" s="19" t="str">
        <x:v>04 Vasbeton</x:v>
      </x:c>
      <x:c r="C57" s="19" t="str">
        <x:v>Alapozás, vasalás, zsaluzás, betonozás</x:v>
      </x:c>
      <x:c r="D57" s="19" t="str">
        <x:v>Mindegyik</x:v>
      </x:c>
      <x:c r="E57" s="19" t="str">
        <x:v>Beton felület gépi tárcsás simítása</x:v>
      </x:c>
      <x:c r="F57" s="19" t="str">
        <x:v>m²</x:v>
      </x:c>
      <x:c r="G57" s="113" t="n">
        <x:v>2200</x:v>
      </x:c>
      <x:c r="H57" s="113" t="n">
        <x:v>3200</x:v>
      </x:c>
      <x:c r="I57" s="114" t="n">
        <x:v>0.5</x:v>
      </x:c>
      <x:c r="J57" s="113" t="n">
        <x:f>ROUND(H57*I57/Beallitasok!$B$7,0)*Beallitasok!$B$7</x:f>
        <x:v>1600</x:v>
      </x:c>
      <x:c r="K57" s="19" t="n">
        <x:v>2</x:v>
      </x:c>
      <x:c r="L57" s="19" t="n">
        <x:v>1</x:v>
      </x:c>
      <x:c r="M57" s="113" t="n">
        <x:f>K57*Beallitasok!$B$2+L57*Beallitasok!$B$3</x:f>
        <x:v>95000</x:v>
      </x:c>
      <x:c r="N57" s="115" t="n">
        <x:v>120</x:v>
      </x:c>
      <x:c r="O57" s="113" t="n">
        <x:f>IFERROR(M57/N57,"")</x:f>
        <x:v>791.6666666666666</x:v>
      </x:c>
      <x:c r="P57" s="116" t="n">
        <x:f>Beallitasok!$B$5</x:f>
        <x:v>1.15</x:v>
      </x:c>
      <x:c r="Q57" s="113" t="n">
        <x:f>IFERROR(ROUND(O57*P57/Beallitasok!$B$7,0)*Beallitasok!$B$7,"")</x:f>
        <x:v>900</x:v>
      </x:c>
      <x:c r="R57" s="113"/>
      <x:c r="S57" s="113" t="n">
        <x:f>IF(Q57="","",Q57+IF(R57="",0,R57))</x:f>
        <x:v>900</x:v>
      </x:c>
      <x:c r="T57" s="113" t="n">
        <x:f>M57*Beallitasok!$B$4</x:f>
        <x:v>475000</x:v>
      </x:c>
      <x:c r="U57" s="115" t="n">
        <x:f>N57*Beallitasok!$B$4</x:f>
        <x:v>600</x:v>
      </x:c>
      <x:c r="V57" s="113"/>
      <x:c r="W57" s="113" t="str">
        <x:f>IF(V57="","",V57-J57)</x:f>
      </x:c>
      <x:c r="X57" s="19"/>
      <x:c r="Y57" s="113" t="n">
        <x:f>IF(S57="","",J57-S57)</x:f>
        <x:v>700</x:v>
      </x:c>
      <x:c r="Z57" s="19" t="str">
        <x:f>IF(AA57="IGEN",IF(J57&lt;S57,"GÉPIGÉNY + KRITIKUS: gépdíj nélkül is alacsony a plafon","GÉPIGÉNY: a saját egységár gépdíj nélkül értendő"),IF(J57&lt;S57,"KRITIKUS: alvállalkozói plafon &lt; saját terhelt egységköltség",IF(J57&lt;S57*Beallitasok!$B$6,"SZŰK TARTALÉK: 10% alatti tartalék","OK")))</x:f>
        <x:v>GÉPIGÉNY: a saját egységár gépdíj nélkül értendő</x:v>
      </x:c>
      <x:c r="AA57" s="19" t="str">
        <x:v>IGEN</x:v>
      </x:c>
      <x:c r="AB57" s="19" t="str">
        <x:v>https://joszaki.hu/arak/vasbetonszereles</x:v>
      </x:c>
      <x:c r="AC57" s="19" t="str">
        <x:v>2026 betonozási/zsaluzási alsó ársáv és mérnöki bontás</x:v>
      </x:c>
      <x:c r="AD57" s="19" t="str">
        <x:v>Beton, betonacél, zsaluanyag, pumpa és daru nem része a tiszta munkadíjnak.</x:v>
      </x:c>
    </x:row>
    <x:row r="58">
      <x:c r="A58" s="19" t="str">
        <x:v>AR-0057</x:v>
      </x:c>
      <x:c r="B58" s="19" t="str">
        <x:v>04 Vasbeton</x:v>
      </x:c>
      <x:c r="C58" s="19" t="str">
        <x:v>Alapozás, vasalás, zsaluzás, betonozás</x:v>
      </x:c>
      <x:c r="D58" s="19" t="str">
        <x:v>Mindegyik</x:v>
      </x:c>
      <x:c r="E58" s="19" t="str">
        <x:v>Beton dilatáció vágása</x:v>
      </x:c>
      <x:c r="F58" s="19" t="str">
        <x:v>fm</x:v>
      </x:c>
      <x:c r="G58" s="113" t="n">
        <x:v>900</x:v>
      </x:c>
      <x:c r="H58" s="113" t="n">
        <x:v>1400</x:v>
      </x:c>
      <x:c r="I58" s="114" t="n">
        <x:v>0.55</x:v>
      </x:c>
      <x:c r="J58" s="113" t="n">
        <x:f>ROUND(H58*I58/Beallitasok!$B$7,0)*Beallitasok!$B$7</x:f>
        <x:v>750</x:v>
      </x:c>
      <x:c r="K58" s="19" t="n">
        <x:v>1</x:v>
      </x:c>
      <x:c r="L58" s="19" t="n">
        <x:v>1</x:v>
      </x:c>
      <x:c r="M58" s="113" t="n">
        <x:f>K58*Beallitasok!$B$2+L58*Beallitasok!$B$3</x:f>
        <x:v>60000</x:v>
      </x:c>
      <x:c r="N58" s="115" t="n">
        <x:v>120</x:v>
      </x:c>
      <x:c r="O58" s="113" t="n">
        <x:f>IFERROR(M58/N58,"")</x:f>
        <x:v>500</x:v>
      </x:c>
      <x:c r="P58" s="116" t="n">
        <x:f>Beallitasok!$B$5</x:f>
        <x:v>1.15</x:v>
      </x:c>
      <x:c r="Q58" s="113" t="n">
        <x:f>IFERROR(ROUND(O58*P58/Beallitasok!$B$7,0)*Beallitasok!$B$7,"")</x:f>
        <x:v>600</x:v>
      </x:c>
      <x:c r="R58" s="113"/>
      <x:c r="S58" s="113" t="n">
        <x:f>IF(Q58="","",Q58+IF(R58="",0,R58))</x:f>
        <x:v>600</x:v>
      </x:c>
      <x:c r="T58" s="113" t="n">
        <x:f>M58*Beallitasok!$B$4</x:f>
        <x:v>300000</x:v>
      </x:c>
      <x:c r="U58" s="115" t="n">
        <x:f>N58*Beallitasok!$B$4</x:f>
        <x:v>600</x:v>
      </x:c>
      <x:c r="V58" s="113"/>
      <x:c r="W58" s="113" t="str">
        <x:f>IF(V58="","",V58-J58)</x:f>
      </x:c>
      <x:c r="X58" s="19"/>
      <x:c r="Y58" s="113" t="n">
        <x:f>IF(S58="","",J58-S58)</x:f>
        <x:v>150</x:v>
      </x:c>
      <x:c r="Z58" s="19" t="str">
        <x:f>IF(AA58="IGEN",IF(J58&lt;S58,"GÉPIGÉNY + KRITIKUS: gépdíj nélkül is alacsony a plafon","GÉPIGÉNY: a saját egységár gépdíj nélkül értendő"),IF(J58&lt;S58,"KRITIKUS: alvállalkozói plafon &lt; saját terhelt egységköltség",IF(J58&lt;S58*Beallitasok!$B$6,"SZŰK TARTALÉK: 10% alatti tartalék","OK")))</x:f>
        <x:v>OK</x:v>
      </x:c>
      <x:c r="AA58" s="19" t="str">
        <x:v>NEM</x:v>
      </x:c>
      <x:c r="AB58" s="19" t="str">
        <x:v>https://joszaki.hu/arak/vasbetonszereles</x:v>
      </x:c>
      <x:c r="AC58" s="19" t="str">
        <x:v>2026 betonozási/zsaluzási alsó ársáv és mérnöki bontás</x:v>
      </x:c>
      <x:c r="AD58" s="19" t="str">
        <x:v>Beton, betonacél, zsaluanyag, pumpa és daru nem része a tiszta munkadíjnak.</x:v>
      </x:c>
    </x:row>
    <x:row r="59">
      <x:c r="A59" s="19" t="str">
        <x:v>AR-0058</x:v>
      </x:c>
      <x:c r="B59" s="19" t="str">
        <x:v>04 Vasbeton</x:v>
      </x:c>
      <x:c r="C59" s="19" t="str">
        <x:v>Alapozás, vasalás, zsaluzás, betonozás</x:v>
      </x:c>
      <x:c r="D59" s="19" t="str">
        <x:v>Mindegyik</x:v>
      </x:c>
      <x:c r="E59" s="19" t="str">
        <x:v>Beton utókezelése fóliázással és nedvesen tartással</x:v>
      </x:c>
      <x:c r="F59" s="19" t="str">
        <x:v>m²</x:v>
      </x:c>
      <x:c r="G59" s="113" t="n">
        <x:v>500</x:v>
      </x:c>
      <x:c r="H59" s="113" t="n">
        <x:v>800</x:v>
      </x:c>
      <x:c r="I59" s="114" t="n">
        <x:v>0.55</x:v>
      </x:c>
      <x:c r="J59" s="113" t="n">
        <x:f>ROUND(H59*I59/Beallitasok!$B$7,0)*Beallitasok!$B$7</x:f>
        <x:v>450</x:v>
      </x:c>
      <x:c r="K59" s="19" t="n">
        <x:v>0</x:v>
      </x:c>
      <x:c r="L59" s="19" t="n">
        <x:v>2</x:v>
      </x:c>
      <x:c r="M59" s="113" t="n">
        <x:f>K59*Beallitasok!$B$2+L59*Beallitasok!$B$3</x:f>
        <x:v>50000</x:v>
      </x:c>
      <x:c r="N59" s="115" t="n">
        <x:v>240</x:v>
      </x:c>
      <x:c r="O59" s="113" t="n">
        <x:f>IFERROR(M59/N59,"")</x:f>
        <x:v>208.33333333333334</x:v>
      </x:c>
      <x:c r="P59" s="116" t="n">
        <x:f>Beallitasok!$B$5</x:f>
        <x:v>1.15</x:v>
      </x:c>
      <x:c r="Q59" s="113" t="n">
        <x:f>IFERROR(ROUND(O59*P59/Beallitasok!$B$7,0)*Beallitasok!$B$7,"")</x:f>
        <x:v>250</x:v>
      </x:c>
      <x:c r="R59" s="113"/>
      <x:c r="S59" s="113" t="n">
        <x:f>IF(Q59="","",Q59+IF(R59="",0,R59))</x:f>
        <x:v>250</x:v>
      </x:c>
      <x:c r="T59" s="113" t="n">
        <x:f>M59*Beallitasok!$B$4</x:f>
        <x:v>250000</x:v>
      </x:c>
      <x:c r="U59" s="115" t="n">
        <x:f>N59*Beallitasok!$B$4</x:f>
        <x:v>1200</x:v>
      </x:c>
      <x:c r="V59" s="113"/>
      <x:c r="W59" s="113" t="str">
        <x:f>IF(V59="","",V59-J59)</x:f>
      </x:c>
      <x:c r="X59" s="19"/>
      <x:c r="Y59" s="113" t="n">
        <x:f>IF(S59="","",J59-S59)</x:f>
        <x:v>200</x:v>
      </x:c>
      <x:c r="Z59" s="19" t="str">
        <x:f>IF(AA59="IGEN",IF(J59&lt;S59,"GÉPIGÉNY + KRITIKUS: gépdíj nélkül is alacsony a plafon","GÉPIGÉNY: a saját egységár gépdíj nélkül értendő"),IF(J59&lt;S59,"KRITIKUS: alvállalkozói plafon &lt; saját terhelt egységköltség",IF(J59&lt;S59*Beallitasok!$B$6,"SZŰK TARTALÉK: 10% alatti tartalék","OK")))</x:f>
        <x:v>OK</x:v>
      </x:c>
      <x:c r="AA59" s="19" t="str">
        <x:v>NEM</x:v>
      </x:c>
      <x:c r="AB59" s="19" t="str">
        <x:v>https://joszaki.hu/arak/vasbetonszereles</x:v>
      </x:c>
      <x:c r="AC59" s="19" t="str">
        <x:v>2026 betonozási/zsaluzási alsó ársáv és mérnöki bontás</x:v>
      </x:c>
      <x:c r="AD59" s="19" t="str">
        <x:v>Beton, betonacél, zsaluanyag, pumpa és daru nem része a tiszta munkadíjnak.</x:v>
      </x:c>
    </x:row>
    <x:row r="60">
      <x:c r="A60" s="19" t="str">
        <x:v>AR-0059</x:v>
      </x:c>
      <x:c r="B60" s="19" t="str">
        <x:v>04 Vasbeton</x:v>
      </x:c>
      <x:c r="C60" s="19" t="str">
        <x:v>Alapozás, vasalás, zsaluzás, betonozás</x:v>
      </x:c>
      <x:c r="D60" s="19" t="str">
        <x:v>Mindegyik</x:v>
      </x:c>
      <x:c r="E60" s="19" t="str">
        <x:v>Betonacél vágása és hajlítása helyszínen</x:v>
      </x:c>
      <x:c r="F60" s="19" t="str">
        <x:v>kg</x:v>
      </x:c>
      <x:c r="G60" s="113" t="n">
        <x:v>200</x:v>
      </x:c>
      <x:c r="H60" s="113" t="n">
        <x:v>300</x:v>
      </x:c>
      <x:c r="I60" s="114" t="n">
        <x:v>0.5</x:v>
      </x:c>
      <x:c r="J60" s="113" t="n">
        <x:f>ROUND(H60*I60/Beallitasok!$B$7,0)*Beallitasok!$B$7</x:f>
        <x:v>150</x:v>
      </x:c>
      <x:c r="K60" s="19" t="n">
        <x:v>2</x:v>
      </x:c>
      <x:c r="L60" s="19" t="n">
        <x:v>1</x:v>
      </x:c>
      <x:c r="M60" s="113" t="n">
        <x:f>K60*Beallitasok!$B$2+L60*Beallitasok!$B$3</x:f>
        <x:v>95000</x:v>
      </x:c>
      <x:c r="N60" s="115" t="n">
        <x:v>550</x:v>
      </x:c>
      <x:c r="O60" s="113" t="n">
        <x:f>IFERROR(M60/N60,"")</x:f>
        <x:v>172.72727272727272</x:v>
      </x:c>
      <x:c r="P60" s="116" t="n">
        <x:f>Beallitasok!$B$5</x:f>
        <x:v>1.15</x:v>
      </x:c>
      <x:c r="Q60" s="113" t="n">
        <x:f>IFERROR(ROUND(O60*P60/Beallitasok!$B$7,0)*Beallitasok!$B$7,"")</x:f>
        <x:v>200</x:v>
      </x:c>
      <x:c r="R60" s="113"/>
      <x:c r="S60" s="113" t="n">
        <x:f>IF(Q60="","",Q60+IF(R60="",0,R60))</x:f>
        <x:v>200</x:v>
      </x:c>
      <x:c r="T60" s="113" t="n">
        <x:f>M60*Beallitasok!$B$4</x:f>
        <x:v>475000</x:v>
      </x:c>
      <x:c r="U60" s="115" t="n">
        <x:f>N60*Beallitasok!$B$4</x:f>
        <x:v>2750</x:v>
      </x:c>
      <x:c r="V60" s="113"/>
      <x:c r="W60" s="113" t="str">
        <x:f>IF(V60="","",V60-J60)</x:f>
      </x:c>
      <x:c r="X60" s="19"/>
      <x:c r="Y60" s="113" t="n">
        <x:f>IF(S60="","",J60-S60)</x:f>
        <x:v>-50</x:v>
      </x:c>
      <x:c r="Z60" s="19" t="str">
        <x:f>IF(AA60="IGEN",IF(J60&lt;S60,"GÉPIGÉNY + KRITIKUS: gépdíj nélkül is alacsony a plafon","GÉPIGÉNY: a saját egységár gépdíj nélkül értendő"),IF(J60&lt;S60,"KRITIKUS: alvállalkozói plafon &lt; saját terhelt egységköltség",IF(J60&lt;S60*Beallitasok!$B$6,"SZŰK TARTALÉK: 10% alatti tartalék","OK")))</x:f>
        <x:v>KRITIKUS: alvállalkozói plafon &lt; saját terhelt egységköltség</x:v>
      </x:c>
      <x:c r="AA60" s="19" t="str">
        <x:v>NEM</x:v>
      </x:c>
      <x:c r="AB60" s="19" t="str">
        <x:v>https://joszaki.hu/arak/vasbetonszereles</x:v>
      </x:c>
      <x:c r="AC60" s="19" t="str">
        <x:v>2026 betonozási/zsaluzási alsó ársáv és mérnöki bontás</x:v>
      </x:c>
      <x:c r="AD60" s="19" t="str">
        <x:v>Beton, betonacél, zsaluanyag, pumpa és daru nem része a tiszta munkadíjnak.</x:v>
      </x:c>
    </x:row>
    <x:row r="61">
      <x:c r="A61" s="19" t="str">
        <x:v>AR-0060</x:v>
      </x:c>
      <x:c r="B61" s="19" t="str">
        <x:v>04 Vasbeton</x:v>
      </x:c>
      <x:c r="C61" s="19" t="str">
        <x:v>Alapozás, vasalás, zsaluzás, betonozás</x:v>
      </x:c>
      <x:c r="D61" s="19" t="str">
        <x:v>Mindegyik</x:v>
      </x:c>
      <x:c r="E61" s="19" t="str">
        <x:v>Betonacél szerelése alaptestben</x:v>
      </x:c>
      <x:c r="F61" s="19" t="str">
        <x:v>kg</x:v>
      </x:c>
      <x:c r="G61" s="113" t="n">
        <x:v>250</x:v>
      </x:c>
      <x:c r="H61" s="113" t="n">
        <x:v>400</x:v>
      </x:c>
      <x:c r="I61" s="114" t="n">
        <x:v>0.5</x:v>
      </x:c>
      <x:c r="J61" s="113" t="n">
        <x:f>ROUND(H61*I61/Beallitasok!$B$7,0)*Beallitasok!$B$7</x:f>
        <x:v>200</x:v>
      </x:c>
      <x:c r="K61" s="19" t="n">
        <x:v>2</x:v>
      </x:c>
      <x:c r="L61" s="19" t="n">
        <x:v>2</x:v>
      </x:c>
      <x:c r="M61" s="113" t="n">
        <x:f>K61*Beallitasok!$B$2+L61*Beallitasok!$B$3</x:f>
        <x:v>120000</x:v>
      </x:c>
      <x:c r="N61" s="115" t="n">
        <x:v>420</x:v>
      </x:c>
      <x:c r="O61" s="113" t="n">
        <x:f>IFERROR(M61/N61,"")</x:f>
        <x:v>285.7142857142857</x:v>
      </x:c>
      <x:c r="P61" s="116" t="n">
        <x:f>Beallitasok!$B$5</x:f>
        <x:v>1.15</x:v>
      </x:c>
      <x:c r="Q61" s="113" t="n">
        <x:f>IFERROR(ROUND(O61*P61/Beallitasok!$B$7,0)*Beallitasok!$B$7,"")</x:f>
        <x:v>350</x:v>
      </x:c>
      <x:c r="R61" s="113"/>
      <x:c r="S61" s="113" t="n">
        <x:f>IF(Q61="","",Q61+IF(R61="",0,R61))</x:f>
        <x:v>350</x:v>
      </x:c>
      <x:c r="T61" s="113" t="n">
        <x:f>M61*Beallitasok!$B$4</x:f>
        <x:v>600000</x:v>
      </x:c>
      <x:c r="U61" s="115" t="n">
        <x:f>N61*Beallitasok!$B$4</x:f>
        <x:v>2100</x:v>
      </x:c>
      <x:c r="V61" s="113"/>
      <x:c r="W61" s="113" t="str">
        <x:f>IF(V61="","",V61-J61)</x:f>
      </x:c>
      <x:c r="X61" s="19"/>
      <x:c r="Y61" s="113" t="n">
        <x:f>IF(S61="","",J61-S61)</x:f>
        <x:v>-150</x:v>
      </x:c>
      <x:c r="Z61" s="19" t="str">
        <x:f>IF(AA61="IGEN",IF(J61&lt;S61,"GÉPIGÉNY + KRITIKUS: gépdíj nélkül is alacsony a plafon","GÉPIGÉNY: a saját egységár gépdíj nélkül értendő"),IF(J61&lt;S61,"KRITIKUS: alvállalkozói plafon &lt; saját terhelt egységköltség",IF(J61&lt;S61*Beallitasok!$B$6,"SZŰK TARTALÉK: 10% alatti tartalék","OK")))</x:f>
        <x:v>KRITIKUS: alvállalkozói plafon &lt; saját terhelt egységköltség</x:v>
      </x:c>
      <x:c r="AA61" s="19" t="str">
        <x:v>NEM</x:v>
      </x:c>
      <x:c r="AB61" s="19" t="str">
        <x:v>https://joszaki.hu/arak/vasbetonszereles</x:v>
      </x:c>
      <x:c r="AC61" s="19" t="str">
        <x:v>2026 betonozási/zsaluzási alsó ársáv és mérnöki bontás</x:v>
      </x:c>
      <x:c r="AD61" s="19" t="str">
        <x:v>Beton, betonacél, zsaluanyag, pumpa és daru nem része a tiszta munkadíjnak.</x:v>
      </x:c>
    </x:row>
    <x:row r="62">
      <x:c r="A62" s="19" t="str">
        <x:v>AR-0061</x:v>
      </x:c>
      <x:c r="B62" s="19" t="str">
        <x:v>04 Vasbeton</x:v>
      </x:c>
      <x:c r="C62" s="19" t="str">
        <x:v>Alapozás, vasalás, zsaluzás, betonozás</x:v>
      </x:c>
      <x:c r="D62" s="19" t="str">
        <x:v>Mindegyik</x:v>
      </x:c>
      <x:c r="E62" s="19" t="str">
        <x:v>Betonacél szerelése lemezalapban</x:v>
      </x:c>
      <x:c r="F62" s="19" t="str">
        <x:v>kg</x:v>
      </x:c>
      <x:c r="G62" s="113" t="n">
        <x:v>300</x:v>
      </x:c>
      <x:c r="H62" s="113" t="n">
        <x:v>400</x:v>
      </x:c>
      <x:c r="I62" s="114" t="n">
        <x:v>0.5</x:v>
      </x:c>
      <x:c r="J62" s="113" t="n">
        <x:f>ROUND(H62*I62/Beallitasok!$B$7,0)*Beallitasok!$B$7</x:f>
        <x:v>200</x:v>
      </x:c>
      <x:c r="K62" s="19" t="n">
        <x:v>3</x:v>
      </x:c>
      <x:c r="L62" s="19" t="n">
        <x:v>2</x:v>
      </x:c>
      <x:c r="M62" s="113" t="n">
        <x:f>K62*Beallitasok!$B$2+L62*Beallitasok!$B$3</x:f>
        <x:v>155000</x:v>
      </x:c>
      <x:c r="N62" s="115" t="n">
        <x:v>550</x:v>
      </x:c>
      <x:c r="O62" s="113" t="n">
        <x:f>IFERROR(M62/N62,"")</x:f>
        <x:v>281.8181818181818</x:v>
      </x:c>
      <x:c r="P62" s="116" t="n">
        <x:f>Beallitasok!$B$5</x:f>
        <x:v>1.15</x:v>
      </x:c>
      <x:c r="Q62" s="113" t="n">
        <x:f>IFERROR(ROUND(O62*P62/Beallitasok!$B$7,0)*Beallitasok!$B$7,"")</x:f>
        <x:v>300</x:v>
      </x:c>
      <x:c r="R62" s="113"/>
      <x:c r="S62" s="113" t="n">
        <x:f>IF(Q62="","",Q62+IF(R62="",0,R62))</x:f>
        <x:v>300</x:v>
      </x:c>
      <x:c r="T62" s="113" t="n">
        <x:f>M62*Beallitasok!$B$4</x:f>
        <x:v>775000</x:v>
      </x:c>
      <x:c r="U62" s="115" t="n">
        <x:f>N62*Beallitasok!$B$4</x:f>
        <x:v>2750</x:v>
      </x:c>
      <x:c r="V62" s="113"/>
      <x:c r="W62" s="113" t="str">
        <x:f>IF(V62="","",V62-J62)</x:f>
      </x:c>
      <x:c r="X62" s="19"/>
      <x:c r="Y62" s="113" t="n">
        <x:f>IF(S62="","",J62-S62)</x:f>
        <x:v>-100</x:v>
      </x:c>
      <x:c r="Z62" s="19" t="str">
        <x:f>IF(AA62="IGEN",IF(J62&lt;S62,"GÉPIGÉNY + KRITIKUS: gépdíj nélkül is alacsony a plafon","GÉPIGÉNY: a saját egységár gépdíj nélkül értendő"),IF(J62&lt;S62,"KRITIKUS: alvállalkozói plafon &lt; saját terhelt egységköltség",IF(J62&lt;S62*Beallitasok!$B$6,"SZŰK TARTALÉK: 10% alatti tartalék","OK")))</x:f>
        <x:v>KRITIKUS: alvállalkozói plafon &lt; saját terhelt egységköltség</x:v>
      </x:c>
      <x:c r="AA62" s="19" t="str">
        <x:v>NEM</x:v>
      </x:c>
      <x:c r="AB62" s="19" t="str">
        <x:v>https://joszaki.hu/arak/vasbetonszereles</x:v>
      </x:c>
      <x:c r="AC62" s="19" t="str">
        <x:v>2026 betonozási/zsaluzási alsó ársáv és mérnöki bontás</x:v>
      </x:c>
      <x:c r="AD62" s="19" t="str">
        <x:v>Beton, betonacél, zsaluanyag, pumpa és daru nem része a tiszta munkadíjnak.</x:v>
      </x:c>
    </x:row>
    <x:row r="63">
      <x:c r="A63" s="19" t="str">
        <x:v>AR-0062</x:v>
      </x:c>
      <x:c r="B63" s="19" t="str">
        <x:v>04 Vasbeton</x:v>
      </x:c>
      <x:c r="C63" s="19" t="str">
        <x:v>Alapozás, vasalás, zsaluzás, betonozás</x:v>
      </x:c>
      <x:c r="D63" s="19" t="str">
        <x:v>Mindegyik</x:v>
      </x:c>
      <x:c r="E63" s="19" t="str">
        <x:v>Betonacél szerelése falban és pillérben</x:v>
      </x:c>
      <x:c r="F63" s="19" t="str">
        <x:v>kg</x:v>
      </x:c>
      <x:c r="G63" s="113" t="n">
        <x:v>350</x:v>
      </x:c>
      <x:c r="H63" s="113" t="n">
        <x:v>500</x:v>
      </x:c>
      <x:c r="I63" s="114" t="n">
        <x:v>0.5</x:v>
      </x:c>
      <x:c r="J63" s="113" t="n">
        <x:f>ROUND(H63*I63/Beallitasok!$B$7,0)*Beallitasok!$B$7</x:f>
        <x:v>250</x:v>
      </x:c>
      <x:c r="K63" s="19" t="n">
        <x:v>3</x:v>
      </x:c>
      <x:c r="L63" s="19" t="n">
        <x:v>2</x:v>
      </x:c>
      <x:c r="M63" s="113" t="n">
        <x:f>K63*Beallitasok!$B$2+L63*Beallitasok!$B$3</x:f>
        <x:v>155000</x:v>
      </x:c>
      <x:c r="N63" s="115" t="n">
        <x:v>430</x:v>
      </x:c>
      <x:c r="O63" s="113" t="n">
        <x:f>IFERROR(M63/N63,"")</x:f>
        <x:v>360.4651162790698</x:v>
      </x:c>
      <x:c r="P63" s="116" t="n">
        <x:f>Beallitasok!$B$5</x:f>
        <x:v>1.15</x:v>
      </x:c>
      <x:c r="Q63" s="113" t="n">
        <x:f>IFERROR(ROUND(O63*P63/Beallitasok!$B$7,0)*Beallitasok!$B$7,"")</x:f>
        <x:v>400</x:v>
      </x:c>
      <x:c r="R63" s="113"/>
      <x:c r="S63" s="113" t="n">
        <x:f>IF(Q63="","",Q63+IF(R63="",0,R63))</x:f>
        <x:v>400</x:v>
      </x:c>
      <x:c r="T63" s="113" t="n">
        <x:f>M63*Beallitasok!$B$4</x:f>
        <x:v>775000</x:v>
      </x:c>
      <x:c r="U63" s="115" t="n">
        <x:f>N63*Beallitasok!$B$4</x:f>
        <x:v>2150</x:v>
      </x:c>
      <x:c r="V63" s="113"/>
      <x:c r="W63" s="113" t="str">
        <x:f>IF(V63="","",V63-J63)</x:f>
      </x:c>
      <x:c r="X63" s="19"/>
      <x:c r="Y63" s="113" t="n">
        <x:f>IF(S63="","",J63-S63)</x:f>
        <x:v>-150</x:v>
      </x:c>
      <x:c r="Z63" s="19" t="str">
        <x:f>IF(AA63="IGEN",IF(J63&lt;S63,"GÉPIGÉNY + KRITIKUS: gépdíj nélkül is alacsony a plafon","GÉPIGÉNY: a saját egységár gépdíj nélkül értendő"),IF(J63&lt;S63,"KRITIKUS: alvállalkozói plafon &lt; saját terhelt egységköltség",IF(J63&lt;S63*Beallitasok!$B$6,"SZŰK TARTALÉK: 10% alatti tartalék","OK")))</x:f>
        <x:v>KRITIKUS: alvállalkozói plafon &lt; saját terhelt egységköltség</x:v>
      </x:c>
      <x:c r="AA63" s="19" t="str">
        <x:v>NEM</x:v>
      </x:c>
      <x:c r="AB63" s="19" t="str">
        <x:v>https://joszaki.hu/arak/vasbetonszereles</x:v>
      </x:c>
      <x:c r="AC63" s="19" t="str">
        <x:v>2026 betonozási/zsaluzási alsó ársáv és mérnöki bontás</x:v>
      </x:c>
      <x:c r="AD63" s="19" t="str">
        <x:v>Beton, betonacél, zsaluanyag, pumpa és daru nem része a tiszta munkadíjnak.</x:v>
      </x:c>
    </x:row>
    <x:row r="64">
      <x:c r="A64" s="19" t="str">
        <x:v>AR-0063</x:v>
      </x:c>
      <x:c r="B64" s="19" t="str">
        <x:v>04 Vasbeton</x:v>
      </x:c>
      <x:c r="C64" s="19" t="str">
        <x:v>Alapozás, vasalás, zsaluzás, betonozás</x:v>
      </x:c>
      <x:c r="D64" s="19" t="str">
        <x:v>Mindegyik</x:v>
      </x:c>
      <x:c r="E64" s="19" t="str">
        <x:v>Hegesztett háló fektetése távtartókkal</x:v>
      </x:c>
      <x:c r="F64" s="19" t="str">
        <x:v>m²</x:v>
      </x:c>
      <x:c r="G64" s="113" t="n">
        <x:v>900</x:v>
      </x:c>
      <x:c r="H64" s="113" t="n">
        <x:v>1400</x:v>
      </x:c>
      <x:c r="I64" s="114" t="n">
        <x:v>0.5</x:v>
      </x:c>
      <x:c r="J64" s="113" t="n">
        <x:f>ROUND(H64*I64/Beallitasok!$B$7,0)*Beallitasok!$B$7</x:f>
        <x:v>700</x:v>
      </x:c>
      <x:c r="K64" s="19" t="n">
        <x:v>2</x:v>
      </x:c>
      <x:c r="L64" s="19" t="n">
        <x:v>2</x:v>
      </x:c>
      <x:c r="M64" s="113" t="n">
        <x:f>K64*Beallitasok!$B$2+L64*Beallitasok!$B$3</x:f>
        <x:v>120000</x:v>
      </x:c>
      <x:c r="N64" s="115" t="n">
        <x:v>160</x:v>
      </x:c>
      <x:c r="O64" s="113" t="n">
        <x:f>IFERROR(M64/N64,"")</x:f>
        <x:v>750</x:v>
      </x:c>
      <x:c r="P64" s="116" t="n">
        <x:f>Beallitasok!$B$5</x:f>
        <x:v>1.15</x:v>
      </x:c>
      <x:c r="Q64" s="113" t="n">
        <x:f>IFERROR(ROUND(O64*P64/Beallitasok!$B$7,0)*Beallitasok!$B$7,"")</x:f>
        <x:v>850</x:v>
      </x:c>
      <x:c r="R64" s="113"/>
      <x:c r="S64" s="113" t="n">
        <x:f>IF(Q64="","",Q64+IF(R64="",0,R64))</x:f>
        <x:v>850</x:v>
      </x:c>
      <x:c r="T64" s="113" t="n">
        <x:f>M64*Beallitasok!$B$4</x:f>
        <x:v>600000</x:v>
      </x:c>
      <x:c r="U64" s="115" t="n">
        <x:f>N64*Beallitasok!$B$4</x:f>
        <x:v>800</x:v>
      </x:c>
      <x:c r="V64" s="113"/>
      <x:c r="W64" s="113" t="str">
        <x:f>IF(V64="","",V64-J64)</x:f>
      </x:c>
      <x:c r="X64" s="19"/>
      <x:c r="Y64" s="113" t="n">
        <x:f>IF(S64="","",J64-S64)</x:f>
        <x:v>-150</x:v>
      </x:c>
      <x:c r="Z64" s="19" t="str">
        <x:f>IF(AA64="IGEN",IF(J64&lt;S64,"GÉPIGÉNY + KRITIKUS: gépdíj nélkül is alacsony a plafon","GÉPIGÉNY: a saját egységár gépdíj nélkül értendő"),IF(J64&lt;S64,"KRITIKUS: alvállalkozói plafon &lt; saját terhelt egységköltség",IF(J64&lt;S64*Beallitasok!$B$6,"SZŰK TARTALÉK: 10% alatti tartalék","OK")))</x:f>
        <x:v>KRITIKUS: alvállalkozói plafon &lt; saját terhelt egységköltség</x:v>
      </x:c>
      <x:c r="AA64" s="19" t="str">
        <x:v>NEM</x:v>
      </x:c>
      <x:c r="AB64" s="19" t="str">
        <x:v>https://joszaki.hu/arak/vasbetonszereles</x:v>
      </x:c>
      <x:c r="AC64" s="19" t="str">
        <x:v>2026 betonozási/zsaluzási alsó ársáv és mérnöki bontás</x:v>
      </x:c>
      <x:c r="AD64" s="19" t="str">
        <x:v>Beton, betonacél, zsaluanyag, pumpa és daru nem része a tiszta munkadíjnak.</x:v>
      </x:c>
    </x:row>
    <x:row r="65">
      <x:c r="A65" s="19" t="str">
        <x:v>AR-0064</x:v>
      </x:c>
      <x:c r="B65" s="19" t="str">
        <x:v>04 Vasbeton</x:v>
      </x:c>
      <x:c r="C65" s="19" t="str">
        <x:v>Alapozás, vasalás, zsaluzás, betonozás</x:v>
      </x:c>
      <x:c r="D65" s="19" t="str">
        <x:v>Mindegyik</x:v>
      </x:c>
      <x:c r="E65" s="19" t="str">
        <x:v>Sávalap oldalzsalu készítése</x:v>
      </x:c>
      <x:c r="F65" s="19" t="str">
        <x:v>m²</x:v>
      </x:c>
      <x:c r="G65" s="113" t="n">
        <x:v>4500</x:v>
      </x:c>
      <x:c r="H65" s="113" t="n">
        <x:v>6500</x:v>
      </x:c>
      <x:c r="I65" s="114" t="n">
        <x:v>0.5</x:v>
      </x:c>
      <x:c r="J65" s="113" t="n">
        <x:f>ROUND(H65*I65/Beallitasok!$B$7,0)*Beallitasok!$B$7</x:f>
        <x:v>3250</x:v>
      </x:c>
      <x:c r="K65" s="19" t="n">
        <x:v>2</x:v>
      </x:c>
      <x:c r="L65" s="19" t="n">
        <x:v>2</x:v>
      </x:c>
      <x:c r="M65" s="113" t="n">
        <x:f>K65*Beallitasok!$B$2+L65*Beallitasok!$B$3</x:f>
        <x:v>120000</x:v>
      </x:c>
      <x:c r="N65" s="115" t="n">
        <x:v>32</x:v>
      </x:c>
      <x:c r="O65" s="113" t="n">
        <x:f>IFERROR(M65/N65,"")</x:f>
        <x:v>3750</x:v>
      </x:c>
      <x:c r="P65" s="116" t="n">
        <x:f>Beallitasok!$B$5</x:f>
        <x:v>1.15</x:v>
      </x:c>
      <x:c r="Q65" s="113" t="n">
        <x:f>IFERROR(ROUND(O65*P65/Beallitasok!$B$7,0)*Beallitasok!$B$7,"")</x:f>
        <x:v>4300</x:v>
      </x:c>
      <x:c r="R65" s="113"/>
      <x:c r="S65" s="113" t="n">
        <x:f>IF(Q65="","",Q65+IF(R65="",0,R65))</x:f>
        <x:v>4300</x:v>
      </x:c>
      <x:c r="T65" s="113" t="n">
        <x:f>M65*Beallitasok!$B$4</x:f>
        <x:v>600000</x:v>
      </x:c>
      <x:c r="U65" s="115" t="n">
        <x:f>N65*Beallitasok!$B$4</x:f>
        <x:v>160</x:v>
      </x:c>
      <x:c r="V65" s="113"/>
      <x:c r="W65" s="113" t="str">
        <x:f>IF(V65="","",V65-J65)</x:f>
      </x:c>
      <x:c r="X65" s="19"/>
      <x:c r="Y65" s="113" t="n">
        <x:f>IF(S65="","",J65-S65)</x:f>
        <x:v>-1050</x:v>
      </x:c>
      <x:c r="Z65" s="19" t="str">
        <x:f>IF(AA65="IGEN",IF(J65&lt;S65,"GÉPIGÉNY + KRITIKUS: gépdíj nélkül is alacsony a plafon","GÉPIGÉNY: a saját egységár gépdíj nélkül értendő"),IF(J65&lt;S65,"KRITIKUS: alvállalkozói plafon &lt; saját terhelt egységköltség",IF(J65&lt;S65*Beallitasok!$B$6,"SZŰK TARTALÉK: 10% alatti tartalék","OK")))</x:f>
        <x:v>KRITIKUS: alvállalkozói plafon &lt; saját terhelt egységköltség</x:v>
      </x:c>
      <x:c r="AA65" s="19" t="str">
        <x:v>NEM</x:v>
      </x:c>
      <x:c r="AB65" s="19" t="str">
        <x:v>https://joszaki.hu/arak/vasbetonszereles</x:v>
      </x:c>
      <x:c r="AC65" s="19" t="str">
        <x:v>2026 betonozási/zsaluzási alsó ársáv és mérnöki bontás</x:v>
      </x:c>
      <x:c r="AD65" s="19" t="str">
        <x:v>Beton, betonacél, zsaluanyag, pumpa és daru nem része a tiszta munkadíjnak.</x:v>
      </x:c>
    </x:row>
    <x:row r="66">
      <x:c r="A66" s="19" t="str">
        <x:v>AR-0065</x:v>
      </x:c>
      <x:c r="B66" s="19" t="str">
        <x:v>04 Vasbeton</x:v>
      </x:c>
      <x:c r="C66" s="19" t="str">
        <x:v>Alapozás, vasalás, zsaluzás, betonozás</x:v>
      </x:c>
      <x:c r="D66" s="19" t="str">
        <x:v>Mindegyik</x:v>
      </x:c>
      <x:c r="E66" s="19" t="str">
        <x:v>Lábazati gerenda zsaluzása</x:v>
      </x:c>
      <x:c r="F66" s="19" t="str">
        <x:v>m²</x:v>
      </x:c>
      <x:c r="G66" s="113" t="n">
        <x:v>5500</x:v>
      </x:c>
      <x:c r="H66" s="113" t="n">
        <x:v>8000</x:v>
      </x:c>
      <x:c r="I66" s="114" t="n">
        <x:v>0.5</x:v>
      </x:c>
      <x:c r="J66" s="113" t="n">
        <x:f>ROUND(H66*I66/Beallitasok!$B$7,0)*Beallitasok!$B$7</x:f>
        <x:v>4000</x:v>
      </x:c>
      <x:c r="K66" s="19" t="n">
        <x:v>2</x:v>
      </x:c>
      <x:c r="L66" s="19" t="n">
        <x:v>2</x:v>
      </x:c>
      <x:c r="M66" s="113" t="n">
        <x:f>K66*Beallitasok!$B$2+L66*Beallitasok!$B$3</x:f>
        <x:v>120000</x:v>
      </x:c>
      <x:c r="N66" s="115" t="n">
        <x:v>26</x:v>
      </x:c>
      <x:c r="O66" s="113" t="n">
        <x:f>IFERROR(M66/N66,"")</x:f>
        <x:v>4615.384615384615</x:v>
      </x:c>
      <x:c r="P66" s="116" t="n">
        <x:f>Beallitasok!$B$5</x:f>
        <x:v>1.15</x:v>
      </x:c>
      <x:c r="Q66" s="113" t="n">
        <x:f>IFERROR(ROUND(O66*P66/Beallitasok!$B$7,0)*Beallitasok!$B$7,"")</x:f>
        <x:v>5300</x:v>
      </x:c>
      <x:c r="R66" s="113"/>
      <x:c r="S66" s="113" t="n">
        <x:f>IF(Q66="","",Q66+IF(R66="",0,R66))</x:f>
        <x:v>5300</x:v>
      </x:c>
      <x:c r="T66" s="113" t="n">
        <x:f>M66*Beallitasok!$B$4</x:f>
        <x:v>600000</x:v>
      </x:c>
      <x:c r="U66" s="115" t="n">
        <x:f>N66*Beallitasok!$B$4</x:f>
        <x:v>130</x:v>
      </x:c>
      <x:c r="V66" s="113"/>
      <x:c r="W66" s="113" t="str">
        <x:f>IF(V66="","",V66-J66)</x:f>
      </x:c>
      <x:c r="X66" s="19"/>
      <x:c r="Y66" s="113" t="n">
        <x:f>IF(S66="","",J66-S66)</x:f>
        <x:v>-1300</x:v>
      </x:c>
      <x:c r="Z66" s="19" t="str">
        <x:f>IF(AA66="IGEN",IF(J66&lt;S66,"GÉPIGÉNY + KRITIKUS: gépdíj nélkül is alacsony a plafon","GÉPIGÉNY: a saját egységár gépdíj nélkül értendő"),IF(J66&lt;S66,"KRITIKUS: alvállalkozói plafon &lt; saját terhelt egységköltség",IF(J66&lt;S66*Beallitasok!$B$6,"SZŰK TARTALÉK: 10% alatti tartalék","OK")))</x:f>
        <x:v>KRITIKUS: alvállalkozói plafon &lt; saját terhelt egységköltség</x:v>
      </x:c>
      <x:c r="AA66" s="19" t="str">
        <x:v>NEM</x:v>
      </x:c>
      <x:c r="AB66" s="19" t="str">
        <x:v>https://joszaki.hu/arak/vasbetonszereles</x:v>
      </x:c>
      <x:c r="AC66" s="19" t="str">
        <x:v>2026 betonozási/zsaluzási alsó ársáv és mérnöki bontás</x:v>
      </x:c>
      <x:c r="AD66" s="19" t="str">
        <x:v>Beton, betonacél, zsaluanyag, pumpa és daru nem része a tiszta munkadíjnak.</x:v>
      </x:c>
    </x:row>
    <x:row r="67">
      <x:c r="A67" s="19" t="str">
        <x:v>AR-0066</x:v>
      </x:c>
      <x:c r="B67" s="19" t="str">
        <x:v>04 Vasbeton</x:v>
      </x:c>
      <x:c r="C67" s="19" t="str">
        <x:v>Alapozás, vasalás, zsaluzás, betonozás</x:v>
      </x:c>
      <x:c r="D67" s="19" t="str">
        <x:v>Mindegyik</x:v>
      </x:c>
      <x:c r="E67" s="19" t="str">
        <x:v>Pillér zsaluzása hagyományos táblás rendszerrel</x:v>
      </x:c>
      <x:c r="F67" s="19" t="str">
        <x:v>m²</x:v>
      </x:c>
      <x:c r="G67" s="113" t="n">
        <x:v>6500</x:v>
      </x:c>
      <x:c r="H67" s="113" t="n">
        <x:v>9000</x:v>
      </x:c>
      <x:c r="I67" s="114" t="n">
        <x:v>0.5</x:v>
      </x:c>
      <x:c r="J67" s="113" t="n">
        <x:f>ROUND(H67*I67/Beallitasok!$B$7,0)*Beallitasok!$B$7</x:f>
        <x:v>4500</x:v>
      </x:c>
      <x:c r="K67" s="19" t="n">
        <x:v>2</x:v>
      </x:c>
      <x:c r="L67" s="19" t="n">
        <x:v>2</x:v>
      </x:c>
      <x:c r="M67" s="113" t="n">
        <x:f>K67*Beallitasok!$B$2+L67*Beallitasok!$B$3</x:f>
        <x:v>120000</x:v>
      </x:c>
      <x:c r="N67" s="115" t="n">
        <x:v>22</x:v>
      </x:c>
      <x:c r="O67" s="113" t="n">
        <x:f>IFERROR(M67/N67,"")</x:f>
        <x:v>5454.545454545455</x:v>
      </x:c>
      <x:c r="P67" s="116" t="n">
        <x:f>Beallitasok!$B$5</x:f>
        <x:v>1.15</x:v>
      </x:c>
      <x:c r="Q67" s="113" t="n">
        <x:f>IFERROR(ROUND(O67*P67/Beallitasok!$B$7,0)*Beallitasok!$B$7,"")</x:f>
        <x:v>6250</x:v>
      </x:c>
      <x:c r="R67" s="113"/>
      <x:c r="S67" s="113" t="n">
        <x:f>IF(Q67="","",Q67+IF(R67="",0,R67))</x:f>
        <x:v>6250</x:v>
      </x:c>
      <x:c r="T67" s="113" t="n">
        <x:f>M67*Beallitasok!$B$4</x:f>
        <x:v>600000</x:v>
      </x:c>
      <x:c r="U67" s="115" t="n">
        <x:f>N67*Beallitasok!$B$4</x:f>
        <x:v>110</x:v>
      </x:c>
      <x:c r="V67" s="113"/>
      <x:c r="W67" s="113" t="str">
        <x:f>IF(V67="","",V67-J67)</x:f>
      </x:c>
      <x:c r="X67" s="19"/>
      <x:c r="Y67" s="113" t="n">
        <x:f>IF(S67="","",J67-S67)</x:f>
        <x:v>-1750</x:v>
      </x:c>
      <x:c r="Z67" s="19" t="str">
        <x:f>IF(AA67="IGEN",IF(J67&lt;S67,"GÉPIGÉNY + KRITIKUS: gépdíj nélkül is alacsony a plafon","GÉPIGÉNY: a saját egységár gépdíj nélkül értendő"),IF(J67&lt;S67,"KRITIKUS: alvállalkozói plafon &lt; saját terhelt egységköltség",IF(J67&lt;S67*Beallitasok!$B$6,"SZŰK TARTALÉK: 10% alatti tartalék","OK")))</x:f>
        <x:v>KRITIKUS: alvállalkozói plafon &lt; saját terhelt egységköltség</x:v>
      </x:c>
      <x:c r="AA67" s="19" t="str">
        <x:v>NEM</x:v>
      </x:c>
      <x:c r="AB67" s="19" t="str">
        <x:v>https://joszaki.hu/arak/vasbetonszereles</x:v>
      </x:c>
      <x:c r="AC67" s="19" t="str">
        <x:v>2026 betonozási/zsaluzási alsó ársáv és mérnöki bontás</x:v>
      </x:c>
      <x:c r="AD67" s="19" t="str">
        <x:v>Beton, betonacél, zsaluanyag, pumpa és daru nem része a tiszta munkadíjnak.</x:v>
      </x:c>
    </x:row>
    <x:row r="68">
      <x:c r="A68" s="19" t="str">
        <x:v>AR-0067</x:v>
      </x:c>
      <x:c r="B68" s="19" t="str">
        <x:v>04 Vasbeton</x:v>
      </x:c>
      <x:c r="C68" s="19" t="str">
        <x:v>Alapozás, vasalás, zsaluzás, betonozás</x:v>
      </x:c>
      <x:c r="D68" s="19" t="str">
        <x:v>Mindegyik</x:v>
      </x:c>
      <x:c r="E68" s="19" t="str">
        <x:v>Vasbeton fal zsaluzása rendszerzsaluzattal</x:v>
      </x:c>
      <x:c r="F68" s="19" t="str">
        <x:v>m²</x:v>
      </x:c>
      <x:c r="G68" s="113" t="n">
        <x:v>5500</x:v>
      </x:c>
      <x:c r="H68" s="113" t="n">
        <x:v>8000</x:v>
      </x:c>
      <x:c r="I68" s="114" t="n">
        <x:v>0.5</x:v>
      </x:c>
      <x:c r="J68" s="113" t="n">
        <x:f>ROUND(H68*I68/Beallitasok!$B$7,0)*Beallitasok!$B$7</x:f>
        <x:v>4000</x:v>
      </x:c>
      <x:c r="K68" s="19" t="n">
        <x:v>3</x:v>
      </x:c>
      <x:c r="L68" s="19" t="n">
        <x:v>2</x:v>
      </x:c>
      <x:c r="M68" s="113" t="n">
        <x:f>K68*Beallitasok!$B$2+L68*Beallitasok!$B$3</x:f>
        <x:v>155000</x:v>
      </x:c>
      <x:c r="N68" s="115" t="n">
        <x:v>40</x:v>
      </x:c>
      <x:c r="O68" s="113" t="n">
        <x:f>IFERROR(M68/N68,"")</x:f>
        <x:v>3875</x:v>
      </x:c>
      <x:c r="P68" s="116" t="n">
        <x:f>Beallitasok!$B$5</x:f>
        <x:v>1.15</x:v>
      </x:c>
      <x:c r="Q68" s="113" t="n">
        <x:f>IFERROR(ROUND(O68*P68/Beallitasok!$B$7,0)*Beallitasok!$B$7,"")</x:f>
        <x:v>4450</x:v>
      </x:c>
      <x:c r="R68" s="113"/>
      <x:c r="S68" s="113" t="n">
        <x:f>IF(Q68="","",Q68+IF(R68="",0,R68))</x:f>
        <x:v>4450</x:v>
      </x:c>
      <x:c r="T68" s="113" t="n">
        <x:f>M68*Beallitasok!$B$4</x:f>
        <x:v>775000</x:v>
      </x:c>
      <x:c r="U68" s="115" t="n">
        <x:f>N68*Beallitasok!$B$4</x:f>
        <x:v>200</x:v>
      </x:c>
      <x:c r="V68" s="113"/>
      <x:c r="W68" s="113" t="str">
        <x:f>IF(V68="","",V68-J68)</x:f>
      </x:c>
      <x:c r="X68" s="19"/>
      <x:c r="Y68" s="113" t="n">
        <x:f>IF(S68="","",J68-S68)</x:f>
        <x:v>-450</x:v>
      </x:c>
      <x:c r="Z68" s="19" t="str">
        <x:f>IF(AA68="IGEN",IF(J68&lt;S68,"GÉPIGÉNY + KRITIKUS: gépdíj nélkül is alacsony a plafon","GÉPIGÉNY: a saját egységár gépdíj nélkül értendő"),IF(J68&lt;S68,"KRITIKUS: alvállalkozói plafon &lt; saját terhelt egységköltség",IF(J68&lt;S68*Beallitasok!$B$6,"SZŰK TARTALÉK: 10% alatti tartalék","OK")))</x:f>
        <x:v>KRITIKUS: alvállalkozói plafon &lt; saját terhelt egységköltség</x:v>
      </x:c>
      <x:c r="AA68" s="19" t="str">
        <x:v>NEM</x:v>
      </x:c>
      <x:c r="AB68" s="19" t="str">
        <x:v>https://joszaki.hu/arak/vasbetonszereles</x:v>
      </x:c>
      <x:c r="AC68" s="19" t="str">
        <x:v>2026 betonozási/zsaluzási alsó ársáv és mérnöki bontás</x:v>
      </x:c>
      <x:c r="AD68" s="19" t="str">
        <x:v>Beton, betonacél, zsaluanyag, pumpa és daru nem része a tiszta munkadíjnak.</x:v>
      </x:c>
    </x:row>
    <x:row r="69">
      <x:c r="A69" s="19" t="str">
        <x:v>AR-0068</x:v>
      </x:c>
      <x:c r="B69" s="19" t="str">
        <x:v>04 Vasbeton</x:v>
      </x:c>
      <x:c r="C69" s="19" t="str">
        <x:v>Alapozás, vasalás, zsaluzás, betonozás</x:v>
      </x:c>
      <x:c r="D69" s="19" t="str">
        <x:v>Mindegyik</x:v>
      </x:c>
      <x:c r="E69" s="19" t="str">
        <x:v>Monolit födém zsaluzása alátámasztással</x:v>
      </x:c>
      <x:c r="F69" s="19" t="str">
        <x:v>m²</x:v>
      </x:c>
      <x:c r="G69" s="113" t="n">
        <x:v>5000</x:v>
      </x:c>
      <x:c r="H69" s="113" t="n">
        <x:v>7200</x:v>
      </x:c>
      <x:c r="I69" s="114" t="n">
        <x:v>0.5</x:v>
      </x:c>
      <x:c r="J69" s="113" t="n">
        <x:f>ROUND(H69*I69/Beallitasok!$B$7,0)*Beallitasok!$B$7</x:f>
        <x:v>3600</x:v>
      </x:c>
      <x:c r="K69" s="19" t="n">
        <x:v>3</x:v>
      </x:c>
      <x:c r="L69" s="19" t="n">
        <x:v>3</x:v>
      </x:c>
      <x:c r="M69" s="113" t="n">
        <x:f>K69*Beallitasok!$B$2+L69*Beallitasok!$B$3</x:f>
        <x:v>180000</x:v>
      </x:c>
      <x:c r="N69" s="115" t="n">
        <x:v>45</x:v>
      </x:c>
      <x:c r="O69" s="113" t="n">
        <x:f>IFERROR(M69/N69,"")</x:f>
        <x:v>4000</x:v>
      </x:c>
      <x:c r="P69" s="116" t="n">
        <x:f>Beallitasok!$B$5</x:f>
        <x:v>1.15</x:v>
      </x:c>
      <x:c r="Q69" s="113" t="n">
        <x:f>IFERROR(ROUND(O69*P69/Beallitasok!$B$7,0)*Beallitasok!$B$7,"")</x:f>
        <x:v>4600</x:v>
      </x:c>
      <x:c r="R69" s="113"/>
      <x:c r="S69" s="113" t="n">
        <x:f>IF(Q69="","",Q69+IF(R69="",0,R69))</x:f>
        <x:v>4600</x:v>
      </x:c>
      <x:c r="T69" s="113" t="n">
        <x:f>M69*Beallitasok!$B$4</x:f>
        <x:v>900000</x:v>
      </x:c>
      <x:c r="U69" s="115" t="n">
        <x:f>N69*Beallitasok!$B$4</x:f>
        <x:v>225</x:v>
      </x:c>
      <x:c r="V69" s="113"/>
      <x:c r="W69" s="113" t="str">
        <x:f>IF(V69="","",V69-J69)</x:f>
      </x:c>
      <x:c r="X69" s="19"/>
      <x:c r="Y69" s="113" t="n">
        <x:f>IF(S69="","",J69-S69)</x:f>
        <x:v>-1000</x:v>
      </x:c>
      <x:c r="Z69" s="19" t="str">
        <x:f>IF(AA69="IGEN",IF(J69&lt;S69,"GÉPIGÉNY + KRITIKUS: gépdíj nélkül is alacsony a plafon","GÉPIGÉNY: a saját egységár gépdíj nélkül értendő"),IF(J69&lt;S69,"KRITIKUS: alvállalkozói plafon &lt; saját terhelt egységköltség",IF(J69&lt;S69*Beallitasok!$B$6,"SZŰK TARTALÉK: 10% alatti tartalék","OK")))</x:f>
        <x:v>KRITIKUS: alvállalkozói plafon &lt; saját terhelt egységköltség</x:v>
      </x:c>
      <x:c r="AA69" s="19" t="str">
        <x:v>NEM</x:v>
      </x:c>
      <x:c r="AB69" s="19" t="str">
        <x:v>https://joszaki.hu/arak/vasbetonszereles</x:v>
      </x:c>
      <x:c r="AC69" s="19" t="str">
        <x:v>2026 betonozási/zsaluzási alsó ársáv és mérnöki bontás</x:v>
      </x:c>
      <x:c r="AD69" s="19" t="str">
        <x:v>Beton, betonacél, zsaluanyag, pumpa és daru nem része a tiszta munkadíjnak.</x:v>
      </x:c>
    </x:row>
    <x:row r="70">
      <x:c r="A70" s="19" t="str">
        <x:v>AR-0069</x:v>
      </x:c>
      <x:c r="B70" s="19" t="str">
        <x:v>04 Vasbeton</x:v>
      </x:c>
      <x:c r="C70" s="19" t="str">
        <x:v>Alapozás, vasalás, zsaluzás, betonozás</x:v>
      </x:c>
      <x:c r="D70" s="19" t="str">
        <x:v>Mindegyik</x:v>
      </x:c>
      <x:c r="E70" s="19" t="str">
        <x:v>Koszorú zsaluzása</x:v>
      </x:c>
      <x:c r="F70" s="19" t="str">
        <x:v>fm</x:v>
      </x:c>
      <x:c r="G70" s="113" t="n">
        <x:v>4200</x:v>
      </x:c>
      <x:c r="H70" s="113" t="n">
        <x:v>6000</x:v>
      </x:c>
      <x:c r="I70" s="114" t="n">
        <x:v>0.5</x:v>
      </x:c>
      <x:c r="J70" s="113" t="n">
        <x:f>ROUND(H70*I70/Beallitasok!$B$7,0)*Beallitasok!$B$7</x:f>
        <x:v>3000</x:v>
      </x:c>
      <x:c r="K70" s="19" t="n">
        <x:v>2</x:v>
      </x:c>
      <x:c r="L70" s="19" t="n">
        <x:v>2</x:v>
      </x:c>
      <x:c r="M70" s="113" t="n">
        <x:f>K70*Beallitasok!$B$2+L70*Beallitasok!$B$3</x:f>
        <x:v>120000</x:v>
      </x:c>
      <x:c r="N70" s="115" t="n">
        <x:v>38</x:v>
      </x:c>
      <x:c r="O70" s="113" t="n">
        <x:f>IFERROR(M70/N70,"")</x:f>
        <x:v>3157.8947368421054</x:v>
      </x:c>
      <x:c r="P70" s="116" t="n">
        <x:f>Beallitasok!$B$5</x:f>
        <x:v>1.15</x:v>
      </x:c>
      <x:c r="Q70" s="113" t="n">
        <x:f>IFERROR(ROUND(O70*P70/Beallitasok!$B$7,0)*Beallitasok!$B$7,"")</x:f>
        <x:v>3650</x:v>
      </x:c>
      <x:c r="R70" s="113"/>
      <x:c r="S70" s="113" t="n">
        <x:f>IF(Q70="","",Q70+IF(R70="",0,R70))</x:f>
        <x:v>3650</x:v>
      </x:c>
      <x:c r="T70" s="113" t="n">
        <x:f>M70*Beallitasok!$B$4</x:f>
        <x:v>600000</x:v>
      </x:c>
      <x:c r="U70" s="115" t="n">
        <x:f>N70*Beallitasok!$B$4</x:f>
        <x:v>190</x:v>
      </x:c>
      <x:c r="V70" s="113"/>
      <x:c r="W70" s="113" t="str">
        <x:f>IF(V70="","",V70-J70)</x:f>
      </x:c>
      <x:c r="X70" s="19"/>
      <x:c r="Y70" s="113" t="n">
        <x:f>IF(S70="","",J70-S70)</x:f>
        <x:v>-650</x:v>
      </x:c>
      <x:c r="Z70" s="19" t="str">
        <x:f>IF(AA70="IGEN",IF(J70&lt;S70,"GÉPIGÉNY + KRITIKUS: gépdíj nélkül is alacsony a plafon","GÉPIGÉNY: a saját egységár gépdíj nélkül értendő"),IF(J70&lt;S70,"KRITIKUS: alvállalkozói plafon &lt; saját terhelt egységköltség",IF(J70&lt;S70*Beallitasok!$B$6,"SZŰK TARTALÉK: 10% alatti tartalék","OK")))</x:f>
        <x:v>KRITIKUS: alvállalkozói plafon &lt; saját terhelt egységköltség</x:v>
      </x:c>
      <x:c r="AA70" s="19" t="str">
        <x:v>NEM</x:v>
      </x:c>
      <x:c r="AB70" s="19" t="str">
        <x:v>https://joszaki.hu/arak/vasbetonszereles</x:v>
      </x:c>
      <x:c r="AC70" s="19" t="str">
        <x:v>2026 betonozási/zsaluzási alsó ársáv és mérnöki bontás</x:v>
      </x:c>
      <x:c r="AD70" s="19" t="str">
        <x:v>Beton, betonacél, zsaluanyag, pumpa és daru nem része a tiszta munkadíjnak.</x:v>
      </x:c>
    </x:row>
    <x:row r="71">
      <x:c r="A71" s="19" t="str">
        <x:v>AR-0070</x:v>
      </x:c>
      <x:c r="B71" s="19" t="str">
        <x:v>04 Vasbeton</x:v>
      </x:c>
      <x:c r="C71" s="19" t="str">
        <x:v>Alapozás, vasalás, zsaluzás, betonozás</x:v>
      </x:c>
      <x:c r="D71" s="19" t="str">
        <x:v>Mindegyik</x:v>
      </x:c>
      <x:c r="E71" s="19" t="str">
        <x:v>Zsaluzat bontása és tisztítása</x:v>
      </x:c>
      <x:c r="F71" s="19" t="str">
        <x:v>m²</x:v>
      </x:c>
      <x:c r="G71" s="113" t="n">
        <x:v>1800</x:v>
      </x:c>
      <x:c r="H71" s="113" t="n">
        <x:v>2800</x:v>
      </x:c>
      <x:c r="I71" s="114" t="n">
        <x:v>0.5</x:v>
      </x:c>
      <x:c r="J71" s="113" t="n">
        <x:f>ROUND(H71*I71/Beallitasok!$B$7,0)*Beallitasok!$B$7</x:f>
        <x:v>1400</x:v>
      </x:c>
      <x:c r="K71" s="19" t="n">
        <x:v>2</x:v>
      </x:c>
      <x:c r="L71" s="19" t="n">
        <x:v>2</x:v>
      </x:c>
      <x:c r="M71" s="113" t="n">
        <x:f>K71*Beallitasok!$B$2+L71*Beallitasok!$B$3</x:f>
        <x:v>120000</x:v>
      </x:c>
      <x:c r="N71" s="115" t="n">
        <x:v>75</x:v>
      </x:c>
      <x:c r="O71" s="113" t="n">
        <x:f>IFERROR(M71/N71,"")</x:f>
        <x:v>1600</x:v>
      </x:c>
      <x:c r="P71" s="116" t="n">
        <x:f>Beallitasok!$B$5</x:f>
        <x:v>1.15</x:v>
      </x:c>
      <x:c r="Q71" s="113" t="n">
        <x:f>IFERROR(ROUND(O71*P71/Beallitasok!$B$7,0)*Beallitasok!$B$7,"")</x:f>
        <x:v>1850</x:v>
      </x:c>
      <x:c r="R71" s="113"/>
      <x:c r="S71" s="113" t="n">
        <x:f>IF(Q71="","",Q71+IF(R71="",0,R71))</x:f>
        <x:v>1850</x:v>
      </x:c>
      <x:c r="T71" s="113" t="n">
        <x:f>M71*Beallitasok!$B$4</x:f>
        <x:v>600000</x:v>
      </x:c>
      <x:c r="U71" s="115" t="n">
        <x:f>N71*Beallitasok!$B$4</x:f>
        <x:v>375</x:v>
      </x:c>
      <x:c r="V71" s="113"/>
      <x:c r="W71" s="113" t="str">
        <x:f>IF(V71="","",V71-J71)</x:f>
      </x:c>
      <x:c r="X71" s="19"/>
      <x:c r="Y71" s="113" t="n">
        <x:f>IF(S71="","",J71-S71)</x:f>
        <x:v>-450</x:v>
      </x:c>
      <x:c r="Z71" s="19" t="str">
        <x:f>IF(AA71="IGEN",IF(J71&lt;S71,"GÉPIGÉNY + KRITIKUS: gépdíj nélkül is alacsony a plafon","GÉPIGÉNY: a saját egységár gépdíj nélkül értendő"),IF(J71&lt;S71,"KRITIKUS: alvállalkozói plafon &lt; saját terhelt egységköltség",IF(J71&lt;S71*Beallitasok!$B$6,"SZŰK TARTALÉK: 10% alatti tartalék","OK")))</x:f>
        <x:v>KRITIKUS: alvállalkozói plafon &lt; saját terhelt egységköltség</x:v>
      </x:c>
      <x:c r="AA71" s="19" t="str">
        <x:v>NEM</x:v>
      </x:c>
      <x:c r="AB71" s="19" t="str">
        <x:v>https://joszaki.hu/arak/vasbetonszereles</x:v>
      </x:c>
      <x:c r="AC71" s="19" t="str">
        <x:v>2026 betonozási/zsaluzási alsó ársáv és mérnöki bontás</x:v>
      </x:c>
      <x:c r="AD71" s="19" t="str">
        <x:v>Beton, betonacél, zsaluanyag, pumpa és daru nem része a tiszta munkadíjnak.</x:v>
      </x:c>
    </x:row>
    <x:row r="72">
      <x:c r="A72" s="19" t="str">
        <x:v>AR-0071</x:v>
      </x:c>
      <x:c r="B72" s="19" t="str">
        <x:v>04 Vasbeton</x:v>
      </x:c>
      <x:c r="C72" s="19" t="str">
        <x:v>Alapozás, vasalás, zsaluzás, betonozás</x:v>
      </x:c>
      <x:c r="D72" s="19" t="str">
        <x:v>Mindegyik</x:v>
      </x:c>
      <x:c r="E72" s="19" t="str">
        <x:v>Zsalukő 20 cm falazása vasalással, betonozás nélkül</x:v>
      </x:c>
      <x:c r="F72" s="19" t="str">
        <x:v>m²</x:v>
      </x:c>
      <x:c r="G72" s="113" t="n">
        <x:v>6500</x:v>
      </x:c>
      <x:c r="H72" s="113" t="n">
        <x:v>9500</x:v>
      </x:c>
      <x:c r="I72" s="114" t="n">
        <x:v>0.5</x:v>
      </x:c>
      <x:c r="J72" s="113" t="n">
        <x:f>ROUND(H72*I72/Beallitasok!$B$7,0)*Beallitasok!$B$7</x:f>
        <x:v>4750</x:v>
      </x:c>
      <x:c r="K72" s="19" t="n">
        <x:v>2</x:v>
      </x:c>
      <x:c r="L72" s="19" t="n">
        <x:v>2</x:v>
      </x:c>
      <x:c r="M72" s="113" t="n">
        <x:f>K72*Beallitasok!$B$2+L72*Beallitasok!$B$3</x:f>
        <x:v>120000</x:v>
      </x:c>
      <x:c r="N72" s="115" t="n">
        <x:v>22</x:v>
      </x:c>
      <x:c r="O72" s="113" t="n">
        <x:f>IFERROR(M72/N72,"")</x:f>
        <x:v>5454.545454545455</x:v>
      </x:c>
      <x:c r="P72" s="116" t="n">
        <x:f>Beallitasok!$B$5</x:f>
        <x:v>1.15</x:v>
      </x:c>
      <x:c r="Q72" s="113" t="n">
        <x:f>IFERROR(ROUND(O72*P72/Beallitasok!$B$7,0)*Beallitasok!$B$7,"")</x:f>
        <x:v>6250</x:v>
      </x:c>
      <x:c r="R72" s="113"/>
      <x:c r="S72" s="113" t="n">
        <x:f>IF(Q72="","",Q72+IF(R72="",0,R72))</x:f>
        <x:v>6250</x:v>
      </x:c>
      <x:c r="T72" s="113" t="n">
        <x:f>M72*Beallitasok!$B$4</x:f>
        <x:v>600000</x:v>
      </x:c>
      <x:c r="U72" s="115" t="n">
        <x:f>N72*Beallitasok!$B$4</x:f>
        <x:v>110</x:v>
      </x:c>
      <x:c r="V72" s="113"/>
      <x:c r="W72" s="113" t="str">
        <x:f>IF(V72="","",V72-J72)</x:f>
      </x:c>
      <x:c r="X72" s="19"/>
      <x:c r="Y72" s="113" t="n">
        <x:f>IF(S72="","",J72-S72)</x:f>
        <x:v>-1500</x:v>
      </x:c>
      <x:c r="Z72" s="19" t="str">
        <x:f>IF(AA72="IGEN",IF(J72&lt;S72,"GÉPIGÉNY + KRITIKUS: gépdíj nélkül is alacsony a plafon","GÉPIGÉNY: a saját egységár gépdíj nélkül értendő"),IF(J72&lt;S72,"KRITIKUS: alvállalkozói plafon &lt; saját terhelt egységköltség",IF(J72&lt;S72*Beallitasok!$B$6,"SZŰK TARTALÉK: 10% alatti tartalék","OK")))</x:f>
        <x:v>KRITIKUS: alvállalkozói plafon &lt; saját terhelt egységköltség</x:v>
      </x:c>
      <x:c r="AA72" s="19" t="str">
        <x:v>NEM</x:v>
      </x:c>
      <x:c r="AB72" s="19" t="str">
        <x:v>https://joszaki.hu/arak/vasbetonszereles</x:v>
      </x:c>
      <x:c r="AC72" s="19" t="str">
        <x:v>2026 betonozási/zsaluzási alsó ársáv és mérnöki bontás</x:v>
      </x:c>
      <x:c r="AD72" s="19" t="str">
        <x:v>Beton, betonacél, zsaluanyag, pumpa és daru nem része a tiszta munkadíjnak.</x:v>
      </x:c>
    </x:row>
    <x:row r="73">
      <x:c r="A73" s="19" t="str">
        <x:v>AR-0072</x:v>
      </x:c>
      <x:c r="B73" s="19" t="str">
        <x:v>04 Vasbeton</x:v>
      </x:c>
      <x:c r="C73" s="19" t="str">
        <x:v>Alapozás, vasalás, zsaluzás, betonozás</x:v>
      </x:c>
      <x:c r="D73" s="19" t="str">
        <x:v>Mindegyik</x:v>
      </x:c>
      <x:c r="E73" s="19" t="str">
        <x:v>Zsalukő 30 cm falazása vasalással, betonozás nélkül</x:v>
      </x:c>
      <x:c r="F73" s="19" t="str">
        <x:v>m²</x:v>
      </x:c>
      <x:c r="G73" s="113" t="n">
        <x:v>8000</x:v>
      </x:c>
      <x:c r="H73" s="113" t="n">
        <x:v>12000</x:v>
      </x:c>
      <x:c r="I73" s="114" t="n">
        <x:v>0.5</x:v>
      </x:c>
      <x:c r="J73" s="113" t="n">
        <x:f>ROUND(H73*I73/Beallitasok!$B$7,0)*Beallitasok!$B$7</x:f>
        <x:v>6000</x:v>
      </x:c>
      <x:c r="K73" s="19" t="n">
        <x:v>2</x:v>
      </x:c>
      <x:c r="L73" s="19" t="n">
        <x:v>2</x:v>
      </x:c>
      <x:c r="M73" s="113" t="n">
        <x:f>K73*Beallitasok!$B$2+L73*Beallitasok!$B$3</x:f>
        <x:v>120000</x:v>
      </x:c>
      <x:c r="N73" s="115" t="n">
        <x:v>17</x:v>
      </x:c>
      <x:c r="O73" s="113" t="n">
        <x:f>IFERROR(M73/N73,"")</x:f>
        <x:v>7058.823529411765</x:v>
      </x:c>
      <x:c r="P73" s="116" t="n">
        <x:f>Beallitasok!$B$5</x:f>
        <x:v>1.15</x:v>
      </x:c>
      <x:c r="Q73" s="113" t="n">
        <x:f>IFERROR(ROUND(O73*P73/Beallitasok!$B$7,0)*Beallitasok!$B$7,"")</x:f>
        <x:v>8100</x:v>
      </x:c>
      <x:c r="R73" s="113"/>
      <x:c r="S73" s="113" t="n">
        <x:f>IF(Q73="","",Q73+IF(R73="",0,R73))</x:f>
        <x:v>8100</x:v>
      </x:c>
      <x:c r="T73" s="113" t="n">
        <x:f>M73*Beallitasok!$B$4</x:f>
        <x:v>600000</x:v>
      </x:c>
      <x:c r="U73" s="115" t="n">
        <x:f>N73*Beallitasok!$B$4</x:f>
        <x:v>85</x:v>
      </x:c>
      <x:c r="V73" s="113"/>
      <x:c r="W73" s="113" t="str">
        <x:f>IF(V73="","",V73-J73)</x:f>
      </x:c>
      <x:c r="X73" s="19"/>
      <x:c r="Y73" s="113" t="n">
        <x:f>IF(S73="","",J73-S73)</x:f>
        <x:v>-2100</x:v>
      </x:c>
      <x:c r="Z73" s="19" t="str">
        <x:f>IF(AA73="IGEN",IF(J73&lt;S73,"GÉPIGÉNY + KRITIKUS: gépdíj nélkül is alacsony a plafon","GÉPIGÉNY: a saját egységár gépdíj nélkül értendő"),IF(J73&lt;S73,"KRITIKUS: alvállalkozói plafon &lt; saját terhelt egységköltség",IF(J73&lt;S73*Beallitasok!$B$6,"SZŰK TARTALÉK: 10% alatti tartalék","OK")))</x:f>
        <x:v>KRITIKUS: alvállalkozói plafon &lt; saját terhelt egységköltség</x:v>
      </x:c>
      <x:c r="AA73" s="19" t="str">
        <x:v>NEM</x:v>
      </x:c>
      <x:c r="AB73" s="19" t="str">
        <x:v>https://joszaki.hu/arak/vasbetonszereles</x:v>
      </x:c>
      <x:c r="AC73" s="19" t="str">
        <x:v>2026 betonozási/zsaluzási alsó ársáv és mérnöki bontás</x:v>
      </x:c>
      <x:c r="AD73" s="19" t="str">
        <x:v>Beton, betonacél, zsaluanyag, pumpa és daru nem része a tiszta munkadíjnak.</x:v>
      </x:c>
    </x:row>
    <x:row r="74">
      <x:c r="A74" s="19" t="str">
        <x:v>AR-0073</x:v>
      </x:c>
      <x:c r="B74" s="19" t="str">
        <x:v>04 Vasbeton</x:v>
      </x:c>
      <x:c r="C74" s="19" t="str">
        <x:v>Alapozás, vasalás, zsaluzás, betonozás</x:v>
      </x:c>
      <x:c r="D74" s="19" t="str">
        <x:v>Mindegyik</x:v>
      </x:c>
      <x:c r="E74" s="19" t="str">
        <x:v>Zsalukő fal kibetonozása</x:v>
      </x:c>
      <x:c r="F74" s="19" t="str">
        <x:v>m³</x:v>
      </x:c>
      <x:c r="G74" s="113" t="n">
        <x:v>12000</x:v>
      </x:c>
      <x:c r="H74" s="113" t="n">
        <x:v>17000</x:v>
      </x:c>
      <x:c r="I74" s="114" t="n">
        <x:v>0.5</x:v>
      </x:c>
      <x:c r="J74" s="113" t="n">
        <x:f>ROUND(H74*I74/Beallitasok!$B$7,0)*Beallitasok!$B$7</x:f>
        <x:v>8500</x:v>
      </x:c>
      <x:c r="K74" s="19" t="n">
        <x:v>2</x:v>
      </x:c>
      <x:c r="L74" s="19" t="n">
        <x:v>2</x:v>
      </x:c>
      <x:c r="M74" s="113" t="n">
        <x:f>K74*Beallitasok!$B$2+L74*Beallitasok!$B$3</x:f>
        <x:v>120000</x:v>
      </x:c>
      <x:c r="N74" s="115" t="n">
        <x:v>8</x:v>
      </x:c>
      <x:c r="O74" s="113" t="n">
        <x:f>IFERROR(M74/N74,"")</x:f>
        <x:v>15000</x:v>
      </x:c>
      <x:c r="P74" s="116" t="n">
        <x:f>Beallitasok!$B$5</x:f>
        <x:v>1.15</x:v>
      </x:c>
      <x:c r="Q74" s="113" t="n">
        <x:f>IFERROR(ROUND(O74*P74/Beallitasok!$B$7,0)*Beallitasok!$B$7,"")</x:f>
        <x:v>17250</x:v>
      </x:c>
      <x:c r="R74" s="113"/>
      <x:c r="S74" s="113" t="n">
        <x:f>IF(Q74="","",Q74+IF(R74="",0,R74))</x:f>
        <x:v>17250</x:v>
      </x:c>
      <x:c r="T74" s="113" t="n">
        <x:f>M74*Beallitasok!$B$4</x:f>
        <x:v>600000</x:v>
      </x:c>
      <x:c r="U74" s="115" t="n">
        <x:f>N74*Beallitasok!$B$4</x:f>
        <x:v>40</x:v>
      </x:c>
      <x:c r="V74" s="113"/>
      <x:c r="W74" s="113" t="str">
        <x:f>IF(V74="","",V74-J74)</x:f>
      </x:c>
      <x:c r="X74" s="19"/>
      <x:c r="Y74" s="113" t="n">
        <x:f>IF(S74="","",J74-S74)</x:f>
        <x:v>-8750</x:v>
      </x:c>
      <x:c r="Z74" s="19" t="str">
        <x:f>IF(AA74="IGEN",IF(J74&lt;S74,"GÉPIGÉNY + KRITIKUS: gépdíj nélkül is alacsony a plafon","GÉPIGÉNY: a saját egységár gépdíj nélkül értendő"),IF(J74&lt;S74,"KRITIKUS: alvállalkozói plafon &lt; saját terhelt egységköltség",IF(J74&lt;S74*Beallitasok!$B$6,"SZŰK TARTALÉK: 10% alatti tartalék","OK")))</x:f>
        <x:v>KRITIKUS: alvállalkozói plafon &lt; saját terhelt egységköltség</x:v>
      </x:c>
      <x:c r="AA74" s="19" t="str">
        <x:v>NEM</x:v>
      </x:c>
      <x:c r="AB74" s="19" t="str">
        <x:v>https://joszaki.hu/arak/vasbetonszereles</x:v>
      </x:c>
      <x:c r="AC74" s="19" t="str">
        <x:v>2026 betonozási/zsaluzási alsó ársáv és mérnöki bontás</x:v>
      </x:c>
      <x:c r="AD74" s="19" t="str">
        <x:v>Beton, betonacél, zsaluanyag, pumpa és daru nem része a tiszta munkadíjnak.</x:v>
      </x:c>
    </x:row>
    <x:row r="75">
      <x:c r="A75" s="19" t="str">
        <x:v>AR-0074</x:v>
      </x:c>
      <x:c r="B75" s="19" t="str">
        <x:v>04 Vasbeton</x:v>
      </x:c>
      <x:c r="C75" s="19" t="str">
        <x:v>Alapozás, vasalás, zsaluzás, betonozás</x:v>
      </x:c>
      <x:c r="D75" s="19" t="str">
        <x:v>Mindegyik</x:v>
      </x:c>
      <x:c r="E75" s="19" t="str">
        <x:v>Monolit betonlépcső zsaluzása és betonozási munkája</x:v>
      </x:c>
      <x:c r="F75" s="19" t="str">
        <x:v>kar</x:v>
      </x:c>
      <x:c r="G75" s="113" t="n">
        <x:v>110000</x:v>
      </x:c>
      <x:c r="H75" s="113" t="n">
        <x:v>165000</x:v>
      </x:c>
      <x:c r="I75" s="114" t="n">
        <x:v>0.5</x:v>
      </x:c>
      <x:c r="J75" s="113" t="n">
        <x:f>ROUND(H75*I75/Beallitasok!$B$7,0)*Beallitasok!$B$7</x:f>
        <x:v>82500</x:v>
      </x:c>
      <x:c r="K75" s="19" t="n">
        <x:v>3</x:v>
      </x:c>
      <x:c r="L75" s="19" t="n">
        <x:v>2</x:v>
      </x:c>
      <x:c r="M75" s="113" t="n">
        <x:f>K75*Beallitasok!$B$2+L75*Beallitasok!$B$3</x:f>
        <x:v>155000</x:v>
      </x:c>
      <x:c r="N75" s="115" t="n">
        <x:v>0.7</x:v>
      </x:c>
      <x:c r="O75" s="113" t="n">
        <x:f>IFERROR(M75/N75,"")</x:f>
        <x:v>221428.57142857145</x:v>
      </x:c>
      <x:c r="P75" s="116" t="n">
        <x:f>Beallitasok!$B$5</x:f>
        <x:v>1.15</x:v>
      </x:c>
      <x:c r="Q75" s="113" t="n">
        <x:f>IFERROR(ROUND(O75*P75/Beallitasok!$B$7,0)*Beallitasok!$B$7,"")</x:f>
        <x:v>254650</x:v>
      </x:c>
      <x:c r="R75" s="113"/>
      <x:c r="S75" s="113" t="n">
        <x:f>IF(Q75="","",Q75+IF(R75="",0,R75))</x:f>
        <x:v>254650</x:v>
      </x:c>
      <x:c r="T75" s="113" t="n">
        <x:f>M75*Beallitasok!$B$4</x:f>
        <x:v>775000</x:v>
      </x:c>
      <x:c r="U75" s="115" t="n">
        <x:f>N75*Beallitasok!$B$4</x:f>
        <x:v>3.5</x:v>
      </x:c>
      <x:c r="V75" s="113"/>
      <x:c r="W75" s="113" t="str">
        <x:f>IF(V75="","",V75-J75)</x:f>
      </x:c>
      <x:c r="X75" s="19"/>
      <x:c r="Y75" s="113" t="n">
        <x:f>IF(S75="","",J75-S75)</x:f>
        <x:v>-172150</x:v>
      </x:c>
      <x:c r="Z75" s="19" t="str">
        <x:f>IF(AA75="IGEN",IF(J75&lt;S75,"GÉPIGÉNY + KRITIKUS: gépdíj nélkül is alacsony a plafon","GÉPIGÉNY: a saját egységár gépdíj nélkül értendő"),IF(J75&lt;S75,"KRITIKUS: alvállalkozói plafon &lt; saját terhelt egységköltség",IF(J75&lt;S75*Beallitasok!$B$6,"SZŰK TARTALÉK: 10% alatti tartalék","OK")))</x:f>
        <x:v>KRITIKUS: alvállalkozói plafon &lt; saját terhelt egységköltség</x:v>
      </x:c>
      <x:c r="AA75" s="19" t="str">
        <x:v>NEM</x:v>
      </x:c>
      <x:c r="AB75" s="19" t="str">
        <x:v>https://joszaki.hu/arak/vasbetonszereles</x:v>
      </x:c>
      <x:c r="AC75" s="19" t="str">
        <x:v>2026 betonozási/zsaluzási alsó ársáv és mérnöki bontás</x:v>
      </x:c>
      <x:c r="AD75" s="19" t="str">
        <x:v>Beton, betonacél, zsaluanyag, pumpa és daru nem része a tiszta munkadíjnak.</x:v>
      </x:c>
    </x:row>
    <x:row r="76">
      <x:c r="A76" s="19" t="str">
        <x:v>AR-0075</x:v>
      </x:c>
      <x:c r="B76" s="19" t="str">
        <x:v>04 Vasbeton</x:v>
      </x:c>
      <x:c r="C76" s="19" t="str">
        <x:v>Alapozás, vasalás, zsaluzás, betonozás</x:v>
      </x:c>
      <x:c r="D76" s="19" t="str">
        <x:v>Mindegyik</x:v>
      </x:c>
      <x:c r="E76" s="19" t="str">
        <x:v>Előregyártott betonlépcső fogadási és beemelési segédmunkája</x:v>
      </x:c>
      <x:c r="F76" s="19" t="str">
        <x:v>db</x:v>
      </x:c>
      <x:c r="G76" s="113" t="n">
        <x:v>95000</x:v>
      </x:c>
      <x:c r="H76" s="113" t="n">
        <x:v>140000</x:v>
      </x:c>
      <x:c r="I76" s="114" t="n">
        <x:v>0.5</x:v>
      </x:c>
      <x:c r="J76" s="113" t="n">
        <x:f>ROUND(H76*I76/Beallitasok!$B$7,0)*Beallitasok!$B$7</x:f>
        <x:v>70000</x:v>
      </x:c>
      <x:c r="K76" s="19" t="n">
        <x:v>3</x:v>
      </x:c>
      <x:c r="L76" s="19" t="n">
        <x:v>2</x:v>
      </x:c>
      <x:c r="M76" s="113" t="n">
        <x:f>K76*Beallitasok!$B$2+L76*Beallitasok!$B$3</x:f>
        <x:v>155000</x:v>
      </x:c>
      <x:c r="N76" s="115" t="n">
        <x:v>1</x:v>
      </x:c>
      <x:c r="O76" s="113" t="n">
        <x:f>IFERROR(M76/N76,"")</x:f>
        <x:v>155000</x:v>
      </x:c>
      <x:c r="P76" s="116" t="n">
        <x:f>Beallitasok!$B$5</x:f>
        <x:v>1.15</x:v>
      </x:c>
      <x:c r="Q76" s="113" t="n">
        <x:f>IFERROR(ROUND(O76*P76/Beallitasok!$B$7,0)*Beallitasok!$B$7,"")</x:f>
        <x:v>178250</x:v>
      </x:c>
      <x:c r="R76" s="113"/>
      <x:c r="S76" s="113" t="n">
        <x:f>IF(Q76="","",Q76+IF(R76="",0,R76))</x:f>
        <x:v>178250</x:v>
      </x:c>
      <x:c r="T76" s="113" t="n">
        <x:f>M76*Beallitasok!$B$4</x:f>
        <x:v>775000</x:v>
      </x:c>
      <x:c r="U76" s="115" t="n">
        <x:f>N76*Beallitasok!$B$4</x:f>
        <x:v>5</x:v>
      </x:c>
      <x:c r="V76" s="113"/>
      <x:c r="W76" s="113" t="str">
        <x:f>IF(V76="","",V76-J76)</x:f>
      </x:c>
      <x:c r="X76" s="19"/>
      <x:c r="Y76" s="113" t="n">
        <x:f>IF(S76="","",J76-S76)</x:f>
        <x:v>-108250</x:v>
      </x:c>
      <x:c r="Z76" s="19" t="str">
        <x:f>IF(AA76="IGEN",IF(J76&lt;S76,"GÉPIGÉNY + KRITIKUS: gépdíj nélkül is alacsony a plafon","GÉPIGÉNY: a saját egységár gépdíj nélkül értendő"),IF(J76&lt;S76,"KRITIKUS: alvállalkozói plafon &lt; saját terhelt egységköltség",IF(J76&lt;S76*Beallitasok!$B$6,"SZŰK TARTALÉK: 10% alatti tartalék","OK")))</x:f>
        <x:v>GÉPIGÉNY + KRITIKUS: gépdíj nélkül is alacsony a plafon</x:v>
      </x:c>
      <x:c r="AA76" s="19" t="str">
        <x:v>IGEN</x:v>
      </x:c>
      <x:c r="AB76" s="19" t="str">
        <x:v>https://joszaki.hu/arak/vasbetonszereles</x:v>
      </x:c>
      <x:c r="AC76" s="19" t="str">
        <x:v>2026 betonozási/zsaluzási alsó ársáv és mérnöki bontás</x:v>
      </x:c>
      <x:c r="AD76" s="19" t="str">
        <x:v>Beton, betonacél, zsaluanyag, pumpa és daru nem része a tiszta munkadíjnak.</x:v>
      </x:c>
    </x:row>
    <x:row r="77">
      <x:c r="A77" s="19" t="str">
        <x:v>AR-0076</x:v>
      </x:c>
      <x:c r="B77" s="19" t="str">
        <x:v>05 Falazás</x:v>
      </x:c>
      <x:c r="C77" s="19" t="str">
        <x:v>Tartó- és válaszfal</x:v>
      </x:c>
      <x:c r="D77" s="19" t="str">
        <x:v>Tégla / pórusbeton</x:v>
      </x:c>
      <x:c r="E77" s="19" t="str">
        <x:v>Porotherm 30 N+F tartófal falazása vékonyágyas habarccsal</x:v>
      </x:c>
      <x:c r="F77" s="19" t="str">
        <x:v>m²</x:v>
      </x:c>
      <x:c r="G77" s="113" t="n">
        <x:v>6500</x:v>
      </x:c>
      <x:c r="H77" s="113" t="n">
        <x:v>6500</x:v>
      </x:c>
      <x:c r="I77" s="114" t="n">
        <x:v>0.5</x:v>
      </x:c>
      <x:c r="J77" s="113" t="n">
        <x:f>ROUND(H77*I77/Beallitasok!$B$7,0)*Beallitasok!$B$7</x:f>
        <x:v>3250</x:v>
      </x:c>
      <x:c r="K77" s="19" t="n">
        <x:v>2</x:v>
      </x:c>
      <x:c r="L77" s="19" t="n">
        <x:v>2</x:v>
      </x:c>
      <x:c r="M77" s="113" t="n">
        <x:f>K77*Beallitasok!$B$2+L77*Beallitasok!$B$3</x:f>
        <x:v>120000</x:v>
      </x:c>
      <x:c r="N77" s="115" t="n">
        <x:v>42</x:v>
      </x:c>
      <x:c r="O77" s="113" t="n">
        <x:f>IFERROR(M77/N77,"")</x:f>
        <x:v>2857.1428571428573</x:v>
      </x:c>
      <x:c r="P77" s="116" t="n">
        <x:f>Beallitasok!$B$5</x:f>
        <x:v>1.15</x:v>
      </x:c>
      <x:c r="Q77" s="113" t="n">
        <x:f>IFERROR(ROUND(O77*P77/Beallitasok!$B$7,0)*Beallitasok!$B$7,"")</x:f>
        <x:v>3300</x:v>
      </x:c>
      <x:c r="R77" s="113"/>
      <x:c r="S77" s="113" t="n">
        <x:f>IF(Q77="","",Q77+IF(R77="",0,R77))</x:f>
        <x:v>3300</x:v>
      </x:c>
      <x:c r="T77" s="113" t="n">
        <x:f>M77*Beallitasok!$B$4</x:f>
        <x:v>600000</x:v>
      </x:c>
      <x:c r="U77" s="115" t="n">
        <x:f>N77*Beallitasok!$B$4</x:f>
        <x:v>210</x:v>
      </x:c>
      <x:c r="V77" s="113"/>
      <x:c r="W77" s="113" t="str">
        <x:f>IF(V77="","",V77-J77)</x:f>
      </x:c>
      <x:c r="X77" s="19"/>
      <x:c r="Y77" s="113" t="n">
        <x:f>IF(S77="","",J77-S77)</x:f>
        <x:v>-50</x:v>
      </x:c>
      <x:c r="Z77" s="19" t="str">
        <x:f>IF(AA77="IGEN",IF(J77&lt;S77,"GÉPIGÉNY + KRITIKUS: gépdíj nélkül is alacsony a plafon","GÉPIGÉNY: a saját egységár gépdíj nélkül értendő"),IF(J77&lt;S77,"KRITIKUS: alvállalkozói plafon &lt; saját terhelt egységköltség",IF(J77&lt;S77*Beallitasok!$B$6,"SZŰK TARTALÉK: 10% alatti tartalék","OK")))</x:f>
        <x:v>KRITIKUS: alvállalkozói plafon &lt; saját terhelt egységköltség</x:v>
      </x:c>
      <x:c r="AA77" s="19" t="str">
        <x:v>NEM</x:v>
      </x:c>
      <x:c r="AB77" s="19" t="str">
        <x:v>https://gigabau.hu/komuvesarak</x:v>
      </x:c>
      <x:c r="AC77" s="19" t="str">
        <x:v>2026 kőműves piaci alsó sáv; felhasználói kontrollárakkal</x:v>
      </x:c>
      <x:c r="AD77" s="19" t="str">
        <x:v>Áthidaló, koszorú, állvány és anyagmozgatás külön tétel.</x:v>
      </x:c>
    </x:row>
    <x:row r="78">
      <x:c r="A78" s="19" t="str">
        <x:v>AR-0077</x:v>
      </x:c>
      <x:c r="B78" s="19" t="str">
        <x:v>05 Falazás</x:v>
      </x:c>
      <x:c r="C78" s="19" t="str">
        <x:v>Tartó- és válaszfal</x:v>
      </x:c>
      <x:c r="D78" s="19" t="str">
        <x:v>Tégla / pórusbeton</x:v>
      </x:c>
      <x:c r="E78" s="19" t="str">
        <x:v>Porotherm 38 N+F tartófal falazása</x:v>
      </x:c>
      <x:c r="F78" s="19" t="str">
        <x:v>m²</x:v>
      </x:c>
      <x:c r="G78" s="113" t="n">
        <x:v>7500</x:v>
      </x:c>
      <x:c r="H78" s="113" t="n">
        <x:v>8200</x:v>
      </x:c>
      <x:c r="I78" s="114" t="n">
        <x:v>0.5</x:v>
      </x:c>
      <x:c r="J78" s="113" t="n">
        <x:f>ROUND(H78*I78/Beallitasok!$B$7,0)*Beallitasok!$B$7</x:f>
        <x:v>4100</x:v>
      </x:c>
      <x:c r="K78" s="19" t="n">
        <x:v>2</x:v>
      </x:c>
      <x:c r="L78" s="19" t="n">
        <x:v>2</x:v>
      </x:c>
      <x:c r="M78" s="113" t="n">
        <x:f>K78*Beallitasok!$B$2+L78*Beallitasok!$B$3</x:f>
        <x:v>120000</x:v>
      </x:c>
      <x:c r="N78" s="115" t="n">
        <x:v>35</x:v>
      </x:c>
      <x:c r="O78" s="113" t="n">
        <x:f>IFERROR(M78/N78,"")</x:f>
        <x:v>3428.5714285714284</x:v>
      </x:c>
      <x:c r="P78" s="116" t="n">
        <x:f>Beallitasok!$B$5</x:f>
        <x:v>1.15</x:v>
      </x:c>
      <x:c r="Q78" s="113" t="n">
        <x:f>IFERROR(ROUND(O78*P78/Beallitasok!$B$7,0)*Beallitasok!$B$7,"")</x:f>
        <x:v>3950</x:v>
      </x:c>
      <x:c r="R78" s="113"/>
      <x:c r="S78" s="113" t="n">
        <x:f>IF(Q78="","",Q78+IF(R78="",0,R78))</x:f>
        <x:v>3950</x:v>
      </x:c>
      <x:c r="T78" s="113" t="n">
        <x:f>M78*Beallitasok!$B$4</x:f>
        <x:v>600000</x:v>
      </x:c>
      <x:c r="U78" s="115" t="n">
        <x:f>N78*Beallitasok!$B$4</x:f>
        <x:v>175</x:v>
      </x:c>
      <x:c r="V78" s="113"/>
      <x:c r="W78" s="113" t="str">
        <x:f>IF(V78="","",V78-J78)</x:f>
      </x:c>
      <x:c r="X78" s="19"/>
      <x:c r="Y78" s="113" t="n">
        <x:f>IF(S78="","",J78-S78)</x:f>
        <x:v>150</x:v>
      </x:c>
      <x:c r="Z78" s="19" t="str">
        <x:f>IF(AA78="IGEN",IF(J78&lt;S78,"GÉPIGÉNY + KRITIKUS: gépdíj nélkül is alacsony a plafon","GÉPIGÉNY: a saját egységár gépdíj nélkül értendő"),IF(J78&lt;S78,"KRITIKUS: alvállalkozói plafon &lt; saját terhelt egységköltség",IF(J78&lt;S78*Beallitasok!$B$6,"SZŰK TARTALÉK: 10% alatti tartalék","OK")))</x:f>
        <x:v>SZŰK TARTALÉK: 10% alatti tartalék</x:v>
      </x:c>
      <x:c r="AA78" s="19" t="str">
        <x:v>NEM</x:v>
      </x:c>
      <x:c r="AB78" s="19" t="str">
        <x:v>https://gigabau.hu/komuvesarak</x:v>
      </x:c>
      <x:c r="AC78" s="19" t="str">
        <x:v>2026 kőműves piaci alsó sáv; felhasználói kontrollárakkal</x:v>
      </x:c>
      <x:c r="AD78" s="19" t="str">
        <x:v>Áthidaló, koszorú, állvány és anyagmozgatás külön tétel.</x:v>
      </x:c>
    </x:row>
    <x:row r="79">
      <x:c r="A79" s="19" t="str">
        <x:v>AR-0078</x:v>
      </x:c>
      <x:c r="B79" s="19" t="str">
        <x:v>05 Falazás</x:v>
      </x:c>
      <x:c r="C79" s="19" t="str">
        <x:v>Tartó- és válaszfal</x:v>
      </x:c>
      <x:c r="D79" s="19" t="str">
        <x:v>Tégla / pórusbeton</x:v>
      </x:c>
      <x:c r="E79" s="19" t="str">
        <x:v>Porotherm 44 klíma tégla falazása</x:v>
      </x:c>
      <x:c r="F79" s="19" t="str">
        <x:v>m²</x:v>
      </x:c>
      <x:c r="G79" s="113" t="n">
        <x:v>8500</x:v>
      </x:c>
      <x:c r="H79" s="113" t="n">
        <x:v>9500</x:v>
      </x:c>
      <x:c r="I79" s="114" t="n">
        <x:v>0.5</x:v>
      </x:c>
      <x:c r="J79" s="113" t="n">
        <x:f>ROUND(H79*I79/Beallitasok!$B$7,0)*Beallitasok!$B$7</x:f>
        <x:v>4750</x:v>
      </x:c>
      <x:c r="K79" s="19" t="n">
        <x:v>2</x:v>
      </x:c>
      <x:c r="L79" s="19" t="n">
        <x:v>2</x:v>
      </x:c>
      <x:c r="M79" s="113" t="n">
        <x:f>K79*Beallitasok!$B$2+L79*Beallitasok!$B$3</x:f>
        <x:v>120000</x:v>
      </x:c>
      <x:c r="N79" s="115" t="n">
        <x:v>30</x:v>
      </x:c>
      <x:c r="O79" s="113" t="n">
        <x:f>IFERROR(M79/N79,"")</x:f>
        <x:v>4000</x:v>
      </x:c>
      <x:c r="P79" s="116" t="n">
        <x:f>Beallitasok!$B$5</x:f>
        <x:v>1.15</x:v>
      </x:c>
      <x:c r="Q79" s="113" t="n">
        <x:f>IFERROR(ROUND(O79*P79/Beallitasok!$B$7,0)*Beallitasok!$B$7,"")</x:f>
        <x:v>4600</x:v>
      </x:c>
      <x:c r="R79" s="113"/>
      <x:c r="S79" s="113" t="n">
        <x:f>IF(Q79="","",Q79+IF(R79="",0,R79))</x:f>
        <x:v>4600</x:v>
      </x:c>
      <x:c r="T79" s="113" t="n">
        <x:f>M79*Beallitasok!$B$4</x:f>
        <x:v>600000</x:v>
      </x:c>
      <x:c r="U79" s="115" t="n">
        <x:f>N79*Beallitasok!$B$4</x:f>
        <x:v>150</x:v>
      </x:c>
      <x:c r="V79" s="113"/>
      <x:c r="W79" s="113" t="str">
        <x:f>IF(V79="","",V79-J79)</x:f>
      </x:c>
      <x:c r="X79" s="19"/>
      <x:c r="Y79" s="113" t="n">
        <x:f>IF(S79="","",J79-S79)</x:f>
        <x:v>150</x:v>
      </x:c>
      <x:c r="Z79" s="19" t="str">
        <x:f>IF(AA79="IGEN",IF(J79&lt;S79,"GÉPIGÉNY + KRITIKUS: gépdíj nélkül is alacsony a plafon","GÉPIGÉNY: a saját egységár gépdíj nélkül értendő"),IF(J79&lt;S79,"KRITIKUS: alvállalkozói plafon &lt; saját terhelt egységköltség",IF(J79&lt;S79*Beallitasok!$B$6,"SZŰK TARTALÉK: 10% alatti tartalék","OK")))</x:f>
        <x:v>SZŰK TARTALÉK: 10% alatti tartalék</x:v>
      </x:c>
      <x:c r="AA79" s="19" t="str">
        <x:v>NEM</x:v>
      </x:c>
      <x:c r="AB79" s="19" t="str">
        <x:v>https://gigabau.hu/komuvesarak</x:v>
      </x:c>
      <x:c r="AC79" s="19" t="str">
        <x:v>2026 kőműves piaci alsó sáv; felhasználói kontrollárakkal</x:v>
      </x:c>
      <x:c r="AD79" s="19" t="str">
        <x:v>Áthidaló, koszorú, állvány és anyagmozgatás külön tétel.</x:v>
      </x:c>
    </x:row>
    <x:row r="80">
      <x:c r="A80" s="19" t="str">
        <x:v>AR-0079</x:v>
      </x:c>
      <x:c r="B80" s="19" t="str">
        <x:v>05 Falazás</x:v>
      </x:c>
      <x:c r="C80" s="19" t="str">
        <x:v>Tartó- és válaszfal</x:v>
      </x:c>
      <x:c r="D80" s="19" t="str">
        <x:v>Tégla / pórusbeton</x:v>
      </x:c>
      <x:c r="E80" s="19" t="str">
        <x:v>Leiertherm 30 N+F tartófal falazása</x:v>
      </x:c>
      <x:c r="F80" s="19" t="str">
        <x:v>m²</x:v>
      </x:c>
      <x:c r="G80" s="113" t="n">
        <x:v>6500</x:v>
      </x:c>
      <x:c r="H80" s="113" t="n">
        <x:v>6800</x:v>
      </x:c>
      <x:c r="I80" s="114" t="n">
        <x:v>0.5</x:v>
      </x:c>
      <x:c r="J80" s="113" t="n">
        <x:f>ROUND(H80*I80/Beallitasok!$B$7,0)*Beallitasok!$B$7</x:f>
        <x:v>3400</x:v>
      </x:c>
      <x:c r="K80" s="19" t="n">
        <x:v>2</x:v>
      </x:c>
      <x:c r="L80" s="19" t="n">
        <x:v>2</x:v>
      </x:c>
      <x:c r="M80" s="113" t="n">
        <x:f>K80*Beallitasok!$B$2+L80*Beallitasok!$B$3</x:f>
        <x:v>120000</x:v>
      </x:c>
      <x:c r="N80" s="115" t="n">
        <x:v>42</x:v>
      </x:c>
      <x:c r="O80" s="113" t="n">
        <x:f>IFERROR(M80/N80,"")</x:f>
        <x:v>2857.1428571428573</x:v>
      </x:c>
      <x:c r="P80" s="116" t="n">
        <x:f>Beallitasok!$B$5</x:f>
        <x:v>1.15</x:v>
      </x:c>
      <x:c r="Q80" s="113" t="n">
        <x:f>IFERROR(ROUND(O80*P80/Beallitasok!$B$7,0)*Beallitasok!$B$7,"")</x:f>
        <x:v>3300</x:v>
      </x:c>
      <x:c r="R80" s="113"/>
      <x:c r="S80" s="113" t="n">
        <x:f>IF(Q80="","",Q80+IF(R80="",0,R80))</x:f>
        <x:v>3300</x:v>
      </x:c>
      <x:c r="T80" s="113" t="n">
        <x:f>M80*Beallitasok!$B$4</x:f>
        <x:v>600000</x:v>
      </x:c>
      <x:c r="U80" s="115" t="n">
        <x:f>N80*Beallitasok!$B$4</x:f>
        <x:v>210</x:v>
      </x:c>
      <x:c r="V80" s="113"/>
      <x:c r="W80" s="113" t="str">
        <x:f>IF(V80="","",V80-J80)</x:f>
      </x:c>
      <x:c r="X80" s="19"/>
      <x:c r="Y80" s="113" t="n">
        <x:f>IF(S80="","",J80-S80)</x:f>
        <x:v>100</x:v>
      </x:c>
      <x:c r="Z80" s="19" t="str">
        <x:f>IF(AA80="IGEN",IF(J80&lt;S80,"GÉPIGÉNY + KRITIKUS: gépdíj nélkül is alacsony a plafon","GÉPIGÉNY: a saját egységár gépdíj nélkül értendő"),IF(J80&lt;S80,"KRITIKUS: alvállalkozói plafon &lt; saját terhelt egységköltség",IF(J80&lt;S80*Beallitasok!$B$6,"SZŰK TARTALÉK: 10% alatti tartalék","OK")))</x:f>
        <x:v>SZŰK TARTALÉK: 10% alatti tartalék</x:v>
      </x:c>
      <x:c r="AA80" s="19" t="str">
        <x:v>NEM</x:v>
      </x:c>
      <x:c r="AB80" s="19" t="str">
        <x:v>https://gigabau.hu/komuvesarak</x:v>
      </x:c>
      <x:c r="AC80" s="19" t="str">
        <x:v>2026 kőműves piaci alsó sáv; felhasználói kontrollárakkal</x:v>
      </x:c>
      <x:c r="AD80" s="19" t="str">
        <x:v>Áthidaló, koszorú, állvány és anyagmozgatás külön tétel.</x:v>
      </x:c>
    </x:row>
    <x:row r="81">
      <x:c r="A81" s="19" t="str">
        <x:v>AR-0080</x:v>
      </x:c>
      <x:c r="B81" s="19" t="str">
        <x:v>05 Falazás</x:v>
      </x:c>
      <x:c r="C81" s="19" t="str">
        <x:v>Tartó- és válaszfal</x:v>
      </x:c>
      <x:c r="D81" s="19" t="str">
        <x:v>Tégla / pórusbeton</x:v>
      </x:c>
      <x:c r="E81" s="19" t="str">
        <x:v>Leiertherm 38 N+F tartófal falazása</x:v>
      </x:c>
      <x:c r="F81" s="19" t="str">
        <x:v>m²</x:v>
      </x:c>
      <x:c r="G81" s="113" t="n">
        <x:v>7500</x:v>
      </x:c>
      <x:c r="H81" s="113" t="n">
        <x:v>8300</x:v>
      </x:c>
      <x:c r="I81" s="114" t="n">
        <x:v>0.5</x:v>
      </x:c>
      <x:c r="J81" s="113" t="n">
        <x:f>ROUND(H81*I81/Beallitasok!$B$7,0)*Beallitasok!$B$7</x:f>
        <x:v>4150</x:v>
      </x:c>
      <x:c r="K81" s="19" t="n">
        <x:v>2</x:v>
      </x:c>
      <x:c r="L81" s="19" t="n">
        <x:v>2</x:v>
      </x:c>
      <x:c r="M81" s="113" t="n">
        <x:f>K81*Beallitasok!$B$2+L81*Beallitasok!$B$3</x:f>
        <x:v>120000</x:v>
      </x:c>
      <x:c r="N81" s="115" t="n">
        <x:v>35</x:v>
      </x:c>
      <x:c r="O81" s="113" t="n">
        <x:f>IFERROR(M81/N81,"")</x:f>
        <x:v>3428.5714285714284</x:v>
      </x:c>
      <x:c r="P81" s="116" t="n">
        <x:f>Beallitasok!$B$5</x:f>
        <x:v>1.15</x:v>
      </x:c>
      <x:c r="Q81" s="113" t="n">
        <x:f>IFERROR(ROUND(O81*P81/Beallitasok!$B$7,0)*Beallitasok!$B$7,"")</x:f>
        <x:v>3950</x:v>
      </x:c>
      <x:c r="R81" s="113"/>
      <x:c r="S81" s="113" t="n">
        <x:f>IF(Q81="","",Q81+IF(R81="",0,R81))</x:f>
        <x:v>3950</x:v>
      </x:c>
      <x:c r="T81" s="113" t="n">
        <x:f>M81*Beallitasok!$B$4</x:f>
        <x:v>600000</x:v>
      </x:c>
      <x:c r="U81" s="115" t="n">
        <x:f>N81*Beallitasok!$B$4</x:f>
        <x:v>175</x:v>
      </x:c>
      <x:c r="V81" s="113"/>
      <x:c r="W81" s="113" t="str">
        <x:f>IF(V81="","",V81-J81)</x:f>
      </x:c>
      <x:c r="X81" s="19"/>
      <x:c r="Y81" s="113" t="n">
        <x:f>IF(S81="","",J81-S81)</x:f>
        <x:v>200</x:v>
      </x:c>
      <x:c r="Z81" s="19" t="str">
        <x:f>IF(AA81="IGEN",IF(J81&lt;S81,"GÉPIGÉNY + KRITIKUS: gépdíj nélkül is alacsony a plafon","GÉPIGÉNY: a saját egységár gépdíj nélkül értendő"),IF(J81&lt;S81,"KRITIKUS: alvállalkozói plafon &lt; saját terhelt egységköltség",IF(J81&lt;S81*Beallitasok!$B$6,"SZŰK TARTALÉK: 10% alatti tartalék","OK")))</x:f>
        <x:v>SZŰK TARTALÉK: 10% alatti tartalék</x:v>
      </x:c>
      <x:c r="AA81" s="19" t="str">
        <x:v>NEM</x:v>
      </x:c>
      <x:c r="AB81" s="19" t="str">
        <x:v>https://gigabau.hu/komuvesarak</x:v>
      </x:c>
      <x:c r="AC81" s="19" t="str">
        <x:v>2026 kőműves piaci alsó sáv; felhasználói kontrollárakkal</x:v>
      </x:c>
      <x:c r="AD81" s="19" t="str">
        <x:v>Áthidaló, koszorú, állvány és anyagmozgatás külön tétel.</x:v>
      </x:c>
    </x:row>
    <x:row r="82">
      <x:c r="A82" s="19" t="str">
        <x:v>AR-0081</x:v>
      </x:c>
      <x:c r="B82" s="19" t="str">
        <x:v>05 Falazás</x:v>
      </x:c>
      <x:c r="C82" s="19" t="str">
        <x:v>Tartó- és válaszfal</x:v>
      </x:c>
      <x:c r="D82" s="19" t="str">
        <x:v>Tégla / pórusbeton</x:v>
      </x:c>
      <x:c r="E82" s="19" t="str">
        <x:v>Ytong 30 cm külső tartófal falazása</x:v>
      </x:c>
      <x:c r="F82" s="19" t="str">
        <x:v>m²</x:v>
      </x:c>
      <x:c r="G82" s="113" t="n">
        <x:v>6500</x:v>
      </x:c>
      <x:c r="H82" s="113" t="n">
        <x:v>7000</x:v>
      </x:c>
      <x:c r="I82" s="114" t="n">
        <x:v>0.5</x:v>
      </x:c>
      <x:c r="J82" s="113" t="n">
        <x:f>ROUND(H82*I82/Beallitasok!$B$7,0)*Beallitasok!$B$7</x:f>
        <x:v>3500</x:v>
      </x:c>
      <x:c r="K82" s="19" t="n">
        <x:v>2</x:v>
      </x:c>
      <x:c r="L82" s="19" t="n">
        <x:v>2</x:v>
      </x:c>
      <x:c r="M82" s="113" t="n">
        <x:f>K82*Beallitasok!$B$2+L82*Beallitasok!$B$3</x:f>
        <x:v>120000</x:v>
      </x:c>
      <x:c r="N82" s="115" t="n">
        <x:v>40</x:v>
      </x:c>
      <x:c r="O82" s="113" t="n">
        <x:f>IFERROR(M82/N82,"")</x:f>
        <x:v>3000</x:v>
      </x:c>
      <x:c r="P82" s="116" t="n">
        <x:f>Beallitasok!$B$5</x:f>
        <x:v>1.15</x:v>
      </x:c>
      <x:c r="Q82" s="113" t="n">
        <x:f>IFERROR(ROUND(O82*P82/Beallitasok!$B$7,0)*Beallitasok!$B$7,"")</x:f>
        <x:v>3450</x:v>
      </x:c>
      <x:c r="R82" s="113"/>
      <x:c r="S82" s="113" t="n">
        <x:f>IF(Q82="","",Q82+IF(R82="",0,R82))</x:f>
        <x:v>3450</x:v>
      </x:c>
      <x:c r="T82" s="113" t="n">
        <x:f>M82*Beallitasok!$B$4</x:f>
        <x:v>600000</x:v>
      </x:c>
      <x:c r="U82" s="115" t="n">
        <x:f>N82*Beallitasok!$B$4</x:f>
        <x:v>200</x:v>
      </x:c>
      <x:c r="V82" s="113"/>
      <x:c r="W82" s="113" t="str">
        <x:f>IF(V82="","",V82-J82)</x:f>
      </x:c>
      <x:c r="X82" s="19"/>
      <x:c r="Y82" s="113" t="n">
        <x:f>IF(S82="","",J82-S82)</x:f>
        <x:v>50</x:v>
      </x:c>
      <x:c r="Z82" s="19" t="str">
        <x:f>IF(AA82="IGEN",IF(J82&lt;S82,"GÉPIGÉNY + KRITIKUS: gépdíj nélkül is alacsony a plafon","GÉPIGÉNY: a saját egységár gépdíj nélkül értendő"),IF(J82&lt;S82,"KRITIKUS: alvállalkozói plafon &lt; saját terhelt egységköltség",IF(J82&lt;S82*Beallitasok!$B$6,"SZŰK TARTALÉK: 10% alatti tartalék","OK")))</x:f>
        <x:v>SZŰK TARTALÉK: 10% alatti tartalék</x:v>
      </x:c>
      <x:c r="AA82" s="19" t="str">
        <x:v>NEM</x:v>
      </x:c>
      <x:c r="AB82" s="19" t="str">
        <x:v>https://gigabau.hu/komuvesarak</x:v>
      </x:c>
      <x:c r="AC82" s="19" t="str">
        <x:v>2026 kőműves piaci alsó sáv; felhasználói kontrollárakkal</x:v>
      </x:c>
      <x:c r="AD82" s="19" t="str">
        <x:v>Áthidaló, koszorú, állvány és anyagmozgatás külön tétel.</x:v>
      </x:c>
    </x:row>
    <x:row r="83">
      <x:c r="A83" s="19" t="str">
        <x:v>AR-0082</x:v>
      </x:c>
      <x:c r="B83" s="19" t="str">
        <x:v>05 Falazás</x:v>
      </x:c>
      <x:c r="C83" s="19" t="str">
        <x:v>Tartó- és válaszfal</x:v>
      </x:c>
      <x:c r="D83" s="19" t="str">
        <x:v>Tégla / pórusbeton</x:v>
      </x:c>
      <x:c r="E83" s="19" t="str">
        <x:v>Ytong 37,5 cm külső tartófal falazása</x:v>
      </x:c>
      <x:c r="F83" s="19" t="str">
        <x:v>m²</x:v>
      </x:c>
      <x:c r="G83" s="113" t="n">
        <x:v>7500</x:v>
      </x:c>
      <x:c r="H83" s="113" t="n">
        <x:v>8200</x:v>
      </x:c>
      <x:c r="I83" s="114" t="n">
        <x:v>0.5</x:v>
      </x:c>
      <x:c r="J83" s="113" t="n">
        <x:f>ROUND(H83*I83/Beallitasok!$B$7,0)*Beallitasok!$B$7</x:f>
        <x:v>4100</x:v>
      </x:c>
      <x:c r="K83" s="19" t="n">
        <x:v>2</x:v>
      </x:c>
      <x:c r="L83" s="19" t="n">
        <x:v>2</x:v>
      </x:c>
      <x:c r="M83" s="113" t="n">
        <x:f>K83*Beallitasok!$B$2+L83*Beallitasok!$B$3</x:f>
        <x:v>120000</x:v>
      </x:c>
      <x:c r="N83" s="115" t="n">
        <x:v>34</x:v>
      </x:c>
      <x:c r="O83" s="113" t="n">
        <x:f>IFERROR(M83/N83,"")</x:f>
        <x:v>3529.4117647058824</x:v>
      </x:c>
      <x:c r="P83" s="116" t="n">
        <x:f>Beallitasok!$B$5</x:f>
        <x:v>1.15</x:v>
      </x:c>
      <x:c r="Q83" s="113" t="n">
        <x:f>IFERROR(ROUND(O83*P83/Beallitasok!$B$7,0)*Beallitasok!$B$7,"")</x:f>
        <x:v>4050</x:v>
      </x:c>
      <x:c r="R83" s="113"/>
      <x:c r="S83" s="113" t="n">
        <x:f>IF(Q83="","",Q83+IF(R83="",0,R83))</x:f>
        <x:v>4050</x:v>
      </x:c>
      <x:c r="T83" s="113" t="n">
        <x:f>M83*Beallitasok!$B$4</x:f>
        <x:v>600000</x:v>
      </x:c>
      <x:c r="U83" s="115" t="n">
        <x:f>N83*Beallitasok!$B$4</x:f>
        <x:v>170</x:v>
      </x:c>
      <x:c r="V83" s="113"/>
      <x:c r="W83" s="113" t="str">
        <x:f>IF(V83="","",V83-J83)</x:f>
      </x:c>
      <x:c r="X83" s="19"/>
      <x:c r="Y83" s="113" t="n">
        <x:f>IF(S83="","",J83-S83)</x:f>
        <x:v>50</x:v>
      </x:c>
      <x:c r="Z83" s="19" t="str">
        <x:f>IF(AA83="IGEN",IF(J83&lt;S83,"GÉPIGÉNY + KRITIKUS: gépdíj nélkül is alacsony a plafon","GÉPIGÉNY: a saját egységár gépdíj nélkül értendő"),IF(J83&lt;S83,"KRITIKUS: alvállalkozói plafon &lt; saját terhelt egységköltség",IF(J83&lt;S83*Beallitasok!$B$6,"SZŰK TARTALÉK: 10% alatti tartalék","OK")))</x:f>
        <x:v>SZŰK TARTALÉK: 10% alatti tartalék</x:v>
      </x:c>
      <x:c r="AA83" s="19" t="str">
        <x:v>NEM</x:v>
      </x:c>
      <x:c r="AB83" s="19" t="str">
        <x:v>https://gigabau.hu/komuvesarak</x:v>
      </x:c>
      <x:c r="AC83" s="19" t="str">
        <x:v>2026 kőműves piaci alsó sáv; felhasználói kontrollárakkal</x:v>
      </x:c>
      <x:c r="AD83" s="19" t="str">
        <x:v>Áthidaló, koszorú, állvány és anyagmozgatás külön tétel.</x:v>
      </x:c>
    </x:row>
    <x:row r="84">
      <x:c r="A84" s="19" t="str">
        <x:v>AR-0083</x:v>
      </x:c>
      <x:c r="B84" s="19" t="str">
        <x:v>05 Falazás</x:v>
      </x:c>
      <x:c r="C84" s="19" t="str">
        <x:v>Tartó- és válaszfal</x:v>
      </x:c>
      <x:c r="D84" s="19" t="str">
        <x:v>Tégla / pórusbeton</x:v>
      </x:c>
      <x:c r="E84" s="19" t="str">
        <x:v>Kerámia válaszfal 10 cm falazása</x:v>
      </x:c>
      <x:c r="F84" s="19" t="str">
        <x:v>m²</x:v>
      </x:c>
      <x:c r="G84" s="113" t="n">
        <x:v>6000</x:v>
      </x:c>
      <x:c r="H84" s="113" t="n">
        <x:v>6500</x:v>
      </x:c>
      <x:c r="I84" s="114" t="n">
        <x:v>0.5</x:v>
      </x:c>
      <x:c r="J84" s="113" t="n">
        <x:f>ROUND(H84*I84/Beallitasok!$B$7,0)*Beallitasok!$B$7</x:f>
        <x:v>3250</x:v>
      </x:c>
      <x:c r="K84" s="19" t="n">
        <x:v>2</x:v>
      </x:c>
      <x:c r="L84" s="19" t="n">
        <x:v>2</x:v>
      </x:c>
      <x:c r="M84" s="113" t="n">
        <x:f>K84*Beallitasok!$B$2+L84*Beallitasok!$B$3</x:f>
        <x:v>120000</x:v>
      </x:c>
      <x:c r="N84" s="115" t="n">
        <x:v>50</x:v>
      </x:c>
      <x:c r="O84" s="113" t="n">
        <x:f>IFERROR(M84/N84,"")</x:f>
        <x:v>2400</x:v>
      </x:c>
      <x:c r="P84" s="116" t="n">
        <x:f>Beallitasok!$B$5</x:f>
        <x:v>1.15</x:v>
      </x:c>
      <x:c r="Q84" s="113" t="n">
        <x:f>IFERROR(ROUND(O84*P84/Beallitasok!$B$7,0)*Beallitasok!$B$7,"")</x:f>
        <x:v>2750</x:v>
      </x:c>
      <x:c r="R84" s="113"/>
      <x:c r="S84" s="113" t="n">
        <x:f>IF(Q84="","",Q84+IF(R84="",0,R84))</x:f>
        <x:v>2750</x:v>
      </x:c>
      <x:c r="T84" s="113" t="n">
        <x:f>M84*Beallitasok!$B$4</x:f>
        <x:v>600000</x:v>
      </x:c>
      <x:c r="U84" s="115" t="n">
        <x:f>N84*Beallitasok!$B$4</x:f>
        <x:v>250</x:v>
      </x:c>
      <x:c r="V84" s="113"/>
      <x:c r="W84" s="113" t="str">
        <x:f>IF(V84="","",V84-J84)</x:f>
      </x:c>
      <x:c r="X84" s="19"/>
      <x:c r="Y84" s="113" t="n">
        <x:f>IF(S84="","",J84-S84)</x:f>
        <x:v>500</x:v>
      </x:c>
      <x:c r="Z84" s="19" t="str">
        <x:f>IF(AA84="IGEN",IF(J84&lt;S84,"GÉPIGÉNY + KRITIKUS: gépdíj nélkül is alacsony a plafon","GÉPIGÉNY: a saját egységár gépdíj nélkül értendő"),IF(J84&lt;S84,"KRITIKUS: alvállalkozói plafon &lt; saját terhelt egységköltség",IF(J84&lt;S84*Beallitasok!$B$6,"SZŰK TARTALÉK: 10% alatti tartalék","OK")))</x:f>
        <x:v>OK</x:v>
      </x:c>
      <x:c r="AA84" s="19" t="str">
        <x:v>NEM</x:v>
      </x:c>
      <x:c r="AB84" s="19" t="str">
        <x:v>https://gigabau.hu/komuvesarak</x:v>
      </x:c>
      <x:c r="AC84" s="19" t="str">
        <x:v>2026 kőműves piaci alsó sáv; felhasználói kontrollárakkal</x:v>
      </x:c>
      <x:c r="AD84" s="19" t="str">
        <x:v>Áthidaló, koszorú, állvány és anyagmozgatás külön tétel.</x:v>
      </x:c>
    </x:row>
    <x:row r="85">
      <x:c r="A85" s="19" t="str">
        <x:v>AR-0084</x:v>
      </x:c>
      <x:c r="B85" s="19" t="str">
        <x:v>05 Falazás</x:v>
      </x:c>
      <x:c r="C85" s="19" t="str">
        <x:v>Tartó- és válaszfal</x:v>
      </x:c>
      <x:c r="D85" s="19" t="str">
        <x:v>Tégla / pórusbeton</x:v>
      </x:c>
      <x:c r="E85" s="19" t="str">
        <x:v>Kerámia válaszfal 12 cm falazása</x:v>
      </x:c>
      <x:c r="F85" s="19" t="str">
        <x:v>m²</x:v>
      </x:c>
      <x:c r="G85" s="113" t="n">
        <x:v>6200</x:v>
      </x:c>
      <x:c r="H85" s="113" t="n">
        <x:v>6800</x:v>
      </x:c>
      <x:c r="I85" s="114" t="n">
        <x:v>0.5</x:v>
      </x:c>
      <x:c r="J85" s="113" t="n">
        <x:f>ROUND(H85*I85/Beallitasok!$B$7,0)*Beallitasok!$B$7</x:f>
        <x:v>3400</x:v>
      </x:c>
      <x:c r="K85" s="19" t="n">
        <x:v>2</x:v>
      </x:c>
      <x:c r="L85" s="19" t="n">
        <x:v>2</x:v>
      </x:c>
      <x:c r="M85" s="113" t="n">
        <x:f>K85*Beallitasok!$B$2+L85*Beallitasok!$B$3</x:f>
        <x:v>120000</x:v>
      </x:c>
      <x:c r="N85" s="115" t="n">
        <x:v>46</x:v>
      </x:c>
      <x:c r="O85" s="113" t="n">
        <x:f>IFERROR(M85/N85,"")</x:f>
        <x:v>2608.695652173913</x:v>
      </x:c>
      <x:c r="P85" s="116" t="n">
        <x:f>Beallitasok!$B$5</x:f>
        <x:v>1.15</x:v>
      </x:c>
      <x:c r="Q85" s="113" t="n">
        <x:f>IFERROR(ROUND(O85*P85/Beallitasok!$B$7,0)*Beallitasok!$B$7,"")</x:f>
        <x:v>3000</x:v>
      </x:c>
      <x:c r="R85" s="113"/>
      <x:c r="S85" s="113" t="n">
        <x:f>IF(Q85="","",Q85+IF(R85="",0,R85))</x:f>
        <x:v>3000</x:v>
      </x:c>
      <x:c r="T85" s="113" t="n">
        <x:f>M85*Beallitasok!$B$4</x:f>
        <x:v>600000</x:v>
      </x:c>
      <x:c r="U85" s="115" t="n">
        <x:f>N85*Beallitasok!$B$4</x:f>
        <x:v>230</x:v>
      </x:c>
      <x:c r="V85" s="113"/>
      <x:c r="W85" s="113" t="str">
        <x:f>IF(V85="","",V85-J85)</x:f>
      </x:c>
      <x:c r="X85" s="19"/>
      <x:c r="Y85" s="113" t="n">
        <x:f>IF(S85="","",J85-S85)</x:f>
        <x:v>400</x:v>
      </x:c>
      <x:c r="Z85" s="19" t="str">
        <x:f>IF(AA85="IGEN",IF(J85&lt;S85,"GÉPIGÉNY + KRITIKUS: gépdíj nélkül is alacsony a plafon","GÉPIGÉNY: a saját egységár gépdíj nélkül értendő"),IF(J85&lt;S85,"KRITIKUS: alvállalkozói plafon &lt; saját terhelt egységköltség",IF(J85&lt;S85*Beallitasok!$B$6,"SZŰK TARTALÉK: 10% alatti tartalék","OK")))</x:f>
        <x:v>OK</x:v>
      </x:c>
      <x:c r="AA85" s="19" t="str">
        <x:v>NEM</x:v>
      </x:c>
      <x:c r="AB85" s="19" t="str">
        <x:v>https://gigabau.hu/komuvesarak</x:v>
      </x:c>
      <x:c r="AC85" s="19" t="str">
        <x:v>2026 kőműves piaci alsó sáv; felhasználói kontrollárakkal</x:v>
      </x:c>
      <x:c r="AD85" s="19" t="str">
        <x:v>Áthidaló, koszorú, állvány és anyagmozgatás külön tétel.</x:v>
      </x:c>
    </x:row>
    <x:row r="86">
      <x:c r="A86" s="19" t="str">
        <x:v>AR-0085</x:v>
      </x:c>
      <x:c r="B86" s="19" t="str">
        <x:v>05 Falazás</x:v>
      </x:c>
      <x:c r="C86" s="19" t="str">
        <x:v>Tartó- és válaszfal</x:v>
      </x:c>
      <x:c r="D86" s="19" t="str">
        <x:v>Tégla / pórusbeton</x:v>
      </x:c>
      <x:c r="E86" s="19" t="str">
        <x:v>Ytong válaszfal 10 cm falazása</x:v>
      </x:c>
      <x:c r="F86" s="19" t="str">
        <x:v>m²</x:v>
      </x:c>
      <x:c r="G86" s="113" t="n">
        <x:v>5500</x:v>
      </x:c>
      <x:c r="H86" s="113" t="n">
        <x:v>6200</x:v>
      </x:c>
      <x:c r="I86" s="114" t="n">
        <x:v>0.5</x:v>
      </x:c>
      <x:c r="J86" s="113" t="n">
        <x:f>ROUND(H86*I86/Beallitasok!$B$7,0)*Beallitasok!$B$7</x:f>
        <x:v>3100</x:v>
      </x:c>
      <x:c r="K86" s="19" t="n">
        <x:v>2</x:v>
      </x:c>
      <x:c r="L86" s="19" t="n">
        <x:v>1</x:v>
      </x:c>
      <x:c r="M86" s="113" t="n">
        <x:f>K86*Beallitasok!$B$2+L86*Beallitasok!$B$3</x:f>
        <x:v>95000</x:v>
      </x:c>
      <x:c r="N86" s="115" t="n">
        <x:v>55</x:v>
      </x:c>
      <x:c r="O86" s="113" t="n">
        <x:f>IFERROR(M86/N86,"")</x:f>
        <x:v>1727.2727272727273</x:v>
      </x:c>
      <x:c r="P86" s="116" t="n">
        <x:f>Beallitasok!$B$5</x:f>
        <x:v>1.15</x:v>
      </x:c>
      <x:c r="Q86" s="113" t="n">
        <x:f>IFERROR(ROUND(O86*P86/Beallitasok!$B$7,0)*Beallitasok!$B$7,"")</x:f>
        <x:v>2000</x:v>
      </x:c>
      <x:c r="R86" s="113"/>
      <x:c r="S86" s="113" t="n">
        <x:f>IF(Q86="","",Q86+IF(R86="",0,R86))</x:f>
        <x:v>2000</x:v>
      </x:c>
      <x:c r="T86" s="113" t="n">
        <x:f>M86*Beallitasok!$B$4</x:f>
        <x:v>475000</x:v>
      </x:c>
      <x:c r="U86" s="115" t="n">
        <x:f>N86*Beallitasok!$B$4</x:f>
        <x:v>275</x:v>
      </x:c>
      <x:c r="V86" s="113"/>
      <x:c r="W86" s="113" t="str">
        <x:f>IF(V86="","",V86-J86)</x:f>
      </x:c>
      <x:c r="X86" s="19"/>
      <x:c r="Y86" s="113" t="n">
        <x:f>IF(S86="","",J86-S86)</x:f>
        <x:v>1100</x:v>
      </x:c>
      <x:c r="Z86" s="19" t="str">
        <x:f>IF(AA86="IGEN",IF(J86&lt;S86,"GÉPIGÉNY + KRITIKUS: gépdíj nélkül is alacsony a plafon","GÉPIGÉNY: a saját egységár gépdíj nélkül értendő"),IF(J86&lt;S86,"KRITIKUS: alvállalkozói plafon &lt; saját terhelt egységköltség",IF(J86&lt;S86*Beallitasok!$B$6,"SZŰK TARTALÉK: 10% alatti tartalék","OK")))</x:f>
        <x:v>OK</x:v>
      </x:c>
      <x:c r="AA86" s="19" t="str">
        <x:v>NEM</x:v>
      </x:c>
      <x:c r="AB86" s="19" t="str">
        <x:v>https://gigabau.hu/komuvesarak</x:v>
      </x:c>
      <x:c r="AC86" s="19" t="str">
        <x:v>2026 kőműves piaci alsó sáv; felhasználói kontrollárakkal</x:v>
      </x:c>
      <x:c r="AD86" s="19" t="str">
        <x:v>Áthidaló, koszorú, állvány és anyagmozgatás külön tétel.</x:v>
      </x:c>
    </x:row>
    <x:row r="87">
      <x:c r="A87" s="19" t="str">
        <x:v>AR-0086</x:v>
      </x:c>
      <x:c r="B87" s="19" t="str">
        <x:v>05 Falazás</x:v>
      </x:c>
      <x:c r="C87" s="19" t="str">
        <x:v>Tartó- és válaszfal</x:v>
      </x:c>
      <x:c r="D87" s="19" t="str">
        <x:v>Tégla / pórusbeton</x:v>
      </x:c>
      <x:c r="E87" s="19" t="str">
        <x:v>Ytong válaszfal 12,5 cm falazása</x:v>
      </x:c>
      <x:c r="F87" s="19" t="str">
        <x:v>m²</x:v>
      </x:c>
      <x:c r="G87" s="113" t="n">
        <x:v>5800</x:v>
      </x:c>
      <x:c r="H87" s="113" t="n">
        <x:v>6500</x:v>
      </x:c>
      <x:c r="I87" s="114" t="n">
        <x:v>0.5</x:v>
      </x:c>
      <x:c r="J87" s="113" t="n">
        <x:f>ROUND(H87*I87/Beallitasok!$B$7,0)*Beallitasok!$B$7</x:f>
        <x:v>3250</x:v>
      </x:c>
      <x:c r="K87" s="19" t="n">
        <x:v>2</x:v>
      </x:c>
      <x:c r="L87" s="19" t="n">
        <x:v>1</x:v>
      </x:c>
      <x:c r="M87" s="113" t="n">
        <x:f>K87*Beallitasok!$B$2+L87*Beallitasok!$B$3</x:f>
        <x:v>95000</x:v>
      </x:c>
      <x:c r="N87" s="115" t="n">
        <x:v>50</x:v>
      </x:c>
      <x:c r="O87" s="113" t="n">
        <x:f>IFERROR(M87/N87,"")</x:f>
        <x:v>1900</x:v>
      </x:c>
      <x:c r="P87" s="116" t="n">
        <x:f>Beallitasok!$B$5</x:f>
        <x:v>1.15</x:v>
      </x:c>
      <x:c r="Q87" s="113" t="n">
        <x:f>IFERROR(ROUND(O87*P87/Beallitasok!$B$7,0)*Beallitasok!$B$7,"")</x:f>
        <x:v>2200</x:v>
      </x:c>
      <x:c r="R87" s="113"/>
      <x:c r="S87" s="113" t="n">
        <x:f>IF(Q87="","",Q87+IF(R87="",0,R87))</x:f>
        <x:v>2200</x:v>
      </x:c>
      <x:c r="T87" s="113" t="n">
        <x:f>M87*Beallitasok!$B$4</x:f>
        <x:v>475000</x:v>
      </x:c>
      <x:c r="U87" s="115" t="n">
        <x:f>N87*Beallitasok!$B$4</x:f>
        <x:v>250</x:v>
      </x:c>
      <x:c r="V87" s="113"/>
      <x:c r="W87" s="113" t="str">
        <x:f>IF(V87="","",V87-J87)</x:f>
      </x:c>
      <x:c r="X87" s="19"/>
      <x:c r="Y87" s="113" t="n">
        <x:f>IF(S87="","",J87-S87)</x:f>
        <x:v>1050</x:v>
      </x:c>
      <x:c r="Z87" s="19" t="str">
        <x:f>IF(AA87="IGEN",IF(J87&lt;S87,"GÉPIGÉNY + KRITIKUS: gépdíj nélkül is alacsony a plafon","GÉPIGÉNY: a saját egységár gépdíj nélkül értendő"),IF(J87&lt;S87,"KRITIKUS: alvállalkozói plafon &lt; saját terhelt egységköltség",IF(J87&lt;S87*Beallitasok!$B$6,"SZŰK TARTALÉK: 10% alatti tartalék","OK")))</x:f>
        <x:v>OK</x:v>
      </x:c>
      <x:c r="AA87" s="19" t="str">
        <x:v>NEM</x:v>
      </x:c>
      <x:c r="AB87" s="19" t="str">
        <x:v>https://gigabau.hu/komuvesarak</x:v>
      </x:c>
      <x:c r="AC87" s="19" t="str">
        <x:v>2026 kőműves piaci alsó sáv; felhasználói kontrollárakkal</x:v>
      </x:c>
      <x:c r="AD87" s="19" t="str">
        <x:v>Áthidaló, koszorú, állvány és anyagmozgatás külön tétel.</x:v>
      </x:c>
    </x:row>
    <x:row r="88">
      <x:c r="A88" s="19" t="str">
        <x:v>AR-0087</x:v>
      </x:c>
      <x:c r="B88" s="19" t="str">
        <x:v>05 Falazás</x:v>
      </x:c>
      <x:c r="C88" s="19" t="str">
        <x:v>Kiegészítő kőműves munkák</x:v>
      </x:c>
      <x:c r="D88" s="19" t="str">
        <x:v>Tégla / pórusbeton</x:v>
      </x:c>
      <x:c r="E88" s="19" t="str">
        <x:v>Első falsor kitűzése és szintezése</x:v>
      </x:c>
      <x:c r="F88" s="19" t="str">
        <x:v>fm</x:v>
      </x:c>
      <x:c r="G88" s="113" t="n">
        <x:v>2600</x:v>
      </x:c>
      <x:c r="H88" s="113" t="n">
        <x:v>3800</x:v>
      </x:c>
      <x:c r="I88" s="114" t="n">
        <x:v>0.5</x:v>
      </x:c>
      <x:c r="J88" s="113" t="n">
        <x:f>ROUND(H88*I88/Beallitasok!$B$7,0)*Beallitasok!$B$7</x:f>
        <x:v>1900</x:v>
      </x:c>
      <x:c r="K88" s="19" t="n">
        <x:v>2</x:v>
      </x:c>
      <x:c r="L88" s="19" t="n">
        <x:v>1</x:v>
      </x:c>
      <x:c r="M88" s="113" t="n">
        <x:f>K88*Beallitasok!$B$2+L88*Beallitasok!$B$3</x:f>
        <x:v>95000</x:v>
      </x:c>
      <x:c r="N88" s="115" t="n">
        <x:v>55</x:v>
      </x:c>
      <x:c r="O88" s="113" t="n">
        <x:f>IFERROR(M88/N88,"")</x:f>
        <x:v>1727.2727272727273</x:v>
      </x:c>
      <x:c r="P88" s="116" t="n">
        <x:f>Beallitasok!$B$5</x:f>
        <x:v>1.15</x:v>
      </x:c>
      <x:c r="Q88" s="113" t="n">
        <x:f>IFERROR(ROUND(O88*P88/Beallitasok!$B$7,0)*Beallitasok!$B$7,"")</x:f>
        <x:v>2000</x:v>
      </x:c>
      <x:c r="R88" s="113"/>
      <x:c r="S88" s="113" t="n">
        <x:f>IF(Q88="","",Q88+IF(R88="",0,R88))</x:f>
        <x:v>2000</x:v>
      </x:c>
      <x:c r="T88" s="113" t="n">
        <x:f>M88*Beallitasok!$B$4</x:f>
        <x:v>475000</x:v>
      </x:c>
      <x:c r="U88" s="115" t="n">
        <x:f>N88*Beallitasok!$B$4</x:f>
        <x:v>275</x:v>
      </x:c>
      <x:c r="V88" s="113"/>
      <x:c r="W88" s="113" t="str">
        <x:f>IF(V88="","",V88-J88)</x:f>
      </x:c>
      <x:c r="X88" s="19"/>
      <x:c r="Y88" s="113" t="n">
        <x:f>IF(S88="","",J88-S88)</x:f>
        <x:v>-100</x:v>
      </x:c>
      <x:c r="Z88" s="19" t="str">
        <x:f>IF(AA88="IGEN",IF(J88&lt;S88,"GÉPIGÉNY + KRITIKUS: gépdíj nélkül is alacsony a plafon","GÉPIGÉNY: a saját egységár gépdíj nélkül értendő"),IF(J88&lt;S88,"KRITIKUS: alvállalkozói plafon &lt; saját terhelt egységköltség",IF(J88&lt;S88*Beallitasok!$B$6,"SZŰK TARTALÉK: 10% alatti tartalék","OK")))</x:f>
        <x:v>KRITIKUS: alvállalkozói plafon &lt; saját terhelt egységköltség</x:v>
      </x:c>
      <x:c r="AA88" s="19" t="str">
        <x:v>NEM</x:v>
      </x:c>
      <x:c r="AB88" s="19" t="str">
        <x:v>https://gigabau.hu/komuvesarak</x:v>
      </x:c>
      <x:c r="AC88" s="19" t="str">
        <x:v>Kapcsolódó 2026 kőműves árakból levezetett</x:v>
      </x:c>
      <x:c r="AD88" s="19" t="str"/>
    </x:row>
    <x:row r="89">
      <x:c r="A89" s="19" t="str">
        <x:v>AR-0088</x:v>
      </x:c>
      <x:c r="B89" s="19" t="str">
        <x:v>05 Falazás</x:v>
      </x:c>
      <x:c r="C89" s="19" t="str">
        <x:v>Kiegészítő kőműves munkák</x:v>
      </x:c>
      <x:c r="D89" s="19" t="str">
        <x:v>Tégla / pórusbeton</x:v>
      </x:c>
      <x:c r="E89" s="19" t="str">
        <x:v>Falcsatlakozás rozsdamentes bekötőelemekkel</x:v>
      </x:c>
      <x:c r="F89" s="19" t="str">
        <x:v>fm</x:v>
      </x:c>
      <x:c r="G89" s="113" t="n">
        <x:v>1500</x:v>
      </x:c>
      <x:c r="H89" s="113" t="n">
        <x:v>2300</x:v>
      </x:c>
      <x:c r="I89" s="114" t="n">
        <x:v>0.5</x:v>
      </x:c>
      <x:c r="J89" s="113" t="n">
        <x:f>ROUND(H89*I89/Beallitasok!$B$7,0)*Beallitasok!$B$7</x:f>
        <x:v>1150</x:v>
      </x:c>
      <x:c r="K89" s="19" t="n">
        <x:v>1</x:v>
      </x:c>
      <x:c r="L89" s="19" t="n">
        <x:v>1</x:v>
      </x:c>
      <x:c r="M89" s="113" t="n">
        <x:f>K89*Beallitasok!$B$2+L89*Beallitasok!$B$3</x:f>
        <x:v>60000</x:v>
      </x:c>
      <x:c r="N89" s="115" t="n">
        <x:v>70</x:v>
      </x:c>
      <x:c r="O89" s="113" t="n">
        <x:f>IFERROR(M89/N89,"")</x:f>
        <x:v>857.1428571428571</x:v>
      </x:c>
      <x:c r="P89" s="116" t="n">
        <x:f>Beallitasok!$B$5</x:f>
        <x:v>1.15</x:v>
      </x:c>
      <x:c r="Q89" s="113" t="n">
        <x:f>IFERROR(ROUND(O89*P89/Beallitasok!$B$7,0)*Beallitasok!$B$7,"")</x:f>
        <x:v>1000</x:v>
      </x:c>
      <x:c r="R89" s="113"/>
      <x:c r="S89" s="113" t="n">
        <x:f>IF(Q89="","",Q89+IF(R89="",0,R89))</x:f>
        <x:v>1000</x:v>
      </x:c>
      <x:c r="T89" s="113" t="n">
        <x:f>M89*Beallitasok!$B$4</x:f>
        <x:v>300000</x:v>
      </x:c>
      <x:c r="U89" s="115" t="n">
        <x:f>N89*Beallitasok!$B$4</x:f>
        <x:v>350</x:v>
      </x:c>
      <x:c r="V89" s="113"/>
      <x:c r="W89" s="113" t="str">
        <x:f>IF(V89="","",V89-J89)</x:f>
      </x:c>
      <x:c r="X89" s="19"/>
      <x:c r="Y89" s="113" t="n">
        <x:f>IF(S89="","",J89-S89)</x:f>
        <x:v>150</x:v>
      </x:c>
      <x:c r="Z89" s="19" t="str">
        <x:f>IF(AA89="IGEN",IF(J89&lt;S89,"GÉPIGÉNY + KRITIKUS: gépdíj nélkül is alacsony a plafon","GÉPIGÉNY: a saját egységár gépdíj nélkül értendő"),IF(J89&lt;S89,"KRITIKUS: alvállalkozói plafon &lt; saját terhelt egységköltség",IF(J89&lt;S89*Beallitasok!$B$6,"SZŰK TARTALÉK: 10% alatti tartalék","OK")))</x:f>
        <x:v>OK</x:v>
      </x:c>
      <x:c r="AA89" s="19" t="str">
        <x:v>NEM</x:v>
      </x:c>
      <x:c r="AB89" s="19" t="str">
        <x:v>https://gigabau.hu/komuvesarak</x:v>
      </x:c>
      <x:c r="AC89" s="19" t="str">
        <x:v>Kapcsolódó 2026 kőműves árakból levezetett</x:v>
      </x:c>
      <x:c r="AD89" s="19" t="str"/>
    </x:row>
    <x:row r="90">
      <x:c r="A90" s="19" t="str">
        <x:v>AR-0089</x:v>
      </x:c>
      <x:c r="B90" s="19" t="str">
        <x:v>05 Falazás</x:v>
      </x:c>
      <x:c r="C90" s="19" t="str">
        <x:v>Kiegészítő kőműves munkák</x:v>
      </x:c>
      <x:c r="D90" s="19" t="str">
        <x:v>Tégla / pórusbeton</x:v>
      </x:c>
      <x:c r="E90" s="19" t="str">
        <x:v>Falazat erősítése falazóhálóval</x:v>
      </x:c>
      <x:c r="F90" s="19" t="str">
        <x:v>fm</x:v>
      </x:c>
      <x:c r="G90" s="113" t="n">
        <x:v>900</x:v>
      </x:c>
      <x:c r="H90" s="113" t="n">
        <x:v>1400</x:v>
      </x:c>
      <x:c r="I90" s="114" t="n">
        <x:v>0.5</x:v>
      </x:c>
      <x:c r="J90" s="113" t="n">
        <x:f>ROUND(H90*I90/Beallitasok!$B$7,0)*Beallitasok!$B$7</x:f>
        <x:v>700</x:v>
      </x:c>
      <x:c r="K90" s="19" t="n">
        <x:v>1</x:v>
      </x:c>
      <x:c r="L90" s="19" t="n">
        <x:v>1</x:v>
      </x:c>
      <x:c r="M90" s="113" t="n">
        <x:f>K90*Beallitasok!$B$2+L90*Beallitasok!$B$3</x:f>
        <x:v>60000</x:v>
      </x:c>
      <x:c r="N90" s="115" t="n">
        <x:v>120</x:v>
      </x:c>
      <x:c r="O90" s="113" t="n">
        <x:f>IFERROR(M90/N90,"")</x:f>
        <x:v>500</x:v>
      </x:c>
      <x:c r="P90" s="116" t="n">
        <x:f>Beallitasok!$B$5</x:f>
        <x:v>1.15</x:v>
      </x:c>
      <x:c r="Q90" s="113" t="n">
        <x:f>IFERROR(ROUND(O90*P90/Beallitasok!$B$7,0)*Beallitasok!$B$7,"")</x:f>
        <x:v>600</x:v>
      </x:c>
      <x:c r="R90" s="113"/>
      <x:c r="S90" s="113" t="n">
        <x:f>IF(Q90="","",Q90+IF(R90="",0,R90))</x:f>
        <x:v>600</x:v>
      </x:c>
      <x:c r="T90" s="113" t="n">
        <x:f>M90*Beallitasok!$B$4</x:f>
        <x:v>300000</x:v>
      </x:c>
      <x:c r="U90" s="115" t="n">
        <x:f>N90*Beallitasok!$B$4</x:f>
        <x:v>600</x:v>
      </x:c>
      <x:c r="V90" s="113"/>
      <x:c r="W90" s="113" t="str">
        <x:f>IF(V90="","",V90-J90)</x:f>
      </x:c>
      <x:c r="X90" s="19"/>
      <x:c r="Y90" s="113" t="n">
        <x:f>IF(S90="","",J90-S90)</x:f>
        <x:v>100</x:v>
      </x:c>
      <x:c r="Z90" s="19" t="str">
        <x:f>IF(AA90="IGEN",IF(J90&lt;S90,"GÉPIGÉNY + KRITIKUS: gépdíj nélkül is alacsony a plafon","GÉPIGÉNY: a saját egységár gépdíj nélkül értendő"),IF(J90&lt;S90,"KRITIKUS: alvállalkozói plafon &lt; saját terhelt egységköltség",IF(J90&lt;S90*Beallitasok!$B$6,"SZŰK TARTALÉK: 10% alatti tartalék","OK")))</x:f>
        <x:v>OK</x:v>
      </x:c>
      <x:c r="AA90" s="19" t="str">
        <x:v>NEM</x:v>
      </x:c>
      <x:c r="AB90" s="19" t="str">
        <x:v>https://gigabau.hu/komuvesarak</x:v>
      </x:c>
      <x:c r="AC90" s="19" t="str">
        <x:v>Kapcsolódó 2026 kőműves árakból levezetett</x:v>
      </x:c>
      <x:c r="AD90" s="19" t="str"/>
    </x:row>
    <x:row r="91">
      <x:c r="A91" s="19" t="str">
        <x:v>AR-0090</x:v>
      </x:c>
      <x:c r="B91" s="19" t="str">
        <x:v>05 Falazás</x:v>
      </x:c>
      <x:c r="C91" s="19" t="str">
        <x:v>Kiegészítő kőműves munkák</x:v>
      </x:c>
      <x:c r="D91" s="19" t="str">
        <x:v>Tégla / pórusbeton</x:v>
      </x:c>
      <x:c r="E91" s="19" t="str">
        <x:v>Kerámia áthidaló beépítése 1,5 m nyílásig</x:v>
      </x:c>
      <x:c r="F91" s="19" t="str">
        <x:v>db</x:v>
      </x:c>
      <x:c r="G91" s="113" t="n">
        <x:v>5500</x:v>
      </x:c>
      <x:c r="H91" s="113" t="n">
        <x:v>8000</x:v>
      </x:c>
      <x:c r="I91" s="114" t="n">
        <x:v>0.5</x:v>
      </x:c>
      <x:c r="J91" s="113" t="n">
        <x:f>ROUND(H91*I91/Beallitasok!$B$7,0)*Beallitasok!$B$7</x:f>
        <x:v>4000</x:v>
      </x:c>
      <x:c r="K91" s="19" t="n">
        <x:v>2</x:v>
      </x:c>
      <x:c r="L91" s="19" t="n">
        <x:v>1</x:v>
      </x:c>
      <x:c r="M91" s="113" t="n">
        <x:f>K91*Beallitasok!$B$2+L91*Beallitasok!$B$3</x:f>
        <x:v>95000</x:v>
      </x:c>
      <x:c r="N91" s="115" t="n">
        <x:v>10</x:v>
      </x:c>
      <x:c r="O91" s="113" t="n">
        <x:f>IFERROR(M91/N91,"")</x:f>
        <x:v>9500</x:v>
      </x:c>
      <x:c r="P91" s="116" t="n">
        <x:f>Beallitasok!$B$5</x:f>
        <x:v>1.15</x:v>
      </x:c>
      <x:c r="Q91" s="113" t="n">
        <x:f>IFERROR(ROUND(O91*P91/Beallitasok!$B$7,0)*Beallitasok!$B$7,"")</x:f>
        <x:v>10950</x:v>
      </x:c>
      <x:c r="R91" s="113"/>
      <x:c r="S91" s="113" t="n">
        <x:f>IF(Q91="","",Q91+IF(R91="",0,R91))</x:f>
        <x:v>10950</x:v>
      </x:c>
      <x:c r="T91" s="113" t="n">
        <x:f>M91*Beallitasok!$B$4</x:f>
        <x:v>475000</x:v>
      </x:c>
      <x:c r="U91" s="115" t="n">
        <x:f>N91*Beallitasok!$B$4</x:f>
        <x:v>50</x:v>
      </x:c>
      <x:c r="V91" s="113"/>
      <x:c r="W91" s="113" t="str">
        <x:f>IF(V91="","",V91-J91)</x:f>
      </x:c>
      <x:c r="X91" s="19"/>
      <x:c r="Y91" s="113" t="n">
        <x:f>IF(S91="","",J91-S91)</x:f>
        <x:v>-6950</x:v>
      </x:c>
      <x:c r="Z91" s="19" t="str">
        <x:f>IF(AA91="IGEN",IF(J91&lt;S91,"GÉPIGÉNY + KRITIKUS: gépdíj nélkül is alacsony a plafon","GÉPIGÉNY: a saját egységár gépdíj nélkül értendő"),IF(J91&lt;S91,"KRITIKUS: alvállalkozói plafon &lt; saját terhelt egységköltség",IF(J91&lt;S91*Beallitasok!$B$6,"SZŰK TARTALÉK: 10% alatti tartalék","OK")))</x:f>
        <x:v>KRITIKUS: alvállalkozói plafon &lt; saját terhelt egységköltség</x:v>
      </x:c>
      <x:c r="AA91" s="19" t="str">
        <x:v>NEM</x:v>
      </x:c>
      <x:c r="AB91" s="19" t="str">
        <x:v>https://gigabau.hu/komuvesarak</x:v>
      </x:c>
      <x:c r="AC91" s="19" t="str">
        <x:v>Kapcsolódó 2026 kőműves árakból levezetett</x:v>
      </x:c>
      <x:c r="AD91" s="19" t="str"/>
    </x:row>
    <x:row r="92">
      <x:c r="A92" s="19" t="str">
        <x:v>AR-0091</x:v>
      </x:c>
      <x:c r="B92" s="19" t="str">
        <x:v>05 Falazás</x:v>
      </x:c>
      <x:c r="C92" s="19" t="str">
        <x:v>Kiegészítő kőműves munkák</x:v>
      </x:c>
      <x:c r="D92" s="19" t="str">
        <x:v>Tégla / pórusbeton</x:v>
      </x:c>
      <x:c r="E92" s="19" t="str">
        <x:v>Kerámia áthidaló beépítése 1,5–2,5 m nyílásnál</x:v>
      </x:c>
      <x:c r="F92" s="19" t="str">
        <x:v>db</x:v>
      </x:c>
      <x:c r="G92" s="113" t="n">
        <x:v>9000</x:v>
      </x:c>
      <x:c r="H92" s="113" t="n">
        <x:v>13000</x:v>
      </x:c>
      <x:c r="I92" s="114" t="n">
        <x:v>0.5</x:v>
      </x:c>
      <x:c r="J92" s="113" t="n">
        <x:f>ROUND(H92*I92/Beallitasok!$B$7,0)*Beallitasok!$B$7</x:f>
        <x:v>6500</x:v>
      </x:c>
      <x:c r="K92" s="19" t="n">
        <x:v>2</x:v>
      </x:c>
      <x:c r="L92" s="19" t="n">
        <x:v>1</x:v>
      </x:c>
      <x:c r="M92" s="113" t="n">
        <x:f>K92*Beallitasok!$B$2+L92*Beallitasok!$B$3</x:f>
        <x:v>95000</x:v>
      </x:c>
      <x:c r="N92" s="115" t="n">
        <x:v>7</x:v>
      </x:c>
      <x:c r="O92" s="113" t="n">
        <x:f>IFERROR(M92/N92,"")</x:f>
        <x:v>13571.42857142857</x:v>
      </x:c>
      <x:c r="P92" s="116" t="n">
        <x:f>Beallitasok!$B$5</x:f>
        <x:v>1.15</x:v>
      </x:c>
      <x:c r="Q92" s="113" t="n">
        <x:f>IFERROR(ROUND(O92*P92/Beallitasok!$B$7,0)*Beallitasok!$B$7,"")</x:f>
        <x:v>15600</x:v>
      </x:c>
      <x:c r="R92" s="113"/>
      <x:c r="S92" s="113" t="n">
        <x:f>IF(Q92="","",Q92+IF(R92="",0,R92))</x:f>
        <x:v>15600</x:v>
      </x:c>
      <x:c r="T92" s="113" t="n">
        <x:f>M92*Beallitasok!$B$4</x:f>
        <x:v>475000</x:v>
      </x:c>
      <x:c r="U92" s="115" t="n">
        <x:f>N92*Beallitasok!$B$4</x:f>
        <x:v>35</x:v>
      </x:c>
      <x:c r="V92" s="113"/>
      <x:c r="W92" s="113" t="str">
        <x:f>IF(V92="","",V92-J92)</x:f>
      </x:c>
      <x:c r="X92" s="19"/>
      <x:c r="Y92" s="113" t="n">
        <x:f>IF(S92="","",J92-S92)</x:f>
        <x:v>-9100</x:v>
      </x:c>
      <x:c r="Z92" s="19" t="str">
        <x:f>IF(AA92="IGEN",IF(J92&lt;S92,"GÉPIGÉNY + KRITIKUS: gépdíj nélkül is alacsony a plafon","GÉPIGÉNY: a saját egységár gépdíj nélkül értendő"),IF(J92&lt;S92,"KRITIKUS: alvállalkozói plafon &lt; saját terhelt egységköltség",IF(J92&lt;S92*Beallitasok!$B$6,"SZŰK TARTALÉK: 10% alatti tartalék","OK")))</x:f>
        <x:v>KRITIKUS: alvállalkozói plafon &lt; saját terhelt egységköltség</x:v>
      </x:c>
      <x:c r="AA92" s="19" t="str">
        <x:v>NEM</x:v>
      </x:c>
      <x:c r="AB92" s="19" t="str">
        <x:v>https://gigabau.hu/komuvesarak</x:v>
      </x:c>
      <x:c r="AC92" s="19" t="str">
        <x:v>Kapcsolódó 2026 kőműves árakból levezetett</x:v>
      </x:c>
      <x:c r="AD92" s="19" t="str"/>
    </x:row>
    <x:row r="93">
      <x:c r="A93" s="19" t="str">
        <x:v>AR-0092</x:v>
      </x:c>
      <x:c r="B93" s="19" t="str">
        <x:v>05 Falazás</x:v>
      </x:c>
      <x:c r="C93" s="19" t="str">
        <x:v>Kiegészítő kőműves munkák</x:v>
      </x:c>
      <x:c r="D93" s="19" t="str">
        <x:v>Tégla / pórusbeton</x:v>
      </x:c>
      <x:c r="E93" s="19" t="str">
        <x:v>Monolit áthidaló zsaluzása, vasalása és betonozási munkája</x:v>
      </x:c>
      <x:c r="F93" s="19" t="str">
        <x:v>fm</x:v>
      </x:c>
      <x:c r="G93" s="113" t="n">
        <x:v>15000</x:v>
      </x:c>
      <x:c r="H93" s="113" t="n">
        <x:v>22000</x:v>
      </x:c>
      <x:c r="I93" s="114" t="n">
        <x:v>0.5</x:v>
      </x:c>
      <x:c r="J93" s="113" t="n">
        <x:f>ROUND(H93*I93/Beallitasok!$B$7,0)*Beallitasok!$B$7</x:f>
        <x:v>11000</x:v>
      </x:c>
      <x:c r="K93" s="19" t="n">
        <x:v>2</x:v>
      </x:c>
      <x:c r="L93" s="19" t="n">
        <x:v>2</x:v>
      </x:c>
      <x:c r="M93" s="113" t="n">
        <x:f>K93*Beallitasok!$B$2+L93*Beallitasok!$B$3</x:f>
        <x:v>120000</x:v>
      </x:c>
      <x:c r="N93" s="115" t="n">
        <x:v>6</x:v>
      </x:c>
      <x:c r="O93" s="113" t="n">
        <x:f>IFERROR(M93/N93,"")</x:f>
        <x:v>20000</x:v>
      </x:c>
      <x:c r="P93" s="116" t="n">
        <x:f>Beallitasok!$B$5</x:f>
        <x:v>1.15</x:v>
      </x:c>
      <x:c r="Q93" s="113" t="n">
        <x:f>IFERROR(ROUND(O93*P93/Beallitasok!$B$7,0)*Beallitasok!$B$7,"")</x:f>
        <x:v>23000</x:v>
      </x:c>
      <x:c r="R93" s="113"/>
      <x:c r="S93" s="113" t="n">
        <x:f>IF(Q93="","",Q93+IF(R93="",0,R93))</x:f>
        <x:v>23000</x:v>
      </x:c>
      <x:c r="T93" s="113" t="n">
        <x:f>M93*Beallitasok!$B$4</x:f>
        <x:v>600000</x:v>
      </x:c>
      <x:c r="U93" s="115" t="n">
        <x:f>N93*Beallitasok!$B$4</x:f>
        <x:v>30</x:v>
      </x:c>
      <x:c r="V93" s="113"/>
      <x:c r="W93" s="113" t="str">
        <x:f>IF(V93="","",V93-J93)</x:f>
      </x:c>
      <x:c r="X93" s="19"/>
      <x:c r="Y93" s="113" t="n">
        <x:f>IF(S93="","",J93-S93)</x:f>
        <x:v>-12000</x:v>
      </x:c>
      <x:c r="Z93" s="19" t="str">
        <x:f>IF(AA93="IGEN",IF(J93&lt;S93,"GÉPIGÉNY + KRITIKUS: gépdíj nélkül is alacsony a plafon","GÉPIGÉNY: a saját egységár gépdíj nélkül értendő"),IF(J93&lt;S93,"KRITIKUS: alvállalkozói plafon &lt; saját terhelt egységköltség",IF(J93&lt;S93*Beallitasok!$B$6,"SZŰK TARTALÉK: 10% alatti tartalék","OK")))</x:f>
        <x:v>KRITIKUS: alvállalkozói plafon &lt; saját terhelt egységköltség</x:v>
      </x:c>
      <x:c r="AA93" s="19" t="str">
        <x:v>NEM</x:v>
      </x:c>
      <x:c r="AB93" s="19" t="str">
        <x:v>https://gigabau.hu/komuvesarak</x:v>
      </x:c>
      <x:c r="AC93" s="19" t="str">
        <x:v>Kapcsolódó 2026 kőműves árakból levezetett</x:v>
      </x:c>
      <x:c r="AD93" s="19" t="str"/>
    </x:row>
    <x:row r="94">
      <x:c r="A94" s="19" t="str">
        <x:v>AR-0093</x:v>
      </x:c>
      <x:c r="B94" s="19" t="str">
        <x:v>05 Falazás</x:v>
      </x:c>
      <x:c r="C94" s="19" t="str">
        <x:v>Kiegészítő kőműves munkák</x:v>
      </x:c>
      <x:c r="D94" s="19" t="str">
        <x:v>Tégla / pórusbeton</x:v>
      </x:c>
      <x:c r="E94" s="19" t="str">
        <x:v>Falazott pillér készítése 30×30 cm-ig</x:v>
      </x:c>
      <x:c r="F94" s="19" t="str">
        <x:v>fm</x:v>
      </x:c>
      <x:c r="G94" s="113" t="n">
        <x:v>8500</x:v>
      </x:c>
      <x:c r="H94" s="113" t="n">
        <x:v>12000</x:v>
      </x:c>
      <x:c r="I94" s="114" t="n">
        <x:v>0.5</x:v>
      </x:c>
      <x:c r="J94" s="113" t="n">
        <x:f>ROUND(H94*I94/Beallitasok!$B$7,0)*Beallitasok!$B$7</x:f>
        <x:v>6000</x:v>
      </x:c>
      <x:c r="K94" s="19" t="n">
        <x:v>2</x:v>
      </x:c>
      <x:c r="L94" s="19" t="n">
        <x:v>1</x:v>
      </x:c>
      <x:c r="M94" s="113" t="n">
        <x:f>K94*Beallitasok!$B$2+L94*Beallitasok!$B$3</x:f>
        <x:v>95000</x:v>
      </x:c>
      <x:c r="N94" s="115" t="n">
        <x:v>12</x:v>
      </x:c>
      <x:c r="O94" s="113" t="n">
        <x:f>IFERROR(M94/N94,"")</x:f>
        <x:v>7916.666666666667</x:v>
      </x:c>
      <x:c r="P94" s="116" t="n">
        <x:f>Beallitasok!$B$5</x:f>
        <x:v>1.15</x:v>
      </x:c>
      <x:c r="Q94" s="113" t="n">
        <x:f>IFERROR(ROUND(O94*P94/Beallitasok!$B$7,0)*Beallitasok!$B$7,"")</x:f>
        <x:v>9100</x:v>
      </x:c>
      <x:c r="R94" s="113"/>
      <x:c r="S94" s="113" t="n">
        <x:f>IF(Q94="","",Q94+IF(R94="",0,R94))</x:f>
        <x:v>9100</x:v>
      </x:c>
      <x:c r="T94" s="113" t="n">
        <x:f>M94*Beallitasok!$B$4</x:f>
        <x:v>475000</x:v>
      </x:c>
      <x:c r="U94" s="115" t="n">
        <x:f>N94*Beallitasok!$B$4</x:f>
        <x:v>60</x:v>
      </x:c>
      <x:c r="V94" s="113"/>
      <x:c r="W94" s="113" t="str">
        <x:f>IF(V94="","",V94-J94)</x:f>
      </x:c>
      <x:c r="X94" s="19"/>
      <x:c r="Y94" s="113" t="n">
        <x:f>IF(S94="","",J94-S94)</x:f>
        <x:v>-3100</x:v>
      </x:c>
      <x:c r="Z94" s="19" t="str">
        <x:f>IF(AA94="IGEN",IF(J94&lt;S94,"GÉPIGÉNY + KRITIKUS: gépdíj nélkül is alacsony a plafon","GÉPIGÉNY: a saját egységár gépdíj nélkül értendő"),IF(J94&lt;S94,"KRITIKUS: alvállalkozói plafon &lt; saját terhelt egységköltség",IF(J94&lt;S94*Beallitasok!$B$6,"SZŰK TARTALÉK: 10% alatti tartalék","OK")))</x:f>
        <x:v>KRITIKUS: alvállalkozói plafon &lt; saját terhelt egységköltség</x:v>
      </x:c>
      <x:c r="AA94" s="19" t="str">
        <x:v>NEM</x:v>
      </x:c>
      <x:c r="AB94" s="19" t="str">
        <x:v>https://gigabau.hu/komuvesarak</x:v>
      </x:c>
      <x:c r="AC94" s="19" t="str">
        <x:v>Kapcsolódó 2026 kőműves árakból levezetett</x:v>
      </x:c>
      <x:c r="AD94" s="19" t="str"/>
    </x:row>
    <x:row r="95">
      <x:c r="A95" s="19" t="str">
        <x:v>AR-0094</x:v>
      </x:c>
      <x:c r="B95" s="19" t="str">
        <x:v>05 Falazás</x:v>
      </x:c>
      <x:c r="C95" s="19" t="str">
        <x:v>Kiegészítő kőműves munkák</x:v>
      </x:c>
      <x:c r="D95" s="19" t="str">
        <x:v>Tégla / pórusbeton</x:v>
      </x:c>
      <x:c r="E95" s="19" t="str">
        <x:v>Kéményelem falazása egy kürtővel</x:v>
      </x:c>
      <x:c r="F95" s="19" t="str">
        <x:v>fm</x:v>
      </x:c>
      <x:c r="G95" s="113" t="n">
        <x:v>14000</x:v>
      </x:c>
      <x:c r="H95" s="113" t="n">
        <x:v>20000</x:v>
      </x:c>
      <x:c r="I95" s="114" t="n">
        <x:v>0.55</x:v>
      </x:c>
      <x:c r="J95" s="113" t="n">
        <x:f>ROUND(H95*I95/Beallitasok!$B$7,0)*Beallitasok!$B$7</x:f>
        <x:v>11000</x:v>
      </x:c>
      <x:c r="K95" s="19" t="n">
        <x:v>2</x:v>
      </x:c>
      <x:c r="L95" s="19" t="n">
        <x:v>1</x:v>
      </x:c>
      <x:c r="M95" s="113" t="n">
        <x:f>K95*Beallitasok!$B$2+L95*Beallitasok!$B$3</x:f>
        <x:v>95000</x:v>
      </x:c>
      <x:c r="N95" s="115" t="n">
        <x:v>7</x:v>
      </x:c>
      <x:c r="O95" s="113" t="n">
        <x:f>IFERROR(M95/N95,"")</x:f>
        <x:v>13571.42857142857</x:v>
      </x:c>
      <x:c r="P95" s="116" t="n">
        <x:f>Beallitasok!$B$5</x:f>
        <x:v>1.15</x:v>
      </x:c>
      <x:c r="Q95" s="113" t="n">
        <x:f>IFERROR(ROUND(O95*P95/Beallitasok!$B$7,0)*Beallitasok!$B$7,"")</x:f>
        <x:v>15600</x:v>
      </x:c>
      <x:c r="R95" s="113"/>
      <x:c r="S95" s="113" t="n">
        <x:f>IF(Q95="","",Q95+IF(R95="",0,R95))</x:f>
        <x:v>15600</x:v>
      </x:c>
      <x:c r="T95" s="113" t="n">
        <x:f>M95*Beallitasok!$B$4</x:f>
        <x:v>475000</x:v>
      </x:c>
      <x:c r="U95" s="115" t="n">
        <x:f>N95*Beallitasok!$B$4</x:f>
        <x:v>35</x:v>
      </x:c>
      <x:c r="V95" s="113"/>
      <x:c r="W95" s="113" t="str">
        <x:f>IF(V95="","",V95-J95)</x:f>
      </x:c>
      <x:c r="X95" s="19"/>
      <x:c r="Y95" s="113" t="n">
        <x:f>IF(S95="","",J95-S95)</x:f>
        <x:v>-4600</x:v>
      </x:c>
      <x:c r="Z95" s="19" t="str">
        <x:f>IF(AA95="IGEN",IF(J95&lt;S95,"GÉPIGÉNY + KRITIKUS: gépdíj nélkül is alacsony a plafon","GÉPIGÉNY: a saját egységár gépdíj nélkül értendő"),IF(J95&lt;S95,"KRITIKUS: alvállalkozói plafon &lt; saját terhelt egységköltség",IF(J95&lt;S95*Beallitasok!$B$6,"SZŰK TARTALÉK: 10% alatti tartalék","OK")))</x:f>
        <x:v>KRITIKUS: alvállalkozói plafon &lt; saját terhelt egységköltség</x:v>
      </x:c>
      <x:c r="AA95" s="19" t="str">
        <x:v>NEM</x:v>
      </x:c>
      <x:c r="AB95" s="19" t="str">
        <x:v>https://gigabau.hu/komuvesarak</x:v>
      </x:c>
      <x:c r="AC95" s="19" t="str">
        <x:v>Kapcsolódó 2026 kőműves árakból levezetett</x:v>
      </x:c>
      <x:c r="AD95" s="19" t="str"/>
    </x:row>
    <x:row r="96">
      <x:c r="A96" s="19" t="str">
        <x:v>AR-0095</x:v>
      </x:c>
      <x:c r="B96" s="19" t="str">
        <x:v>05 Falazás</x:v>
      </x:c>
      <x:c r="C96" s="19" t="str">
        <x:v>Kiegészítő kőműves munkák</x:v>
      </x:c>
      <x:c r="D96" s="19" t="str">
        <x:v>Tégla / pórusbeton</x:v>
      </x:c>
      <x:c r="E96" s="19" t="str">
        <x:v>Gépészeti áttörés kialakítása falazás közben 160 mm-ig</x:v>
      </x:c>
      <x:c r="F96" s="19" t="str">
        <x:v>db</x:v>
      </x:c>
      <x:c r="G96" s="113" t="n">
        <x:v>1800</x:v>
      </x:c>
      <x:c r="H96" s="113" t="n">
        <x:v>2800</x:v>
      </x:c>
      <x:c r="I96" s="114" t="n">
        <x:v>0.55</x:v>
      </x:c>
      <x:c r="J96" s="113" t="n">
        <x:f>ROUND(H96*I96/Beallitasok!$B$7,0)*Beallitasok!$B$7</x:f>
        <x:v>1550</x:v>
      </x:c>
      <x:c r="K96" s="19" t="n">
        <x:v>1</x:v>
      </x:c>
      <x:c r="L96" s="19" t="n">
        <x:v>1</x:v>
      </x:c>
      <x:c r="M96" s="113" t="n">
        <x:f>K96*Beallitasok!$B$2+L96*Beallitasok!$B$3</x:f>
        <x:v>60000</x:v>
      </x:c>
      <x:c r="N96" s="115" t="n">
        <x:v>25</x:v>
      </x:c>
      <x:c r="O96" s="113" t="n">
        <x:f>IFERROR(M96/N96,"")</x:f>
        <x:v>2400</x:v>
      </x:c>
      <x:c r="P96" s="116" t="n">
        <x:f>Beallitasok!$B$5</x:f>
        <x:v>1.15</x:v>
      </x:c>
      <x:c r="Q96" s="113" t="n">
        <x:f>IFERROR(ROUND(O96*P96/Beallitasok!$B$7,0)*Beallitasok!$B$7,"")</x:f>
        <x:v>2750</x:v>
      </x:c>
      <x:c r="R96" s="113"/>
      <x:c r="S96" s="113" t="n">
        <x:f>IF(Q96="","",Q96+IF(R96="",0,R96))</x:f>
        <x:v>2750</x:v>
      </x:c>
      <x:c r="T96" s="113" t="n">
        <x:f>M96*Beallitasok!$B$4</x:f>
        <x:v>300000</x:v>
      </x:c>
      <x:c r="U96" s="115" t="n">
        <x:f>N96*Beallitasok!$B$4</x:f>
        <x:v>125</x:v>
      </x:c>
      <x:c r="V96" s="113"/>
      <x:c r="W96" s="113" t="str">
        <x:f>IF(V96="","",V96-J96)</x:f>
      </x:c>
      <x:c r="X96" s="19"/>
      <x:c r="Y96" s="113" t="n">
        <x:f>IF(S96="","",J96-S96)</x:f>
        <x:v>-1200</x:v>
      </x:c>
      <x:c r="Z96" s="19" t="str">
        <x:f>IF(AA96="IGEN",IF(J96&lt;S96,"GÉPIGÉNY + KRITIKUS: gépdíj nélkül is alacsony a plafon","GÉPIGÉNY: a saját egységár gépdíj nélkül értendő"),IF(J96&lt;S96,"KRITIKUS: alvállalkozói plafon &lt; saját terhelt egységköltség",IF(J96&lt;S96*Beallitasok!$B$6,"SZŰK TARTALÉK: 10% alatti tartalék","OK")))</x:f>
        <x:v>KRITIKUS: alvállalkozói plafon &lt; saját terhelt egységköltség</x:v>
      </x:c>
      <x:c r="AA96" s="19" t="str">
        <x:v>NEM</x:v>
      </x:c>
      <x:c r="AB96" s="19" t="str">
        <x:v>https://gigabau.hu/komuvesarak</x:v>
      </x:c>
      <x:c r="AC96" s="19" t="str">
        <x:v>Kapcsolódó 2026 kőműves árakból levezetett</x:v>
      </x:c>
      <x:c r="AD96" s="19" t="str"/>
    </x:row>
    <x:row r="97">
      <x:c r="A97" s="19" t="str">
        <x:v>AR-0096</x:v>
      </x:c>
      <x:c r="B97" s="19" t="str">
        <x:v>05 Falazás</x:v>
      </x:c>
      <x:c r="C97" s="19" t="str">
        <x:v>Kiegészítő kőműves munkák</x:v>
      </x:c>
      <x:c r="D97" s="19" t="str">
        <x:v>Tégla / pórusbeton</x:v>
      </x:c>
      <x:c r="E97" s="19" t="str">
        <x:v>Ablak- és ajtókáva pontos kialakításának felára</x:v>
      </x:c>
      <x:c r="F97" s="19" t="str">
        <x:v>fm</x:v>
      </x:c>
      <x:c r="G97" s="113" t="n">
        <x:v>1600</x:v>
      </x:c>
      <x:c r="H97" s="113" t="n">
        <x:v>2400</x:v>
      </x:c>
      <x:c r="I97" s="114" t="n">
        <x:v>0.5</x:v>
      </x:c>
      <x:c r="J97" s="113" t="n">
        <x:f>ROUND(H97*I97/Beallitasok!$B$7,0)*Beallitasok!$B$7</x:f>
        <x:v>1200</x:v>
      </x:c>
      <x:c r="K97" s="19" t="n">
        <x:v>2</x:v>
      </x:c>
      <x:c r="L97" s="19" t="n">
        <x:v>1</x:v>
      </x:c>
      <x:c r="M97" s="113" t="n">
        <x:f>K97*Beallitasok!$B$2+L97*Beallitasok!$B$3</x:f>
        <x:v>95000</x:v>
      </x:c>
      <x:c r="N97" s="115" t="n">
        <x:v>65</x:v>
      </x:c>
      <x:c r="O97" s="113" t="n">
        <x:f>IFERROR(M97/N97,"")</x:f>
        <x:v>1461.5384615384614</x:v>
      </x:c>
      <x:c r="P97" s="116" t="n">
        <x:f>Beallitasok!$B$5</x:f>
        <x:v>1.15</x:v>
      </x:c>
      <x:c r="Q97" s="113" t="n">
        <x:f>IFERROR(ROUND(O97*P97/Beallitasok!$B$7,0)*Beallitasok!$B$7,"")</x:f>
        <x:v>1700</x:v>
      </x:c>
      <x:c r="R97" s="113"/>
      <x:c r="S97" s="113" t="n">
        <x:f>IF(Q97="","",Q97+IF(R97="",0,R97))</x:f>
        <x:v>1700</x:v>
      </x:c>
      <x:c r="T97" s="113" t="n">
        <x:f>M97*Beallitasok!$B$4</x:f>
        <x:v>475000</x:v>
      </x:c>
      <x:c r="U97" s="115" t="n">
        <x:f>N97*Beallitasok!$B$4</x:f>
        <x:v>325</x:v>
      </x:c>
      <x:c r="V97" s="113"/>
      <x:c r="W97" s="113" t="str">
        <x:f>IF(V97="","",V97-J97)</x:f>
      </x:c>
      <x:c r="X97" s="19"/>
      <x:c r="Y97" s="113" t="n">
        <x:f>IF(S97="","",J97-S97)</x:f>
        <x:v>-500</x:v>
      </x:c>
      <x:c r="Z97" s="19" t="str">
        <x:f>IF(AA97="IGEN",IF(J97&lt;S97,"GÉPIGÉNY + KRITIKUS: gépdíj nélkül is alacsony a plafon","GÉPIGÉNY: a saját egységár gépdíj nélkül értendő"),IF(J97&lt;S97,"KRITIKUS: alvállalkozói plafon &lt; saját terhelt egységköltség",IF(J97&lt;S97*Beallitasok!$B$6,"SZŰK TARTALÉK: 10% alatti tartalék","OK")))</x:f>
        <x:v>KRITIKUS: alvállalkozói plafon &lt; saját terhelt egységköltség</x:v>
      </x:c>
      <x:c r="AA97" s="19" t="str">
        <x:v>NEM</x:v>
      </x:c>
      <x:c r="AB97" s="19" t="str">
        <x:v>https://gigabau.hu/komuvesarak</x:v>
      </x:c>
      <x:c r="AC97" s="19" t="str">
        <x:v>Kapcsolódó 2026 kőműves árakból levezetett</x:v>
      </x:c>
      <x:c r="AD97" s="19" t="str"/>
    </x:row>
    <x:row r="98">
      <x:c r="A98" s="19" t="str">
        <x:v>AR-0097</x:v>
      </x:c>
      <x:c r="B98" s="19" t="str">
        <x:v>05 Falazás</x:v>
      </x:c>
      <x:c r="C98" s="19" t="str">
        <x:v>Kiegészítő kőműves munkák</x:v>
      </x:c>
      <x:c r="D98" s="19" t="str">
        <x:v>Tégla / pórusbeton</x:v>
      </x:c>
      <x:c r="E98" s="19" t="str">
        <x:v>Falazat tetejének koszorú alatti síkba igazítása</x:v>
      </x:c>
      <x:c r="F98" s="19" t="str">
        <x:v>fm</x:v>
      </x:c>
      <x:c r="G98" s="113" t="n">
        <x:v>1200</x:v>
      </x:c>
      <x:c r="H98" s="113" t="n">
        <x:v>1800</x:v>
      </x:c>
      <x:c r="I98" s="114" t="n">
        <x:v>0.5</x:v>
      </x:c>
      <x:c r="J98" s="113" t="n">
        <x:f>ROUND(H98*I98/Beallitasok!$B$7,0)*Beallitasok!$B$7</x:f>
        <x:v>900</x:v>
      </x:c>
      <x:c r="K98" s="19" t="n">
        <x:v>2</x:v>
      </x:c>
      <x:c r="L98" s="19" t="n">
        <x:v>1</x:v>
      </x:c>
      <x:c r="M98" s="113" t="n">
        <x:f>K98*Beallitasok!$B$2+L98*Beallitasok!$B$3</x:f>
        <x:v>95000</x:v>
      </x:c>
      <x:c r="N98" s="115" t="n">
        <x:v>80</x:v>
      </x:c>
      <x:c r="O98" s="113" t="n">
        <x:f>IFERROR(M98/N98,"")</x:f>
        <x:v>1187.5</x:v>
      </x:c>
      <x:c r="P98" s="116" t="n">
        <x:f>Beallitasok!$B$5</x:f>
        <x:v>1.15</x:v>
      </x:c>
      <x:c r="Q98" s="113" t="n">
        <x:f>IFERROR(ROUND(O98*P98/Beallitasok!$B$7,0)*Beallitasok!$B$7,"")</x:f>
        <x:v>1350</x:v>
      </x:c>
      <x:c r="R98" s="113"/>
      <x:c r="S98" s="113" t="n">
        <x:f>IF(Q98="","",Q98+IF(R98="",0,R98))</x:f>
        <x:v>1350</x:v>
      </x:c>
      <x:c r="T98" s="113" t="n">
        <x:f>M98*Beallitasok!$B$4</x:f>
        <x:v>475000</x:v>
      </x:c>
      <x:c r="U98" s="115" t="n">
        <x:f>N98*Beallitasok!$B$4</x:f>
        <x:v>400</x:v>
      </x:c>
      <x:c r="V98" s="113"/>
      <x:c r="W98" s="113" t="str">
        <x:f>IF(V98="","",V98-J98)</x:f>
      </x:c>
      <x:c r="X98" s="19"/>
      <x:c r="Y98" s="113" t="n">
        <x:f>IF(S98="","",J98-S98)</x:f>
        <x:v>-450</x:v>
      </x:c>
      <x:c r="Z98" s="19" t="str">
        <x:f>IF(AA98="IGEN",IF(J98&lt;S98,"GÉPIGÉNY + KRITIKUS: gépdíj nélkül is alacsony a plafon","GÉPIGÉNY: a saját egységár gépdíj nélkül értendő"),IF(J98&lt;S98,"KRITIKUS: alvállalkozói plafon &lt; saját terhelt egységköltség",IF(J98&lt;S98*Beallitasok!$B$6,"SZŰK TARTALÉK: 10% alatti tartalék","OK")))</x:f>
        <x:v>KRITIKUS: alvállalkozói plafon &lt; saját terhelt egységköltség</x:v>
      </x:c>
      <x:c r="AA98" s="19" t="str">
        <x:v>NEM</x:v>
      </x:c>
      <x:c r="AB98" s="19" t="str">
        <x:v>https://gigabau.hu/komuvesarak</x:v>
      </x:c>
      <x:c r="AC98" s="19" t="str">
        <x:v>Kapcsolódó 2026 kőműves árakból levezetett</x:v>
      </x:c>
      <x:c r="AD98" s="19" t="str"/>
    </x:row>
    <x:row r="99">
      <x:c r="A99" s="19" t="str">
        <x:v>AR-0098</x:v>
      </x:c>
      <x:c r="B99" s="19" t="str">
        <x:v>05 Falazás</x:v>
      </x:c>
      <x:c r="C99" s="19" t="str">
        <x:v>Kiegészítő kőműves munkák</x:v>
      </x:c>
      <x:c r="D99" s="19" t="str">
        <x:v>Tégla / pórusbeton</x:v>
      </x:c>
      <x:c r="E99" s="19" t="str">
        <x:v>Falazat javítása és hornyok visszafalazása</x:v>
      </x:c>
      <x:c r="F99" s="19" t="str">
        <x:v>fm</x:v>
      </x:c>
      <x:c r="G99" s="113" t="n">
        <x:v>2200</x:v>
      </x:c>
      <x:c r="H99" s="113" t="n">
        <x:v>3300</x:v>
      </x:c>
      <x:c r="I99" s="114" t="n">
        <x:v>0.55</x:v>
      </x:c>
      <x:c r="J99" s="113" t="n">
        <x:f>ROUND(H99*I99/Beallitasok!$B$7,0)*Beallitasok!$B$7</x:f>
        <x:v>1800</x:v>
      </x:c>
      <x:c r="K99" s="19" t="n">
        <x:v>1</x:v>
      </x:c>
      <x:c r="L99" s="19" t="n">
        <x:v>1</x:v>
      </x:c>
      <x:c r="M99" s="113" t="n">
        <x:f>K99*Beallitasok!$B$2+L99*Beallitasok!$B$3</x:f>
        <x:v>60000</x:v>
      </x:c>
      <x:c r="N99" s="115" t="n">
        <x:v>35</x:v>
      </x:c>
      <x:c r="O99" s="113" t="n">
        <x:f>IFERROR(M99/N99,"")</x:f>
        <x:v>1714.2857142857142</x:v>
      </x:c>
      <x:c r="P99" s="116" t="n">
        <x:f>Beallitasok!$B$5</x:f>
        <x:v>1.15</x:v>
      </x:c>
      <x:c r="Q99" s="113" t="n">
        <x:f>IFERROR(ROUND(O99*P99/Beallitasok!$B$7,0)*Beallitasok!$B$7,"")</x:f>
        <x:v>1950</x:v>
      </x:c>
      <x:c r="R99" s="113"/>
      <x:c r="S99" s="113" t="n">
        <x:f>IF(Q99="","",Q99+IF(R99="",0,R99))</x:f>
        <x:v>1950</x:v>
      </x:c>
      <x:c r="T99" s="113" t="n">
        <x:f>M99*Beallitasok!$B$4</x:f>
        <x:v>300000</x:v>
      </x:c>
      <x:c r="U99" s="115" t="n">
        <x:f>N99*Beallitasok!$B$4</x:f>
        <x:v>175</x:v>
      </x:c>
      <x:c r="V99" s="113"/>
      <x:c r="W99" s="113" t="str">
        <x:f>IF(V99="","",V99-J99)</x:f>
      </x:c>
      <x:c r="X99" s="19"/>
      <x:c r="Y99" s="113" t="n">
        <x:f>IF(S99="","",J99-S99)</x:f>
        <x:v>-150</x:v>
      </x:c>
      <x:c r="Z99" s="19" t="str">
        <x:f>IF(AA99="IGEN",IF(J99&lt;S99,"GÉPIGÉNY + KRITIKUS: gépdíj nélkül is alacsony a plafon","GÉPIGÉNY: a saját egységár gépdíj nélkül értendő"),IF(J99&lt;S99,"KRITIKUS: alvállalkozói plafon &lt; saját terhelt egységköltség",IF(J99&lt;S99*Beallitasok!$B$6,"SZŰK TARTALÉK: 10% alatti tartalék","OK")))</x:f>
        <x:v>KRITIKUS: alvállalkozói plafon &lt; saját terhelt egységköltség</x:v>
      </x:c>
      <x:c r="AA99" s="19" t="str">
        <x:v>NEM</x:v>
      </x:c>
      <x:c r="AB99" s="19" t="str">
        <x:v>https://gigabau.hu/komuvesarak</x:v>
      </x:c>
      <x:c r="AC99" s="19" t="str">
        <x:v>Kapcsolódó 2026 kőműves árakból levezetett</x:v>
      </x:c>
      <x:c r="AD99" s="19" t="str"/>
    </x:row>
    <x:row r="100">
      <x:c r="A100" s="19" t="str">
        <x:v>AR-0099</x:v>
      </x:c>
      <x:c r="B100" s="19" t="str">
        <x:v>06 Előregyártott beton</x:v>
      </x:c>
      <x:c r="C100" s="19" t="str">
        <x:v>Liapor / Leier fal- és födémszerelés</x:v>
      </x:c>
      <x:c r="D100" s="19" t="str">
        <x:v>Liapor / Leier</x:v>
      </x:c>
      <x:c r="E100" s="19" t="str">
        <x:v>Fogadószint geodéziai ellenőrzése és paneltengelyek feljelölése</x:v>
      </x:c>
      <x:c r="F100" s="19" t="str">
        <x:v>m² fal</x:v>
      </x:c>
      <x:c r="G100" s="113" t="n">
        <x:v>550</x:v>
      </x:c>
      <x:c r="H100" s="113" t="n">
        <x:v>850</x:v>
      </x:c>
      <x:c r="I100" s="114" t="n">
        <x:v>0.5</x:v>
      </x:c>
      <x:c r="J100" s="113" t="n">
        <x:f>ROUND(H100*I100/Beallitasok!$B$7,0)*Beallitasok!$B$7</x:f>
        <x:v>450</x:v>
      </x:c>
      <x:c r="K100" s="19" t="n">
        <x:v>2</x:v>
      </x:c>
      <x:c r="L100" s="19" t="n">
        <x:v>1</x:v>
      </x:c>
      <x:c r="M100" s="113" t="n">
        <x:f>K100*Beallitasok!$B$2+L100*Beallitasok!$B$3</x:f>
        <x:v>95000</x:v>
      </x:c>
      <x:c r="N100" s="115" t="n">
        <x:v>220</x:v>
      </x:c>
      <x:c r="O100" s="113" t="n">
        <x:f>IFERROR(M100/N100,"")</x:f>
        <x:v>431.8181818181818</x:v>
      </x:c>
      <x:c r="P100" s="116" t="n">
        <x:f>Beallitasok!$B$5</x:f>
        <x:v>1.15</x:v>
      </x:c>
      <x:c r="Q100" s="113" t="n">
        <x:f>IFERROR(ROUND(O100*P100/Beallitasok!$B$7,0)*Beallitasok!$B$7,"")</x:f>
        <x:v>500</x:v>
      </x:c>
      <x:c r="R100" s="113"/>
      <x:c r="S100" s="113" t="n">
        <x:f>IF(Q100="","",Q100+IF(R100="",0,R100))</x:f>
        <x:v>500</x:v>
      </x:c>
      <x:c r="T100" s="113" t="n">
        <x:f>M100*Beallitasok!$B$4</x:f>
        <x:v>475000</x:v>
      </x:c>
      <x:c r="U100" s="115" t="n">
        <x:f>N100*Beallitasok!$B$4</x:f>
        <x:v>1100</x:v>
      </x:c>
      <x:c r="V100" s="113"/>
      <x:c r="W100" s="113" t="str">
        <x:f>IF(V100="","",V100-J100)</x:f>
      </x:c>
      <x:c r="X100" s="19"/>
      <x:c r="Y100" s="113" t="n">
        <x:f>IF(S100="","",J100-S100)</x:f>
        <x:v>-50</x:v>
      </x:c>
      <x:c r="Z100" s="19" t="str">
        <x:f>IF(AA100="IGEN",IF(J100&lt;S100,"GÉPIGÉNY + KRITIKUS: gépdíj nélkül is alacsony a plafon","GÉPIGÉNY: a saját egységár gépdíj nélkül értendő"),IF(J100&lt;S100,"KRITIKUS: alvállalkozói plafon &lt; saját terhelt egységköltség",IF(J100&lt;S100*Beallitasok!$B$6,"SZŰK TARTALÉK: 10% alatti tartalék","OK")))</x:f>
        <x:v>KRITIKUS: alvállalkozói plafon &lt; saját terhelt egységköltség</x:v>
      </x:c>
      <x:c r="AA100" s="19" t="str">
        <x:v>NEM</x:v>
      </x:c>
      <x:c r="AB100" s="19" t="str">
        <x:v>https://www.leier.hu/uploads/files/Leier-eloregyartott-betonelemek-alkalmazattechnika-64991c9d377e3.pdf</x:v>
      </x:c>
      <x:c r="AC100" s="19" t="str">
        <x:v>Gyártói beépítési lépések + mérnöki brigádtermelékenység</x:v>
      </x:c>
      <x:c r="AD100" s="19" t="str">
        <x:v>Daru, szállítás, emelőeszköz, beton és gyártói szerelési terv külön költség.</x:v>
      </x:c>
    </x:row>
    <x:row r="101">
      <x:c r="A101" s="19" t="str">
        <x:v>AR-0100</x:v>
      </x:c>
      <x:c r="B101" s="19" t="str">
        <x:v>06 Előregyártott beton</x:v>
      </x:c>
      <x:c r="C101" s="19" t="str">
        <x:v>Liapor / Leier fal- és födémszerelés</x:v>
      </x:c>
      <x:c r="D101" s="19" t="str">
        <x:v>Liapor / Leier</x:v>
      </x:c>
      <x:c r="E101" s="19" t="str">
        <x:v>Panelalátétek és szintezőlemezek elhelyezése</x:v>
      </x:c>
      <x:c r="F101" s="19" t="str">
        <x:v>db</x:v>
      </x:c>
      <x:c r="G101" s="113" t="n">
        <x:v>1600</x:v>
      </x:c>
      <x:c r="H101" s="113" t="n">
        <x:v>2400</x:v>
      </x:c>
      <x:c r="I101" s="114" t="n">
        <x:v>0.5</x:v>
      </x:c>
      <x:c r="J101" s="113" t="n">
        <x:f>ROUND(H101*I101/Beallitasok!$B$7,0)*Beallitasok!$B$7</x:f>
        <x:v>1200</x:v>
      </x:c>
      <x:c r="K101" s="19" t="n">
        <x:v>2</x:v>
      </x:c>
      <x:c r="L101" s="19" t="n">
        <x:v>1</x:v>
      </x:c>
      <x:c r="M101" s="113" t="n">
        <x:f>K101*Beallitasok!$B$2+L101*Beallitasok!$B$3</x:f>
        <x:v>95000</x:v>
      </x:c>
      <x:c r="N101" s="115" t="n">
        <x:v>32</x:v>
      </x:c>
      <x:c r="O101" s="113" t="n">
        <x:f>IFERROR(M101/N101,"")</x:f>
        <x:v>2968.75</x:v>
      </x:c>
      <x:c r="P101" s="116" t="n">
        <x:f>Beallitasok!$B$5</x:f>
        <x:v>1.15</x:v>
      </x:c>
      <x:c r="Q101" s="113" t="n">
        <x:f>IFERROR(ROUND(O101*P101/Beallitasok!$B$7,0)*Beallitasok!$B$7,"")</x:f>
        <x:v>3400</x:v>
      </x:c>
      <x:c r="R101" s="113"/>
      <x:c r="S101" s="113" t="n">
        <x:f>IF(Q101="","",Q101+IF(R101="",0,R101))</x:f>
        <x:v>3400</x:v>
      </x:c>
      <x:c r="T101" s="113" t="n">
        <x:f>M101*Beallitasok!$B$4</x:f>
        <x:v>475000</x:v>
      </x:c>
      <x:c r="U101" s="115" t="n">
        <x:f>N101*Beallitasok!$B$4</x:f>
        <x:v>160</x:v>
      </x:c>
      <x:c r="V101" s="113"/>
      <x:c r="W101" s="113" t="str">
        <x:f>IF(V101="","",V101-J101)</x:f>
      </x:c>
      <x:c r="X101" s="19"/>
      <x:c r="Y101" s="113" t="n">
        <x:f>IF(S101="","",J101-S101)</x:f>
        <x:v>-2200</x:v>
      </x:c>
      <x:c r="Z101" s="19" t="str">
        <x:f>IF(AA101="IGEN",IF(J101&lt;S101,"GÉPIGÉNY + KRITIKUS: gépdíj nélkül is alacsony a plafon","GÉPIGÉNY: a saját egységár gépdíj nélkül értendő"),IF(J101&lt;S101,"KRITIKUS: alvállalkozói plafon &lt; saját terhelt egységköltség",IF(J101&lt;S101*Beallitasok!$B$6,"SZŰK TARTALÉK: 10% alatti tartalék","OK")))</x:f>
        <x:v>KRITIKUS: alvállalkozói plafon &lt; saját terhelt egységköltség</x:v>
      </x:c>
      <x:c r="AA101" s="19" t="str">
        <x:v>NEM</x:v>
      </x:c>
      <x:c r="AB101" s="19" t="str">
        <x:v>https://www.leier.hu/uploads/files/Leier-eloregyartott-betonelemek-alkalmazattechnika-64991c9d377e3.pdf</x:v>
      </x:c>
      <x:c r="AC101" s="19" t="str">
        <x:v>Gyártói beépítési lépések + mérnöki brigádtermelékenység</x:v>
      </x:c>
      <x:c r="AD101" s="19" t="str">
        <x:v>Daru, szállítás, emelőeszköz, beton és gyártói szerelési terv külön költség.</x:v>
      </x:c>
    </x:row>
    <x:row r="102">
      <x:c r="A102" s="19" t="str">
        <x:v>AR-0101</x:v>
      </x:c>
      <x:c r="B102" s="19" t="str">
        <x:v>06 Előregyártott beton</x:v>
      </x:c>
      <x:c r="C102" s="19" t="str">
        <x:v>Liapor / Leier fal- és födémszerelés</x:v>
      </x:c>
      <x:c r="D102" s="19" t="str">
        <x:v>Liapor / Leier</x:v>
      </x:c>
      <x:c r="E102" s="19" t="str">
        <x:v>Liapor külső falpanel beemelése és ideiglenes kitámasztása</x:v>
      </x:c>
      <x:c r="F102" s="19" t="str">
        <x:v>m² fal</x:v>
      </x:c>
      <x:c r="G102" s="113" t="n">
        <x:v>4500</x:v>
      </x:c>
      <x:c r="H102" s="113" t="n">
        <x:v>6800</x:v>
      </x:c>
      <x:c r="I102" s="114" t="n">
        <x:v>0.5</x:v>
      </x:c>
      <x:c r="J102" s="113" t="n">
        <x:f>ROUND(H102*I102/Beallitasok!$B$7,0)*Beallitasok!$B$7</x:f>
        <x:v>3400</x:v>
      </x:c>
      <x:c r="K102" s="19" t="n">
        <x:v>3</x:v>
      </x:c>
      <x:c r="L102" s="19" t="n">
        <x:v>2</x:v>
      </x:c>
      <x:c r="M102" s="113" t="n">
        <x:f>K102*Beallitasok!$B$2+L102*Beallitasok!$B$3</x:f>
        <x:v>155000</x:v>
      </x:c>
      <x:c r="N102" s="115" t="n">
        <x:v>65</x:v>
      </x:c>
      <x:c r="O102" s="113" t="n">
        <x:f>IFERROR(M102/N102,"")</x:f>
        <x:v>2384.6153846153848</x:v>
      </x:c>
      <x:c r="P102" s="116" t="n">
        <x:f>Beallitasok!$B$5</x:f>
        <x:v>1.15</x:v>
      </x:c>
      <x:c r="Q102" s="113" t="n">
        <x:f>IFERROR(ROUND(O102*P102/Beallitasok!$B$7,0)*Beallitasok!$B$7,"")</x:f>
        <x:v>2750</x:v>
      </x:c>
      <x:c r="R102" s="113"/>
      <x:c r="S102" s="113" t="n">
        <x:f>IF(Q102="","",Q102+IF(R102="",0,R102))</x:f>
        <x:v>2750</x:v>
      </x:c>
      <x:c r="T102" s="113" t="n">
        <x:f>M102*Beallitasok!$B$4</x:f>
        <x:v>775000</x:v>
      </x:c>
      <x:c r="U102" s="115" t="n">
        <x:f>N102*Beallitasok!$B$4</x:f>
        <x:v>325</x:v>
      </x:c>
      <x:c r="V102" s="113"/>
      <x:c r="W102" s="113" t="str">
        <x:f>IF(V102="","",V102-J102)</x:f>
      </x:c>
      <x:c r="X102" s="19"/>
      <x:c r="Y102" s="113" t="n">
        <x:f>IF(S102="","",J102-S102)</x:f>
        <x:v>650</x:v>
      </x:c>
      <x:c r="Z102" s="19" t="str">
        <x:f>IF(AA102="IGEN",IF(J102&lt;S102,"GÉPIGÉNY + KRITIKUS: gépdíj nélkül is alacsony a plafon","GÉPIGÉNY: a saját egységár gépdíj nélkül értendő"),IF(J102&lt;S102,"KRITIKUS: alvállalkozói plafon &lt; saját terhelt egységköltség",IF(J102&lt;S102*Beallitasok!$B$6,"SZŰK TARTALÉK: 10% alatti tartalék","OK")))</x:f>
        <x:v>GÉPIGÉNY: a saját egységár gépdíj nélkül értendő</x:v>
      </x:c>
      <x:c r="AA102" s="19" t="str">
        <x:v>IGEN</x:v>
      </x:c>
      <x:c r="AB102" s="19" t="str">
        <x:v>https://www.leier.hu/uploads/files/Leier-eloregyartott-betonelemek-alkalmazattechnika-64991c9d377e3.pdf</x:v>
      </x:c>
      <x:c r="AC102" s="19" t="str">
        <x:v>Gyártói beépítési lépések + mérnöki brigádtermelékenység</x:v>
      </x:c>
      <x:c r="AD102" s="19" t="str">
        <x:v>Daru, szállítás, emelőeszköz, beton és gyártói szerelési terv külön költség.</x:v>
      </x:c>
    </x:row>
    <x:row r="103">
      <x:c r="A103" s="19" t="str">
        <x:v>AR-0102</x:v>
      </x:c>
      <x:c r="B103" s="19" t="str">
        <x:v>06 Előregyártott beton</x:v>
      </x:c>
      <x:c r="C103" s="19" t="str">
        <x:v>Liapor / Leier fal- és födémszerelés</x:v>
      </x:c>
      <x:c r="D103" s="19" t="str">
        <x:v>Liapor / Leier</x:v>
      </x:c>
      <x:c r="E103" s="19" t="str">
        <x:v>Liapor belső teherhordó falpanel beemelése és kitámasztása</x:v>
      </x:c>
      <x:c r="F103" s="19" t="str">
        <x:v>m² fal</x:v>
      </x:c>
      <x:c r="G103" s="113" t="n">
        <x:v>4200</x:v>
      </x:c>
      <x:c r="H103" s="113" t="n">
        <x:v>6200</x:v>
      </x:c>
      <x:c r="I103" s="114" t="n">
        <x:v>0.5</x:v>
      </x:c>
      <x:c r="J103" s="113" t="n">
        <x:f>ROUND(H103*I103/Beallitasok!$B$7,0)*Beallitasok!$B$7</x:f>
        <x:v>3100</x:v>
      </x:c>
      <x:c r="K103" s="19" t="n">
        <x:v>3</x:v>
      </x:c>
      <x:c r="L103" s="19" t="n">
        <x:v>2</x:v>
      </x:c>
      <x:c r="M103" s="113" t="n">
        <x:f>K103*Beallitasok!$B$2+L103*Beallitasok!$B$3</x:f>
        <x:v>155000</x:v>
      </x:c>
      <x:c r="N103" s="115" t="n">
        <x:v>72</x:v>
      </x:c>
      <x:c r="O103" s="113" t="n">
        <x:f>IFERROR(M103/N103,"")</x:f>
        <x:v>2152.777777777778</x:v>
      </x:c>
      <x:c r="P103" s="116" t="n">
        <x:f>Beallitasok!$B$5</x:f>
        <x:v>1.15</x:v>
      </x:c>
      <x:c r="Q103" s="113" t="n">
        <x:f>IFERROR(ROUND(O103*P103/Beallitasok!$B$7,0)*Beallitasok!$B$7,"")</x:f>
        <x:v>2500</x:v>
      </x:c>
      <x:c r="R103" s="113"/>
      <x:c r="S103" s="113" t="n">
        <x:f>IF(Q103="","",Q103+IF(R103="",0,R103))</x:f>
        <x:v>2500</x:v>
      </x:c>
      <x:c r="T103" s="113" t="n">
        <x:f>M103*Beallitasok!$B$4</x:f>
        <x:v>775000</x:v>
      </x:c>
      <x:c r="U103" s="115" t="n">
        <x:f>N103*Beallitasok!$B$4</x:f>
        <x:v>360</x:v>
      </x:c>
      <x:c r="V103" s="113"/>
      <x:c r="W103" s="113" t="str">
        <x:f>IF(V103="","",V103-J103)</x:f>
      </x:c>
      <x:c r="X103" s="19"/>
      <x:c r="Y103" s="113" t="n">
        <x:f>IF(S103="","",J103-S103)</x:f>
        <x:v>600</x:v>
      </x:c>
      <x:c r="Z103" s="19" t="str">
        <x:f>IF(AA103="IGEN",IF(J103&lt;S103,"GÉPIGÉNY + KRITIKUS: gépdíj nélkül is alacsony a plafon","GÉPIGÉNY: a saját egységár gépdíj nélkül értendő"),IF(J103&lt;S103,"KRITIKUS: alvállalkozói plafon &lt; saját terhelt egységköltség",IF(J103&lt;S103*Beallitasok!$B$6,"SZŰK TARTALÉK: 10% alatti tartalék","OK")))</x:f>
        <x:v>GÉPIGÉNY: a saját egységár gépdíj nélkül értendő</x:v>
      </x:c>
      <x:c r="AA103" s="19" t="str">
        <x:v>IGEN</x:v>
      </x:c>
      <x:c r="AB103" s="19" t="str">
        <x:v>https://www.leier.hu/uploads/files/Leier-eloregyartott-betonelemek-alkalmazattechnika-64991c9d377e3.pdf</x:v>
      </x:c>
      <x:c r="AC103" s="19" t="str">
        <x:v>Gyártói beépítési lépések + mérnöki brigádtermelékenység</x:v>
      </x:c>
      <x:c r="AD103" s="19" t="str">
        <x:v>Daru, szállítás, emelőeszköz, beton és gyártói szerelési terv külön költség.</x:v>
      </x:c>
    </x:row>
    <x:row r="104">
      <x:c r="A104" s="19" t="str">
        <x:v>AR-0103</x:v>
      </x:c>
      <x:c r="B104" s="19" t="str">
        <x:v>06 Előregyártott beton</x:v>
      </x:c>
      <x:c r="C104" s="19" t="str">
        <x:v>Liapor / Leier fal- és födémszerelés</x:v>
      </x:c>
      <x:c r="D104" s="19" t="str">
        <x:v>Liapor / Leier</x:v>
      </x:c>
      <x:c r="E104" s="19" t="str">
        <x:v>Leier kéregfal elem beemelése és pozicionálása</x:v>
      </x:c>
      <x:c r="F104" s="19" t="str">
        <x:v>m² fal</x:v>
      </x:c>
      <x:c r="G104" s="113" t="n">
        <x:v>4300</x:v>
      </x:c>
      <x:c r="H104" s="113" t="n">
        <x:v>6500</x:v>
      </x:c>
      <x:c r="I104" s="114" t="n">
        <x:v>0.5</x:v>
      </x:c>
      <x:c r="J104" s="113" t="n">
        <x:f>ROUND(H104*I104/Beallitasok!$B$7,0)*Beallitasok!$B$7</x:f>
        <x:v>3250</x:v>
      </x:c>
      <x:c r="K104" s="19" t="n">
        <x:v>3</x:v>
      </x:c>
      <x:c r="L104" s="19" t="n">
        <x:v>2</x:v>
      </x:c>
      <x:c r="M104" s="113" t="n">
        <x:f>K104*Beallitasok!$B$2+L104*Beallitasok!$B$3</x:f>
        <x:v>155000</x:v>
      </x:c>
      <x:c r="N104" s="115" t="n">
        <x:v>68</x:v>
      </x:c>
      <x:c r="O104" s="113" t="n">
        <x:f>IFERROR(M104/N104,"")</x:f>
        <x:v>2279.4117647058824</x:v>
      </x:c>
      <x:c r="P104" s="116" t="n">
        <x:f>Beallitasok!$B$5</x:f>
        <x:v>1.15</x:v>
      </x:c>
      <x:c r="Q104" s="113" t="n">
        <x:f>IFERROR(ROUND(O104*P104/Beallitasok!$B$7,0)*Beallitasok!$B$7,"")</x:f>
        <x:v>2600</x:v>
      </x:c>
      <x:c r="R104" s="113"/>
      <x:c r="S104" s="113" t="n">
        <x:f>IF(Q104="","",Q104+IF(R104="",0,R104))</x:f>
        <x:v>2600</x:v>
      </x:c>
      <x:c r="T104" s="113" t="n">
        <x:f>M104*Beallitasok!$B$4</x:f>
        <x:v>775000</x:v>
      </x:c>
      <x:c r="U104" s="115" t="n">
        <x:f>N104*Beallitasok!$B$4</x:f>
        <x:v>340</x:v>
      </x:c>
      <x:c r="V104" s="113"/>
      <x:c r="W104" s="113" t="str">
        <x:f>IF(V104="","",V104-J104)</x:f>
      </x:c>
      <x:c r="X104" s="19"/>
      <x:c r="Y104" s="113" t="n">
        <x:f>IF(S104="","",J104-S104)</x:f>
        <x:v>650</x:v>
      </x:c>
      <x:c r="Z104" s="19" t="str">
        <x:f>IF(AA104="IGEN",IF(J104&lt;S104,"GÉPIGÉNY + KRITIKUS: gépdíj nélkül is alacsony a plafon","GÉPIGÉNY: a saját egységár gépdíj nélkül értendő"),IF(J104&lt;S104,"KRITIKUS: alvállalkozói plafon &lt; saját terhelt egységköltség",IF(J104&lt;S104*Beallitasok!$B$6,"SZŰK TARTALÉK: 10% alatti tartalék","OK")))</x:f>
        <x:v>GÉPIGÉNY: a saját egységár gépdíj nélkül értendő</x:v>
      </x:c>
      <x:c r="AA104" s="19" t="str">
        <x:v>IGEN</x:v>
      </x:c>
      <x:c r="AB104" s="19" t="str">
        <x:v>https://www.leier.hu/uploads/files/Leier-eloregyartott-betonelemek-alkalmazattechnika-64991c9d377e3.pdf</x:v>
      </x:c>
      <x:c r="AC104" s="19" t="str">
        <x:v>Gyártói beépítési lépések + mérnöki brigádtermelékenység</x:v>
      </x:c>
      <x:c r="AD104" s="19" t="str">
        <x:v>Daru, szállítás, emelőeszköz, beton és gyártói szerelési terv külön költség.</x:v>
      </x:c>
    </x:row>
    <x:row r="105">
      <x:c r="A105" s="19" t="str">
        <x:v>AR-0104</x:v>
      </x:c>
      <x:c r="B105" s="19" t="str">
        <x:v>06 Előregyártott beton</x:v>
      </x:c>
      <x:c r="C105" s="19" t="str">
        <x:v>Liapor / Leier fal- és födémszerelés</x:v>
      </x:c>
      <x:c r="D105" s="19" t="str">
        <x:v>Liapor / Leier</x:v>
      </x:c>
      <x:c r="E105" s="19" t="str">
        <x:v>Panel függőbe állítása és finombeállítása</x:v>
      </x:c>
      <x:c r="F105" s="19" t="str">
        <x:v>db</x:v>
      </x:c>
      <x:c r="G105" s="113" t="n">
        <x:v>3800</x:v>
      </x:c>
      <x:c r="H105" s="113" t="n">
        <x:v>5500</x:v>
      </x:c>
      <x:c r="I105" s="114" t="n">
        <x:v>0.5</x:v>
      </x:c>
      <x:c r="J105" s="113" t="n">
        <x:f>ROUND(H105*I105/Beallitasok!$B$7,0)*Beallitasok!$B$7</x:f>
        <x:v>2750</x:v>
      </x:c>
      <x:c r="K105" s="19" t="n">
        <x:v>2</x:v>
      </x:c>
      <x:c r="L105" s="19" t="n">
        <x:v>1</x:v>
      </x:c>
      <x:c r="M105" s="113" t="n">
        <x:f>K105*Beallitasok!$B$2+L105*Beallitasok!$B$3</x:f>
        <x:v>95000</x:v>
      </x:c>
      <x:c r="N105" s="115" t="n">
        <x:v>15</x:v>
      </x:c>
      <x:c r="O105" s="113" t="n">
        <x:f>IFERROR(M105/N105,"")</x:f>
        <x:v>6333.333333333333</x:v>
      </x:c>
      <x:c r="P105" s="116" t="n">
        <x:f>Beallitasok!$B$5</x:f>
        <x:v>1.15</x:v>
      </x:c>
      <x:c r="Q105" s="113" t="n">
        <x:f>IFERROR(ROUND(O105*P105/Beallitasok!$B$7,0)*Beallitasok!$B$7,"")</x:f>
        <x:v>7300</x:v>
      </x:c>
      <x:c r="R105" s="113"/>
      <x:c r="S105" s="113" t="n">
        <x:f>IF(Q105="","",Q105+IF(R105="",0,R105))</x:f>
        <x:v>7300</x:v>
      </x:c>
      <x:c r="T105" s="113" t="n">
        <x:f>M105*Beallitasok!$B$4</x:f>
        <x:v>475000</x:v>
      </x:c>
      <x:c r="U105" s="115" t="n">
        <x:f>N105*Beallitasok!$B$4</x:f>
        <x:v>75</x:v>
      </x:c>
      <x:c r="V105" s="113"/>
      <x:c r="W105" s="113" t="str">
        <x:f>IF(V105="","",V105-J105)</x:f>
      </x:c>
      <x:c r="X105" s="19"/>
      <x:c r="Y105" s="113" t="n">
        <x:f>IF(S105="","",J105-S105)</x:f>
        <x:v>-4550</x:v>
      </x:c>
      <x:c r="Z105" s="19" t="str">
        <x:f>IF(AA105="IGEN",IF(J105&lt;S105,"GÉPIGÉNY + KRITIKUS: gépdíj nélkül is alacsony a plafon","GÉPIGÉNY: a saját egységár gépdíj nélkül értendő"),IF(J105&lt;S105,"KRITIKUS: alvállalkozói plafon &lt; saját terhelt egységköltség",IF(J105&lt;S105*Beallitasok!$B$6,"SZŰK TARTALÉK: 10% alatti tartalék","OK")))</x:f>
        <x:v>KRITIKUS: alvállalkozói plafon &lt; saját terhelt egységköltség</x:v>
      </x:c>
      <x:c r="AA105" s="19" t="str">
        <x:v>NEM</x:v>
      </x:c>
      <x:c r="AB105" s="19" t="str">
        <x:v>https://www.leier.hu/uploads/files/Leier-eloregyartott-betonelemek-alkalmazattechnika-64991c9d377e3.pdf</x:v>
      </x:c>
      <x:c r="AC105" s="19" t="str">
        <x:v>Gyártói beépítési lépések + mérnöki brigádtermelékenység</x:v>
      </x:c>
      <x:c r="AD105" s="19" t="str">
        <x:v>Daru, szállítás, emelőeszköz, beton és gyártói szerelési terv külön költség.</x:v>
      </x:c>
    </x:row>
    <x:row r="106">
      <x:c r="A106" s="19" t="str">
        <x:v>AR-0105</x:v>
      </x:c>
      <x:c r="B106" s="19" t="str">
        <x:v>06 Előregyártott beton</x:v>
      </x:c>
      <x:c r="C106" s="19" t="str">
        <x:v>Liapor / Leier fal- és födémszerelés</x:v>
      </x:c>
      <x:c r="D106" s="19" t="str">
        <x:v>Liapor / Leier</x:v>
      </x:c>
      <x:c r="E106" s="19" t="str">
        <x:v>Ideiglenes paneltámasz elhelyezése</x:v>
      </x:c>
      <x:c r="F106" s="19" t="str">
        <x:v>db</x:v>
      </x:c>
      <x:c r="G106" s="113" t="n">
        <x:v>1800</x:v>
      </x:c>
      <x:c r="H106" s="113" t="n">
        <x:v>2700</x:v>
      </x:c>
      <x:c r="I106" s="114" t="n">
        <x:v>0.5</x:v>
      </x:c>
      <x:c r="J106" s="113" t="n">
        <x:f>ROUND(H106*I106/Beallitasok!$B$7,0)*Beallitasok!$B$7</x:f>
        <x:v>1350</x:v>
      </x:c>
      <x:c r="K106" s="19" t="n">
        <x:v>2</x:v>
      </x:c>
      <x:c r="L106" s="19" t="n">
        <x:v>1</x:v>
      </x:c>
      <x:c r="M106" s="113" t="n">
        <x:f>K106*Beallitasok!$B$2+L106*Beallitasok!$B$3</x:f>
        <x:v>95000</x:v>
      </x:c>
      <x:c r="N106" s="115" t="n">
        <x:v>30</x:v>
      </x:c>
      <x:c r="O106" s="113" t="n">
        <x:f>IFERROR(M106/N106,"")</x:f>
        <x:v>3166.6666666666665</x:v>
      </x:c>
      <x:c r="P106" s="116" t="n">
        <x:f>Beallitasok!$B$5</x:f>
        <x:v>1.15</x:v>
      </x:c>
      <x:c r="Q106" s="113" t="n">
        <x:f>IFERROR(ROUND(O106*P106/Beallitasok!$B$7,0)*Beallitasok!$B$7,"")</x:f>
        <x:v>3650</x:v>
      </x:c>
      <x:c r="R106" s="113"/>
      <x:c r="S106" s="113" t="n">
        <x:f>IF(Q106="","",Q106+IF(R106="",0,R106))</x:f>
        <x:v>3650</x:v>
      </x:c>
      <x:c r="T106" s="113" t="n">
        <x:f>M106*Beallitasok!$B$4</x:f>
        <x:v>475000</x:v>
      </x:c>
      <x:c r="U106" s="115" t="n">
        <x:f>N106*Beallitasok!$B$4</x:f>
        <x:v>150</x:v>
      </x:c>
      <x:c r="V106" s="113"/>
      <x:c r="W106" s="113" t="str">
        <x:f>IF(V106="","",V106-J106)</x:f>
      </x:c>
      <x:c r="X106" s="19"/>
      <x:c r="Y106" s="113" t="n">
        <x:f>IF(S106="","",J106-S106)</x:f>
        <x:v>-2300</x:v>
      </x:c>
      <x:c r="Z106" s="19" t="str">
        <x:f>IF(AA106="IGEN",IF(J106&lt;S106,"GÉPIGÉNY + KRITIKUS: gépdíj nélkül is alacsony a plafon","GÉPIGÉNY: a saját egységár gépdíj nélkül értendő"),IF(J106&lt;S106,"KRITIKUS: alvállalkozói plafon &lt; saját terhelt egységköltség",IF(J106&lt;S106*Beallitasok!$B$6,"SZŰK TARTALÉK: 10% alatti tartalék","OK")))</x:f>
        <x:v>KRITIKUS: alvállalkozói plafon &lt; saját terhelt egységköltség</x:v>
      </x:c>
      <x:c r="AA106" s="19" t="str">
        <x:v>NEM</x:v>
      </x:c>
      <x:c r="AB106" s="19" t="str">
        <x:v>https://www.leier.hu/uploads/files/Leier-eloregyartott-betonelemek-alkalmazattechnika-64991c9d377e3.pdf</x:v>
      </x:c>
      <x:c r="AC106" s="19" t="str">
        <x:v>Gyártói beépítési lépések + mérnöki brigádtermelékenység</x:v>
      </x:c>
      <x:c r="AD106" s="19" t="str">
        <x:v>Daru, szállítás, emelőeszköz, beton és gyártói szerelési terv külön költség.</x:v>
      </x:c>
    </x:row>
    <x:row r="107">
      <x:c r="A107" s="19" t="str">
        <x:v>AR-0106</x:v>
      </x:c>
      <x:c r="B107" s="19" t="str">
        <x:v>06 Előregyártott beton</x:v>
      </x:c>
      <x:c r="C107" s="19" t="str">
        <x:v>Liapor / Leier fal- és födémszerelés</x:v>
      </x:c>
      <x:c r="D107" s="19" t="str">
        <x:v>Liapor / Leier</x:v>
      </x:c>
      <x:c r="E107" s="19" t="str">
        <x:v>Ideiglenes paneltámasz bontása</x:v>
      </x:c>
      <x:c r="F107" s="19" t="str">
        <x:v>db</x:v>
      </x:c>
      <x:c r="G107" s="113" t="n">
        <x:v>900</x:v>
      </x:c>
      <x:c r="H107" s="113" t="n">
        <x:v>1400</x:v>
      </x:c>
      <x:c r="I107" s="114" t="n">
        <x:v>0.5</x:v>
      </x:c>
      <x:c r="J107" s="113" t="n">
        <x:f>ROUND(H107*I107/Beallitasok!$B$7,0)*Beallitasok!$B$7</x:f>
        <x:v>700</x:v>
      </x:c>
      <x:c r="K107" s="19" t="n">
        <x:v>2</x:v>
      </x:c>
      <x:c r="L107" s="19" t="n">
        <x:v>1</x:v>
      </x:c>
      <x:c r="M107" s="113" t="n">
        <x:f>K107*Beallitasok!$B$2+L107*Beallitasok!$B$3</x:f>
        <x:v>95000</x:v>
      </x:c>
      <x:c r="N107" s="115" t="n">
        <x:v>55</x:v>
      </x:c>
      <x:c r="O107" s="113" t="n">
        <x:f>IFERROR(M107/N107,"")</x:f>
        <x:v>1727.2727272727273</x:v>
      </x:c>
      <x:c r="P107" s="116" t="n">
        <x:f>Beallitasok!$B$5</x:f>
        <x:v>1.15</x:v>
      </x:c>
      <x:c r="Q107" s="113" t="n">
        <x:f>IFERROR(ROUND(O107*P107/Beallitasok!$B$7,0)*Beallitasok!$B$7,"")</x:f>
        <x:v>2000</x:v>
      </x:c>
      <x:c r="R107" s="113"/>
      <x:c r="S107" s="113" t="n">
        <x:f>IF(Q107="","",Q107+IF(R107="",0,R107))</x:f>
        <x:v>2000</x:v>
      </x:c>
      <x:c r="T107" s="113" t="n">
        <x:f>M107*Beallitasok!$B$4</x:f>
        <x:v>475000</x:v>
      </x:c>
      <x:c r="U107" s="115" t="n">
        <x:f>N107*Beallitasok!$B$4</x:f>
        <x:v>275</x:v>
      </x:c>
      <x:c r="V107" s="113"/>
      <x:c r="W107" s="113" t="str">
        <x:f>IF(V107="","",V107-J107)</x:f>
      </x:c>
      <x:c r="X107" s="19"/>
      <x:c r="Y107" s="113" t="n">
        <x:f>IF(S107="","",J107-S107)</x:f>
        <x:v>-1300</x:v>
      </x:c>
      <x:c r="Z107" s="19" t="str">
        <x:f>IF(AA107="IGEN",IF(J107&lt;S107,"GÉPIGÉNY + KRITIKUS: gépdíj nélkül is alacsony a plafon","GÉPIGÉNY: a saját egységár gépdíj nélkül értendő"),IF(J107&lt;S107,"KRITIKUS: alvállalkozói plafon &lt; saját terhelt egységköltség",IF(J107&lt;S107*Beallitasok!$B$6,"SZŰK TARTALÉK: 10% alatti tartalék","OK")))</x:f>
        <x:v>KRITIKUS: alvállalkozói plafon &lt; saját terhelt egységköltség</x:v>
      </x:c>
      <x:c r="AA107" s="19" t="str">
        <x:v>NEM</x:v>
      </x:c>
      <x:c r="AB107" s="19" t="str">
        <x:v>https://www.leier.hu/uploads/files/Leier-eloregyartott-betonelemek-alkalmazattechnika-64991c9d377e3.pdf</x:v>
      </x:c>
      <x:c r="AC107" s="19" t="str">
        <x:v>Gyártói beépítési lépések + mérnöki brigádtermelékenység</x:v>
      </x:c>
      <x:c r="AD107" s="19" t="str">
        <x:v>Daru, szállítás, emelőeszköz, beton és gyártói szerelési terv külön költség.</x:v>
      </x:c>
    </x:row>
    <x:row r="108">
      <x:c r="A108" s="19" t="str">
        <x:v>AR-0107</x:v>
      </x:c>
      <x:c r="B108" s="19" t="str">
        <x:v>06 Előregyártott beton</x:v>
      </x:c>
      <x:c r="C108" s="19" t="str">
        <x:v>Liapor / Leier fal- és födémszerelés</x:v>
      </x:c>
      <x:c r="D108" s="19" t="str">
        <x:v>Liapor / Leier</x:v>
      </x:c>
      <x:c r="E108" s="19" t="str">
        <x:v>Függőleges panelhézag zsaluzása</x:v>
      </x:c>
      <x:c r="F108" s="19" t="str">
        <x:v>fm</x:v>
      </x:c>
      <x:c r="G108" s="113" t="n">
        <x:v>2400</x:v>
      </x:c>
      <x:c r="H108" s="113" t="n">
        <x:v>3600</x:v>
      </x:c>
      <x:c r="I108" s="114" t="n">
        <x:v>0.5</x:v>
      </x:c>
      <x:c r="J108" s="113" t="n">
        <x:f>ROUND(H108*I108/Beallitasok!$B$7,0)*Beallitasok!$B$7</x:f>
        <x:v>1800</x:v>
      </x:c>
      <x:c r="K108" s="19" t="n">
        <x:v>2</x:v>
      </x:c>
      <x:c r="L108" s="19" t="n">
        <x:v>1</x:v>
      </x:c>
      <x:c r="M108" s="113" t="n">
        <x:f>K108*Beallitasok!$B$2+L108*Beallitasok!$B$3</x:f>
        <x:v>95000</x:v>
      </x:c>
      <x:c r="N108" s="115" t="n">
        <x:v>42</x:v>
      </x:c>
      <x:c r="O108" s="113" t="n">
        <x:f>IFERROR(M108/N108,"")</x:f>
        <x:v>2261.904761904762</x:v>
      </x:c>
      <x:c r="P108" s="116" t="n">
        <x:f>Beallitasok!$B$5</x:f>
        <x:v>1.15</x:v>
      </x:c>
      <x:c r="Q108" s="113" t="n">
        <x:f>IFERROR(ROUND(O108*P108/Beallitasok!$B$7,0)*Beallitasok!$B$7,"")</x:f>
        <x:v>2600</x:v>
      </x:c>
      <x:c r="R108" s="113"/>
      <x:c r="S108" s="113" t="n">
        <x:f>IF(Q108="","",Q108+IF(R108="",0,R108))</x:f>
        <x:v>2600</x:v>
      </x:c>
      <x:c r="T108" s="113" t="n">
        <x:f>M108*Beallitasok!$B$4</x:f>
        <x:v>475000</x:v>
      </x:c>
      <x:c r="U108" s="115" t="n">
        <x:f>N108*Beallitasok!$B$4</x:f>
        <x:v>210</x:v>
      </x:c>
      <x:c r="V108" s="113"/>
      <x:c r="W108" s="113" t="str">
        <x:f>IF(V108="","",V108-J108)</x:f>
      </x:c>
      <x:c r="X108" s="19"/>
      <x:c r="Y108" s="113" t="n">
        <x:f>IF(S108="","",J108-S108)</x:f>
        <x:v>-800</x:v>
      </x:c>
      <x:c r="Z108" s="19" t="str">
        <x:f>IF(AA108="IGEN",IF(J108&lt;S108,"GÉPIGÉNY + KRITIKUS: gépdíj nélkül is alacsony a plafon","GÉPIGÉNY: a saját egységár gépdíj nélkül értendő"),IF(J108&lt;S108,"KRITIKUS: alvállalkozói plafon &lt; saját terhelt egységköltség",IF(J108&lt;S108*Beallitasok!$B$6,"SZŰK TARTALÉK: 10% alatti tartalék","OK")))</x:f>
        <x:v>KRITIKUS: alvállalkozói plafon &lt; saját terhelt egységköltség</x:v>
      </x:c>
      <x:c r="AA108" s="19" t="str">
        <x:v>NEM</x:v>
      </x:c>
      <x:c r="AB108" s="19" t="str">
        <x:v>https://www.leier.hu/uploads/files/Leier-eloregyartott-betonelemek-alkalmazattechnika-64991c9d377e3.pdf</x:v>
      </x:c>
      <x:c r="AC108" s="19" t="str">
        <x:v>Gyártói beépítési lépések + mérnöki brigádtermelékenység</x:v>
      </x:c>
      <x:c r="AD108" s="19" t="str">
        <x:v>Daru, szállítás, emelőeszköz, beton és gyártói szerelési terv külön költség.</x:v>
      </x:c>
    </x:row>
    <x:row r="109">
      <x:c r="A109" s="19" t="str">
        <x:v>AR-0108</x:v>
      </x:c>
      <x:c r="B109" s="19" t="str">
        <x:v>06 Előregyártott beton</x:v>
      </x:c>
      <x:c r="C109" s="19" t="str">
        <x:v>Liapor / Leier fal- és födémszerelés</x:v>
      </x:c>
      <x:c r="D109" s="19" t="str">
        <x:v>Liapor / Leier</x:v>
      </x:c>
      <x:c r="E109" s="19" t="str">
        <x:v>Függőleges panelhézag vasalása</x:v>
      </x:c>
      <x:c r="F109" s="19" t="str">
        <x:v>fm</x:v>
      </x:c>
      <x:c r="G109" s="113" t="n">
        <x:v>1900</x:v>
      </x:c>
      <x:c r="H109" s="113" t="n">
        <x:v>2900</x:v>
      </x:c>
      <x:c r="I109" s="114" t="n">
        <x:v>0.5</x:v>
      </x:c>
      <x:c r="J109" s="113" t="n">
        <x:f>ROUND(H109*I109/Beallitasok!$B$7,0)*Beallitasok!$B$7</x:f>
        <x:v>1450</x:v>
      </x:c>
      <x:c r="K109" s="19" t="n">
        <x:v>2</x:v>
      </x:c>
      <x:c r="L109" s="19" t="n">
        <x:v>1</x:v>
      </x:c>
      <x:c r="M109" s="113" t="n">
        <x:f>K109*Beallitasok!$B$2+L109*Beallitasok!$B$3</x:f>
        <x:v>95000</x:v>
      </x:c>
      <x:c r="N109" s="115" t="n">
        <x:v>55</x:v>
      </x:c>
      <x:c r="O109" s="113" t="n">
        <x:f>IFERROR(M109/N109,"")</x:f>
        <x:v>1727.2727272727273</x:v>
      </x:c>
      <x:c r="P109" s="116" t="n">
        <x:f>Beallitasok!$B$5</x:f>
        <x:v>1.15</x:v>
      </x:c>
      <x:c r="Q109" s="113" t="n">
        <x:f>IFERROR(ROUND(O109*P109/Beallitasok!$B$7,0)*Beallitasok!$B$7,"")</x:f>
        <x:v>2000</x:v>
      </x:c>
      <x:c r="R109" s="113"/>
      <x:c r="S109" s="113" t="n">
        <x:f>IF(Q109="","",Q109+IF(R109="",0,R109))</x:f>
        <x:v>2000</x:v>
      </x:c>
      <x:c r="T109" s="113" t="n">
        <x:f>M109*Beallitasok!$B$4</x:f>
        <x:v>475000</x:v>
      </x:c>
      <x:c r="U109" s="115" t="n">
        <x:f>N109*Beallitasok!$B$4</x:f>
        <x:v>275</x:v>
      </x:c>
      <x:c r="V109" s="113"/>
      <x:c r="W109" s="113" t="str">
        <x:f>IF(V109="","",V109-J109)</x:f>
      </x:c>
      <x:c r="X109" s="19"/>
      <x:c r="Y109" s="113" t="n">
        <x:f>IF(S109="","",J109-S109)</x:f>
        <x:v>-550</x:v>
      </x:c>
      <x:c r="Z109" s="19" t="str">
        <x:f>IF(AA109="IGEN",IF(J109&lt;S109,"GÉPIGÉNY + KRITIKUS: gépdíj nélkül is alacsony a plafon","GÉPIGÉNY: a saját egységár gépdíj nélkül értendő"),IF(J109&lt;S109,"KRITIKUS: alvállalkozói plafon &lt; saját terhelt egységköltség",IF(J109&lt;S109*Beallitasok!$B$6,"SZŰK TARTALÉK: 10% alatti tartalék","OK")))</x:f>
        <x:v>KRITIKUS: alvállalkozói plafon &lt; saját terhelt egységköltség</x:v>
      </x:c>
      <x:c r="AA109" s="19" t="str">
        <x:v>NEM</x:v>
      </x:c>
      <x:c r="AB109" s="19" t="str">
        <x:v>https://www.leier.hu/uploads/files/Leier-eloregyartott-betonelemek-alkalmazattechnika-64991c9d377e3.pdf</x:v>
      </x:c>
      <x:c r="AC109" s="19" t="str">
        <x:v>Gyártói beépítési lépések + mérnöki brigádtermelékenység</x:v>
      </x:c>
      <x:c r="AD109" s="19" t="str">
        <x:v>Daru, szállítás, emelőeszköz, beton és gyártói szerelési terv külön költség.</x:v>
      </x:c>
    </x:row>
    <x:row r="110">
      <x:c r="A110" s="19" t="str">
        <x:v>AR-0109</x:v>
      </x:c>
      <x:c r="B110" s="19" t="str">
        <x:v>06 Előregyártott beton</x:v>
      </x:c>
      <x:c r="C110" s="19" t="str">
        <x:v>Liapor / Leier fal- és födémszerelés</x:v>
      </x:c>
      <x:c r="D110" s="19" t="str">
        <x:v>Liapor / Leier</x:v>
      </x:c>
      <x:c r="E110" s="19" t="str">
        <x:v>Panelhézag és kéregfal mag kibetonozása</x:v>
      </x:c>
      <x:c r="F110" s="19" t="str">
        <x:v>m³</x:v>
      </x:c>
      <x:c r="G110" s="113" t="n">
        <x:v>16000</x:v>
      </x:c>
      <x:c r="H110" s="113" t="n">
        <x:v>23000</x:v>
      </x:c>
      <x:c r="I110" s="114" t="n">
        <x:v>0.5</x:v>
      </x:c>
      <x:c r="J110" s="113" t="n">
        <x:f>ROUND(H110*I110/Beallitasok!$B$7,0)*Beallitasok!$B$7</x:f>
        <x:v>11500</x:v>
      </x:c>
      <x:c r="K110" s="19" t="n">
        <x:v>3</x:v>
      </x:c>
      <x:c r="L110" s="19" t="n">
        <x:v>2</x:v>
      </x:c>
      <x:c r="M110" s="113" t="n">
        <x:f>K110*Beallitasok!$B$2+L110*Beallitasok!$B$3</x:f>
        <x:v>155000</x:v>
      </x:c>
      <x:c r="N110" s="115" t="n">
        <x:v>8</x:v>
      </x:c>
      <x:c r="O110" s="113" t="n">
        <x:f>IFERROR(M110/N110,"")</x:f>
        <x:v>19375</x:v>
      </x:c>
      <x:c r="P110" s="116" t="n">
        <x:f>Beallitasok!$B$5</x:f>
        <x:v>1.15</x:v>
      </x:c>
      <x:c r="Q110" s="113" t="n">
        <x:f>IFERROR(ROUND(O110*P110/Beallitasok!$B$7,0)*Beallitasok!$B$7,"")</x:f>
        <x:v>22300</x:v>
      </x:c>
      <x:c r="R110" s="113"/>
      <x:c r="S110" s="113" t="n">
        <x:f>IF(Q110="","",Q110+IF(R110="",0,R110))</x:f>
        <x:v>22300</x:v>
      </x:c>
      <x:c r="T110" s="113" t="n">
        <x:f>M110*Beallitasok!$B$4</x:f>
        <x:v>775000</x:v>
      </x:c>
      <x:c r="U110" s="115" t="n">
        <x:f>N110*Beallitasok!$B$4</x:f>
        <x:v>40</x:v>
      </x:c>
      <x:c r="V110" s="113"/>
      <x:c r="W110" s="113" t="str">
        <x:f>IF(V110="","",V110-J110)</x:f>
      </x:c>
      <x:c r="X110" s="19"/>
      <x:c r="Y110" s="113" t="n">
        <x:f>IF(S110="","",J110-S110)</x:f>
        <x:v>-10800</x:v>
      </x:c>
      <x:c r="Z110" s="19" t="str">
        <x:f>IF(AA110="IGEN",IF(J110&lt;S110,"GÉPIGÉNY + KRITIKUS: gépdíj nélkül is alacsony a plafon","GÉPIGÉNY: a saját egységár gépdíj nélkül értendő"),IF(J110&lt;S110,"KRITIKUS: alvállalkozói plafon &lt; saját terhelt egységköltség",IF(J110&lt;S110*Beallitasok!$B$6,"SZŰK TARTALÉK: 10% alatti tartalék","OK")))</x:f>
        <x:v>KRITIKUS: alvállalkozói plafon &lt; saját terhelt egységköltség</x:v>
      </x:c>
      <x:c r="AA110" s="19" t="str">
        <x:v>NEM</x:v>
      </x:c>
      <x:c r="AB110" s="19" t="str">
        <x:v>https://www.leier.hu/uploads/files/Leier-eloregyartott-betonelemek-alkalmazattechnika-64991c9d377e3.pdf</x:v>
      </x:c>
      <x:c r="AC110" s="19" t="str">
        <x:v>Gyártói beépítési lépések + mérnöki brigádtermelékenység</x:v>
      </x:c>
      <x:c r="AD110" s="19" t="str">
        <x:v>Daru, szállítás, emelőeszköz, beton és gyártói szerelési terv külön költség.</x:v>
      </x:c>
    </x:row>
    <x:row r="111">
      <x:c r="A111" s="19" t="str">
        <x:v>AR-0110</x:v>
      </x:c>
      <x:c r="B111" s="19" t="str">
        <x:v>06 Előregyártott beton</x:v>
      </x:c>
      <x:c r="C111" s="19" t="str">
        <x:v>Liapor / Leier fal- és födémszerelés</x:v>
      </x:c>
      <x:c r="D111" s="19" t="str">
        <x:v>Liapor / Leier</x:v>
      </x:c>
      <x:c r="E111" s="19" t="str">
        <x:v>Panelcsatlakozások tömítőszalagozása</x:v>
      </x:c>
      <x:c r="F111" s="19" t="str">
        <x:v>fm</x:v>
      </x:c>
      <x:c r="G111" s="113" t="n">
        <x:v>950</x:v>
      </x:c>
      <x:c r="H111" s="113" t="n">
        <x:v>1450</x:v>
      </x:c>
      <x:c r="I111" s="114" t="n">
        <x:v>0.55</x:v>
      </x:c>
      <x:c r="J111" s="113" t="n">
        <x:f>ROUND(H111*I111/Beallitasok!$B$7,0)*Beallitasok!$B$7</x:f>
        <x:v>800</x:v>
      </x:c>
      <x:c r="K111" s="19" t="n">
        <x:v>1</x:v>
      </x:c>
      <x:c r="L111" s="19" t="n">
        <x:v>1</x:v>
      </x:c>
      <x:c r="M111" s="113" t="n">
        <x:f>K111*Beallitasok!$B$2+L111*Beallitasok!$B$3</x:f>
        <x:v>60000</x:v>
      </x:c>
      <x:c r="N111" s="115" t="n">
        <x:v>100</x:v>
      </x:c>
      <x:c r="O111" s="113" t="n">
        <x:f>IFERROR(M111/N111,"")</x:f>
        <x:v>600</x:v>
      </x:c>
      <x:c r="P111" s="116" t="n">
        <x:f>Beallitasok!$B$5</x:f>
        <x:v>1.15</x:v>
      </x:c>
      <x:c r="Q111" s="113" t="n">
        <x:f>IFERROR(ROUND(O111*P111/Beallitasok!$B$7,0)*Beallitasok!$B$7,"")</x:f>
        <x:v>700</x:v>
      </x:c>
      <x:c r="R111" s="113"/>
      <x:c r="S111" s="113" t="n">
        <x:f>IF(Q111="","",Q111+IF(R111="",0,R111))</x:f>
        <x:v>700</x:v>
      </x:c>
      <x:c r="T111" s="113" t="n">
        <x:f>M111*Beallitasok!$B$4</x:f>
        <x:v>300000</x:v>
      </x:c>
      <x:c r="U111" s="115" t="n">
        <x:f>N111*Beallitasok!$B$4</x:f>
        <x:v>500</x:v>
      </x:c>
      <x:c r="V111" s="113"/>
      <x:c r="W111" s="113" t="str">
        <x:f>IF(V111="","",V111-J111)</x:f>
      </x:c>
      <x:c r="X111" s="19"/>
      <x:c r="Y111" s="113" t="n">
        <x:f>IF(S111="","",J111-S111)</x:f>
        <x:v>100</x:v>
      </x:c>
      <x:c r="Z111" s="19" t="str">
        <x:f>IF(AA111="IGEN",IF(J111&lt;S111,"GÉPIGÉNY + KRITIKUS: gépdíj nélkül is alacsony a plafon","GÉPIGÉNY: a saját egységár gépdíj nélkül értendő"),IF(J111&lt;S111,"KRITIKUS: alvállalkozói plafon &lt; saját terhelt egységköltség",IF(J111&lt;S111*Beallitasok!$B$6,"SZŰK TARTALÉK: 10% alatti tartalék","OK")))</x:f>
        <x:v>OK</x:v>
      </x:c>
      <x:c r="AA111" s="19" t="str">
        <x:v>NEM</x:v>
      </x:c>
      <x:c r="AB111" s="19" t="str">
        <x:v>https://www.leier.hu/uploads/files/Leier-eloregyartott-betonelemek-alkalmazattechnika-64991c9d377e3.pdf</x:v>
      </x:c>
      <x:c r="AC111" s="19" t="str">
        <x:v>Gyártói beépítési lépések + mérnöki brigádtermelékenység</x:v>
      </x:c>
      <x:c r="AD111" s="19" t="str">
        <x:v>Daru, szállítás, emelőeszköz, beton és gyártói szerelési terv külön költség.</x:v>
      </x:c>
    </x:row>
    <x:row r="112">
      <x:c r="A112" s="19" t="str">
        <x:v>AR-0111</x:v>
      </x:c>
      <x:c r="B112" s="19" t="str">
        <x:v>06 Előregyártott beton</x:v>
      </x:c>
      <x:c r="C112" s="19" t="str">
        <x:v>Liapor / Leier fal- és födémszerelés</x:v>
      </x:c>
      <x:c r="D112" s="19" t="str">
        <x:v>Liapor / Leier</x:v>
      </x:c>
      <x:c r="E112" s="19" t="str">
        <x:v>Panelcsatlakozások légzáró belső tömítése</x:v>
      </x:c>
      <x:c r="F112" s="19" t="str">
        <x:v>fm</x:v>
      </x:c>
      <x:c r="G112" s="113" t="n">
        <x:v>1400</x:v>
      </x:c>
      <x:c r="H112" s="113" t="n">
        <x:v>2100</x:v>
      </x:c>
      <x:c r="I112" s="114" t="n">
        <x:v>0.55</x:v>
      </x:c>
      <x:c r="J112" s="113" t="n">
        <x:f>ROUND(H112*I112/Beallitasok!$B$7,0)*Beallitasok!$B$7</x:f>
        <x:v>1150</x:v>
      </x:c>
      <x:c r="K112" s="19" t="n">
        <x:v>1</x:v>
      </x:c>
      <x:c r="L112" s="19" t="n">
        <x:v>1</x:v>
      </x:c>
      <x:c r="M112" s="113" t="n">
        <x:f>K112*Beallitasok!$B$2+L112*Beallitasok!$B$3</x:f>
        <x:v>60000</x:v>
      </x:c>
      <x:c r="N112" s="115" t="n">
        <x:v>75</x:v>
      </x:c>
      <x:c r="O112" s="113" t="n">
        <x:f>IFERROR(M112/N112,"")</x:f>
        <x:v>800</x:v>
      </x:c>
      <x:c r="P112" s="116" t="n">
        <x:f>Beallitasok!$B$5</x:f>
        <x:v>1.15</x:v>
      </x:c>
      <x:c r="Q112" s="113" t="n">
        <x:f>IFERROR(ROUND(O112*P112/Beallitasok!$B$7,0)*Beallitasok!$B$7,"")</x:f>
        <x:v>900</x:v>
      </x:c>
      <x:c r="R112" s="113"/>
      <x:c r="S112" s="113" t="n">
        <x:f>IF(Q112="","",Q112+IF(R112="",0,R112))</x:f>
        <x:v>900</x:v>
      </x:c>
      <x:c r="T112" s="113" t="n">
        <x:f>M112*Beallitasok!$B$4</x:f>
        <x:v>300000</x:v>
      </x:c>
      <x:c r="U112" s="115" t="n">
        <x:f>N112*Beallitasok!$B$4</x:f>
        <x:v>375</x:v>
      </x:c>
      <x:c r="V112" s="113"/>
      <x:c r="W112" s="113" t="str">
        <x:f>IF(V112="","",V112-J112)</x:f>
      </x:c>
      <x:c r="X112" s="19"/>
      <x:c r="Y112" s="113" t="n">
        <x:f>IF(S112="","",J112-S112)</x:f>
        <x:v>250</x:v>
      </x:c>
      <x:c r="Z112" s="19" t="str">
        <x:f>IF(AA112="IGEN",IF(J112&lt;S112,"GÉPIGÉNY + KRITIKUS: gépdíj nélkül is alacsony a plafon","GÉPIGÉNY: a saját egységár gépdíj nélkül értendő"),IF(J112&lt;S112,"KRITIKUS: alvállalkozói plafon &lt; saját terhelt egységköltség",IF(J112&lt;S112*Beallitasok!$B$6,"SZŰK TARTALÉK: 10% alatti tartalék","OK")))</x:f>
        <x:v>OK</x:v>
      </x:c>
      <x:c r="AA112" s="19" t="str">
        <x:v>NEM</x:v>
      </x:c>
      <x:c r="AB112" s="19" t="str">
        <x:v>https://www.leier.hu/uploads/files/Leier-eloregyartott-betonelemek-alkalmazattechnika-64991c9d377e3.pdf</x:v>
      </x:c>
      <x:c r="AC112" s="19" t="str">
        <x:v>Gyártói beépítési lépések + mérnöki brigádtermelékenység</x:v>
      </x:c>
      <x:c r="AD112" s="19" t="str">
        <x:v>Daru, szállítás, emelőeszköz, beton és gyártói szerelési terv külön költség.</x:v>
      </x:c>
    </x:row>
    <x:row r="113">
      <x:c r="A113" s="19" t="str">
        <x:v>AR-0112</x:v>
      </x:c>
      <x:c r="B113" s="19" t="str">
        <x:v>06 Előregyártott beton</x:v>
      </x:c>
      <x:c r="C113" s="19" t="str">
        <x:v>Liapor / Leier fal- és födémszerelés</x:v>
      </x:c>
      <x:c r="D113" s="19" t="str">
        <x:v>Liapor / Leier</x:v>
      </x:c>
      <x:c r="E113" s="19" t="str">
        <x:v>Nyíláskávák helyszíni javítása előregyártott falpanelnél</x:v>
      </x:c>
      <x:c r="F113" s="19" t="str">
        <x:v>fm</x:v>
      </x:c>
      <x:c r="G113" s="113" t="n">
        <x:v>2800</x:v>
      </x:c>
      <x:c r="H113" s="113" t="n">
        <x:v>4200</x:v>
      </x:c>
      <x:c r="I113" s="114" t="n">
        <x:v>0.55</x:v>
      </x:c>
      <x:c r="J113" s="113" t="n">
        <x:f>ROUND(H113*I113/Beallitasok!$B$7,0)*Beallitasok!$B$7</x:f>
        <x:v>2300</x:v>
      </x:c>
      <x:c r="K113" s="19" t="n">
        <x:v>1</x:v>
      </x:c>
      <x:c r="L113" s="19" t="n">
        <x:v>1</x:v>
      </x:c>
      <x:c r="M113" s="113" t="n">
        <x:f>K113*Beallitasok!$B$2+L113*Beallitasok!$B$3</x:f>
        <x:v>60000</x:v>
      </x:c>
      <x:c r="N113" s="115" t="n">
        <x:v>35</x:v>
      </x:c>
      <x:c r="O113" s="113" t="n">
        <x:f>IFERROR(M113/N113,"")</x:f>
        <x:v>1714.2857142857142</x:v>
      </x:c>
      <x:c r="P113" s="116" t="n">
        <x:f>Beallitasok!$B$5</x:f>
        <x:v>1.15</x:v>
      </x:c>
      <x:c r="Q113" s="113" t="n">
        <x:f>IFERROR(ROUND(O113*P113/Beallitasok!$B$7,0)*Beallitasok!$B$7,"")</x:f>
        <x:v>1950</x:v>
      </x:c>
      <x:c r="R113" s="113"/>
      <x:c r="S113" s="113" t="n">
        <x:f>IF(Q113="","",Q113+IF(R113="",0,R113))</x:f>
        <x:v>1950</x:v>
      </x:c>
      <x:c r="T113" s="113" t="n">
        <x:f>M113*Beallitasok!$B$4</x:f>
        <x:v>300000</x:v>
      </x:c>
      <x:c r="U113" s="115" t="n">
        <x:f>N113*Beallitasok!$B$4</x:f>
        <x:v>175</x:v>
      </x:c>
      <x:c r="V113" s="113"/>
      <x:c r="W113" s="113" t="str">
        <x:f>IF(V113="","",V113-J113)</x:f>
      </x:c>
      <x:c r="X113" s="19"/>
      <x:c r="Y113" s="113" t="n">
        <x:f>IF(S113="","",J113-S113)</x:f>
        <x:v>350</x:v>
      </x:c>
      <x:c r="Z113" s="19" t="str">
        <x:f>IF(AA113="IGEN",IF(J113&lt;S113,"GÉPIGÉNY + KRITIKUS: gépdíj nélkül is alacsony a plafon","GÉPIGÉNY: a saját egységár gépdíj nélkül értendő"),IF(J113&lt;S113,"KRITIKUS: alvállalkozói plafon &lt; saját terhelt egységköltség",IF(J113&lt;S113*Beallitasok!$B$6,"SZŰK TARTALÉK: 10% alatti tartalék","OK")))</x:f>
        <x:v>OK</x:v>
      </x:c>
      <x:c r="AA113" s="19" t="str">
        <x:v>NEM</x:v>
      </x:c>
      <x:c r="AB113" s="19" t="str">
        <x:v>https://www.leier.hu/uploads/files/Leier-eloregyartott-betonelemek-alkalmazattechnika-64991c9d377e3.pdf</x:v>
      </x:c>
      <x:c r="AC113" s="19" t="str">
        <x:v>Gyártói beépítési lépések + mérnöki brigádtermelékenység</x:v>
      </x:c>
      <x:c r="AD113" s="19" t="str">
        <x:v>Daru, szállítás, emelőeszköz, beton és gyártói szerelési terv külön költség.</x:v>
      </x:c>
    </x:row>
    <x:row r="114">
      <x:c r="A114" s="19" t="str">
        <x:v>AR-0113</x:v>
      </x:c>
      <x:c r="B114" s="19" t="str">
        <x:v>06 Előregyártott beton</x:v>
      </x:c>
      <x:c r="C114" s="19" t="str">
        <x:v>Liapor / Leier fal- és födémszerelés</x:v>
      </x:c>
      <x:c r="D114" s="19" t="str">
        <x:v>Liapor / Leier</x:v>
      </x:c>
      <x:c r="E114" s="19" t="str">
        <x:v>Falpanel felső koszorú- és födémcsatlakozás előkészítése</x:v>
      </x:c>
      <x:c r="F114" s="19" t="str">
        <x:v>fm</x:v>
      </x:c>
      <x:c r="G114" s="113" t="n">
        <x:v>2200</x:v>
      </x:c>
      <x:c r="H114" s="113" t="n">
        <x:v>3300</x:v>
      </x:c>
      <x:c r="I114" s="114" t="n">
        <x:v>0.5</x:v>
      </x:c>
      <x:c r="J114" s="113" t="n">
        <x:f>ROUND(H114*I114/Beallitasok!$B$7,0)*Beallitasok!$B$7</x:f>
        <x:v>1650</x:v>
      </x:c>
      <x:c r="K114" s="19" t="n">
        <x:v>2</x:v>
      </x:c>
      <x:c r="L114" s="19" t="n">
        <x:v>1</x:v>
      </x:c>
      <x:c r="M114" s="113" t="n">
        <x:f>K114*Beallitasok!$B$2+L114*Beallitasok!$B$3</x:f>
        <x:v>95000</x:v>
      </x:c>
      <x:c r="N114" s="115" t="n">
        <x:v>50</x:v>
      </x:c>
      <x:c r="O114" s="113" t="n">
        <x:f>IFERROR(M114/N114,"")</x:f>
        <x:v>1900</x:v>
      </x:c>
      <x:c r="P114" s="116" t="n">
        <x:f>Beallitasok!$B$5</x:f>
        <x:v>1.15</x:v>
      </x:c>
      <x:c r="Q114" s="113" t="n">
        <x:f>IFERROR(ROUND(O114*P114/Beallitasok!$B$7,0)*Beallitasok!$B$7,"")</x:f>
        <x:v>2200</x:v>
      </x:c>
      <x:c r="R114" s="113"/>
      <x:c r="S114" s="113" t="n">
        <x:f>IF(Q114="","",Q114+IF(R114="",0,R114))</x:f>
        <x:v>2200</x:v>
      </x:c>
      <x:c r="T114" s="113" t="n">
        <x:f>M114*Beallitasok!$B$4</x:f>
        <x:v>475000</x:v>
      </x:c>
      <x:c r="U114" s="115" t="n">
        <x:f>N114*Beallitasok!$B$4</x:f>
        <x:v>250</x:v>
      </x:c>
      <x:c r="V114" s="113"/>
      <x:c r="W114" s="113" t="str">
        <x:f>IF(V114="","",V114-J114)</x:f>
      </x:c>
      <x:c r="X114" s="19"/>
      <x:c r="Y114" s="113" t="n">
        <x:f>IF(S114="","",J114-S114)</x:f>
        <x:v>-550</x:v>
      </x:c>
      <x:c r="Z114" s="19" t="str">
        <x:f>IF(AA114="IGEN",IF(J114&lt;S114,"GÉPIGÉNY + KRITIKUS: gépdíj nélkül is alacsony a plafon","GÉPIGÉNY: a saját egységár gépdíj nélkül értendő"),IF(J114&lt;S114,"KRITIKUS: alvállalkozói plafon &lt; saját terhelt egységköltség",IF(J114&lt;S114*Beallitasok!$B$6,"SZŰK TARTALÉK: 10% alatti tartalék","OK")))</x:f>
        <x:v>KRITIKUS: alvállalkozói plafon &lt; saját terhelt egységköltség</x:v>
      </x:c>
      <x:c r="AA114" s="19" t="str">
        <x:v>NEM</x:v>
      </x:c>
      <x:c r="AB114" s="19" t="str">
        <x:v>https://www.leier.hu/uploads/files/Leier-eloregyartott-betonelemek-alkalmazattechnika-64991c9d377e3.pdf</x:v>
      </x:c>
      <x:c r="AC114" s="19" t="str">
        <x:v>Gyártói beépítési lépések + mérnöki brigádtermelékenység</x:v>
      </x:c>
      <x:c r="AD114" s="19" t="str">
        <x:v>Daru, szállítás, emelőeszköz, beton és gyártói szerelési terv külön költség.</x:v>
      </x:c>
    </x:row>
    <x:row r="115">
      <x:c r="A115" s="19" t="str">
        <x:v>AR-0114</x:v>
      </x:c>
      <x:c r="B115" s="19" t="str">
        <x:v>06 Előregyártott beton</x:v>
      </x:c>
      <x:c r="C115" s="19" t="str">
        <x:v>Liapor / Leier fal- és födémszerelés</x:v>
      </x:c>
      <x:c r="D115" s="19" t="str">
        <x:v>Liapor / Leier</x:v>
      </x:c>
      <x:c r="E115" s="19" t="str">
        <x:v>Leier Mesterpanel födémelem beemelése és elhelyezése</x:v>
      </x:c>
      <x:c r="F115" s="19" t="str">
        <x:v>m²</x:v>
      </x:c>
      <x:c r="G115" s="113" t="n">
        <x:v>3200</x:v>
      </x:c>
      <x:c r="H115" s="113" t="n">
        <x:v>4800</x:v>
      </x:c>
      <x:c r="I115" s="114" t="n">
        <x:v>0.5</x:v>
      </x:c>
      <x:c r="J115" s="113" t="n">
        <x:f>ROUND(H115*I115/Beallitasok!$B$7,0)*Beallitasok!$B$7</x:f>
        <x:v>2400</x:v>
      </x:c>
      <x:c r="K115" s="19" t="n">
        <x:v>3</x:v>
      </x:c>
      <x:c r="L115" s="19" t="n">
        <x:v>2</x:v>
      </x:c>
      <x:c r="M115" s="113" t="n">
        <x:f>K115*Beallitasok!$B$2+L115*Beallitasok!$B$3</x:f>
        <x:v>155000</x:v>
      </x:c>
      <x:c r="N115" s="115" t="n">
        <x:v>110</x:v>
      </x:c>
      <x:c r="O115" s="113" t="n">
        <x:f>IFERROR(M115/N115,"")</x:f>
        <x:v>1409.090909090909</x:v>
      </x:c>
      <x:c r="P115" s="116" t="n">
        <x:f>Beallitasok!$B$5</x:f>
        <x:v>1.15</x:v>
      </x:c>
      <x:c r="Q115" s="113" t="n">
        <x:f>IFERROR(ROUND(O115*P115/Beallitasok!$B$7,0)*Beallitasok!$B$7,"")</x:f>
        <x:v>1600</x:v>
      </x:c>
      <x:c r="R115" s="113"/>
      <x:c r="S115" s="113" t="n">
        <x:f>IF(Q115="","",Q115+IF(R115="",0,R115))</x:f>
        <x:v>1600</x:v>
      </x:c>
      <x:c r="T115" s="113" t="n">
        <x:f>M115*Beallitasok!$B$4</x:f>
        <x:v>775000</x:v>
      </x:c>
      <x:c r="U115" s="115" t="n">
        <x:f>N115*Beallitasok!$B$4</x:f>
        <x:v>550</x:v>
      </x:c>
      <x:c r="V115" s="113"/>
      <x:c r="W115" s="113" t="str">
        <x:f>IF(V115="","",V115-J115)</x:f>
      </x:c>
      <x:c r="X115" s="19"/>
      <x:c r="Y115" s="113" t="n">
        <x:f>IF(S115="","",J115-S115)</x:f>
        <x:v>800</x:v>
      </x:c>
      <x:c r="Z115" s="19" t="str">
        <x:f>IF(AA115="IGEN",IF(J115&lt;S115,"GÉPIGÉNY + KRITIKUS: gépdíj nélkül is alacsony a plafon","GÉPIGÉNY: a saját egységár gépdíj nélkül értendő"),IF(J115&lt;S115,"KRITIKUS: alvállalkozói plafon &lt; saját terhelt egységköltség",IF(J115&lt;S115*Beallitasok!$B$6,"SZŰK TARTALÉK: 10% alatti tartalék","OK")))</x:f>
        <x:v>GÉPIGÉNY: a saját egységár gépdíj nélkül értendő</x:v>
      </x:c>
      <x:c r="AA115" s="19" t="str">
        <x:v>IGEN</x:v>
      </x:c>
      <x:c r="AB115" s="19" t="str">
        <x:v>https://www.proidea.hu/leier-hungaria-227922/leier-mesterpanel-333982/a_16_d_4_1556978033130_leier_mesterpanel_alktech_es_terv_segedlet.pdf</x:v>
      </x:c>
      <x:c r="AC115" s="19" t="str">
        <x:v>Gyártói beépítési lépések + mérnöki brigádtermelékenység</x:v>
      </x:c>
      <x:c r="AD115" s="19" t="str">
        <x:v>Daru, szállítás, emelőeszköz, beton és gyártói szerelési terv külön költség.</x:v>
      </x:c>
    </x:row>
    <x:row r="116">
      <x:c r="A116" s="19" t="str">
        <x:v>AR-0115</x:v>
      </x:c>
      <x:c r="B116" s="19" t="str">
        <x:v>06 Előregyártott beton</x:v>
      </x:c>
      <x:c r="C116" s="19" t="str">
        <x:v>Liapor / Leier fal- és födémszerelés</x:v>
      </x:c>
      <x:c r="D116" s="19" t="str">
        <x:v>Liapor / Leier</x:v>
      </x:c>
      <x:c r="E116" s="19" t="str">
        <x:v>Mesterpanel ideiglenes alátámasztása</x:v>
      </x:c>
      <x:c r="F116" s="19" t="str">
        <x:v>m²</x:v>
      </x:c>
      <x:c r="G116" s="113" t="n">
        <x:v>1700</x:v>
      </x:c>
      <x:c r="H116" s="113" t="n">
        <x:v>2600</x:v>
      </x:c>
      <x:c r="I116" s="114" t="n">
        <x:v>0.5</x:v>
      </x:c>
      <x:c r="J116" s="113" t="n">
        <x:f>ROUND(H116*I116/Beallitasok!$B$7,0)*Beallitasok!$B$7</x:f>
        <x:v>1300</x:v>
      </x:c>
      <x:c r="K116" s="19" t="n">
        <x:v>3</x:v>
      </x:c>
      <x:c r="L116" s="19" t="n">
        <x:v>2</x:v>
      </x:c>
      <x:c r="M116" s="113" t="n">
        <x:f>K116*Beallitasok!$B$2+L116*Beallitasok!$B$3</x:f>
        <x:v>155000</x:v>
      </x:c>
      <x:c r="N116" s="115" t="n">
        <x:v>95</x:v>
      </x:c>
      <x:c r="O116" s="113" t="n">
        <x:f>IFERROR(M116/N116,"")</x:f>
        <x:v>1631.578947368421</x:v>
      </x:c>
      <x:c r="P116" s="116" t="n">
        <x:f>Beallitasok!$B$5</x:f>
        <x:v>1.15</x:v>
      </x:c>
      <x:c r="Q116" s="113" t="n">
        <x:f>IFERROR(ROUND(O116*P116/Beallitasok!$B$7,0)*Beallitasok!$B$7,"")</x:f>
        <x:v>1900</x:v>
      </x:c>
      <x:c r="R116" s="113"/>
      <x:c r="S116" s="113" t="n">
        <x:f>IF(Q116="","",Q116+IF(R116="",0,R116))</x:f>
        <x:v>1900</x:v>
      </x:c>
      <x:c r="T116" s="113" t="n">
        <x:f>M116*Beallitasok!$B$4</x:f>
        <x:v>775000</x:v>
      </x:c>
      <x:c r="U116" s="115" t="n">
        <x:f>N116*Beallitasok!$B$4</x:f>
        <x:v>475</x:v>
      </x:c>
      <x:c r="V116" s="113"/>
      <x:c r="W116" s="113" t="str">
        <x:f>IF(V116="","",V116-J116)</x:f>
      </x:c>
      <x:c r="X116" s="19"/>
      <x:c r="Y116" s="113" t="n">
        <x:f>IF(S116="","",J116-S116)</x:f>
        <x:v>-600</x:v>
      </x:c>
      <x:c r="Z116" s="19" t="str">
        <x:f>IF(AA116="IGEN",IF(J116&lt;S116,"GÉPIGÉNY + KRITIKUS: gépdíj nélkül is alacsony a plafon","GÉPIGÉNY: a saját egységár gépdíj nélkül értendő"),IF(J116&lt;S116,"KRITIKUS: alvállalkozói plafon &lt; saját terhelt egységköltség",IF(J116&lt;S116*Beallitasok!$B$6,"SZŰK TARTALÉK: 10% alatti tartalék","OK")))</x:f>
        <x:v>KRITIKUS: alvállalkozói plafon &lt; saját terhelt egységköltség</x:v>
      </x:c>
      <x:c r="AA116" s="19" t="str">
        <x:v>NEM</x:v>
      </x:c>
      <x:c r="AB116" s="19" t="str">
        <x:v>https://www.proidea.hu/leier-hungaria-227922/leier-mesterpanel-333982/a_16_d_4_1556978033130_leier_mesterpanel_alktech_es_terv_segedlet.pdf</x:v>
      </x:c>
      <x:c r="AC116" s="19" t="str">
        <x:v>Gyártói beépítési lépések + mérnöki brigádtermelékenység</x:v>
      </x:c>
      <x:c r="AD116" s="19" t="str">
        <x:v>Daru, szállítás, emelőeszköz, beton és gyártói szerelési terv külön költség.</x:v>
      </x:c>
    </x:row>
    <x:row r="117">
      <x:c r="A117" s="19" t="str">
        <x:v>AR-0116</x:v>
      </x:c>
      <x:c r="B117" s="19" t="str">
        <x:v>06 Előregyártott beton</x:v>
      </x:c>
      <x:c r="C117" s="19" t="str">
        <x:v>Liapor / Leier fal- és födémszerelés</x:v>
      </x:c>
      <x:c r="D117" s="19" t="str">
        <x:v>Liapor / Leier</x:v>
      </x:c>
      <x:c r="E117" s="19" t="str">
        <x:v>Mesterpanel fugavasalásának elhelyezése</x:v>
      </x:c>
      <x:c r="F117" s="19" t="str">
        <x:v>fm</x:v>
      </x:c>
      <x:c r="G117" s="113" t="n">
        <x:v>1500</x:v>
      </x:c>
      <x:c r="H117" s="113" t="n">
        <x:v>2200</x:v>
      </x:c>
      <x:c r="I117" s="114" t="n">
        <x:v>0.5</x:v>
      </x:c>
      <x:c r="J117" s="113" t="n">
        <x:f>ROUND(H117*I117/Beallitasok!$B$7,0)*Beallitasok!$B$7</x:f>
        <x:v>1100</x:v>
      </x:c>
      <x:c r="K117" s="19" t="n">
        <x:v>2</x:v>
      </x:c>
      <x:c r="L117" s="19" t="n">
        <x:v>1</x:v>
      </x:c>
      <x:c r="M117" s="113" t="n">
        <x:f>K117*Beallitasok!$B$2+L117*Beallitasok!$B$3</x:f>
        <x:v>95000</x:v>
      </x:c>
      <x:c r="N117" s="115" t="n">
        <x:v>75</x:v>
      </x:c>
      <x:c r="O117" s="113" t="n">
        <x:f>IFERROR(M117/N117,"")</x:f>
        <x:v>1266.6666666666667</x:v>
      </x:c>
      <x:c r="P117" s="116" t="n">
        <x:f>Beallitasok!$B$5</x:f>
        <x:v>1.15</x:v>
      </x:c>
      <x:c r="Q117" s="113" t="n">
        <x:f>IFERROR(ROUND(O117*P117/Beallitasok!$B$7,0)*Beallitasok!$B$7,"")</x:f>
        <x:v>1450</x:v>
      </x:c>
      <x:c r="R117" s="113"/>
      <x:c r="S117" s="113" t="n">
        <x:f>IF(Q117="","",Q117+IF(R117="",0,R117))</x:f>
        <x:v>1450</x:v>
      </x:c>
      <x:c r="T117" s="113" t="n">
        <x:f>M117*Beallitasok!$B$4</x:f>
        <x:v>475000</x:v>
      </x:c>
      <x:c r="U117" s="115" t="n">
        <x:f>N117*Beallitasok!$B$4</x:f>
        <x:v>375</x:v>
      </x:c>
      <x:c r="V117" s="113"/>
      <x:c r="W117" s="113" t="str">
        <x:f>IF(V117="","",V117-J117)</x:f>
      </x:c>
      <x:c r="X117" s="19"/>
      <x:c r="Y117" s="113" t="n">
        <x:f>IF(S117="","",J117-S117)</x:f>
        <x:v>-350</x:v>
      </x:c>
      <x:c r="Z117" s="19" t="str">
        <x:f>IF(AA117="IGEN",IF(J117&lt;S117,"GÉPIGÉNY + KRITIKUS: gépdíj nélkül is alacsony a plafon","GÉPIGÉNY: a saját egységár gépdíj nélkül értendő"),IF(J117&lt;S117,"KRITIKUS: alvállalkozói plafon &lt; saját terhelt egységköltség",IF(J117&lt;S117*Beallitasok!$B$6,"SZŰK TARTALÉK: 10% alatti tartalék","OK")))</x:f>
        <x:v>KRITIKUS: alvállalkozói plafon &lt; saját terhelt egységköltség</x:v>
      </x:c>
      <x:c r="AA117" s="19" t="str">
        <x:v>NEM</x:v>
      </x:c>
      <x:c r="AB117" s="19" t="str">
        <x:v>https://www.proidea.hu/leier-hungaria-227922/leier-mesterpanel-333982/a_16_d_4_1556978033130_leier_mesterpanel_alktech_es_terv_segedlet.pdf</x:v>
      </x:c>
      <x:c r="AC117" s="19" t="str">
        <x:v>Gyártói beépítési lépések + mérnöki brigádtermelékenység</x:v>
      </x:c>
      <x:c r="AD117" s="19" t="str">
        <x:v>Daru, szállítás, emelőeszköz, beton és gyártói szerelési terv külön költség.</x:v>
      </x:c>
    </x:row>
    <x:row r="118">
      <x:c r="A118" s="19" t="str">
        <x:v>AR-0117</x:v>
      </x:c>
      <x:c r="B118" s="19" t="str">
        <x:v>06 Előregyártott beton</x:v>
      </x:c>
      <x:c r="C118" s="19" t="str">
        <x:v>Liapor / Leier fal- és födémszerelés</x:v>
      </x:c>
      <x:c r="D118" s="19" t="str">
        <x:v>Liapor / Leier</x:v>
      </x:c>
      <x:c r="E118" s="19" t="str">
        <x:v>Mesterpanel kiegészítő felső vasalásának szerelése</x:v>
      </x:c>
      <x:c r="F118" s="19" t="str">
        <x:v>kg</x:v>
      </x:c>
      <x:c r="G118" s="113" t="n">
        <x:v>300</x:v>
      </x:c>
      <x:c r="H118" s="113" t="n">
        <x:v>400</x:v>
      </x:c>
      <x:c r="I118" s="114" t="n">
        <x:v>0.5</x:v>
      </x:c>
      <x:c r="J118" s="113" t="n">
        <x:f>ROUND(H118*I118/Beallitasok!$B$7,0)*Beallitasok!$B$7</x:f>
        <x:v>200</x:v>
      </x:c>
      <x:c r="K118" s="19" t="n">
        <x:v>3</x:v>
      </x:c>
      <x:c r="L118" s="19" t="n">
        <x:v>2</x:v>
      </x:c>
      <x:c r="M118" s="113" t="n">
        <x:f>K118*Beallitasok!$B$2+L118*Beallitasok!$B$3</x:f>
        <x:v>155000</x:v>
      </x:c>
      <x:c r="N118" s="115" t="n">
        <x:v>520</x:v>
      </x:c>
      <x:c r="O118" s="113" t="n">
        <x:f>IFERROR(M118/N118,"")</x:f>
        <x:v>298.0769230769231</x:v>
      </x:c>
      <x:c r="P118" s="116" t="n">
        <x:f>Beallitasok!$B$5</x:f>
        <x:v>1.15</x:v>
      </x:c>
      <x:c r="Q118" s="113" t="n">
        <x:f>IFERROR(ROUND(O118*P118/Beallitasok!$B$7,0)*Beallitasok!$B$7,"")</x:f>
        <x:v>350</x:v>
      </x:c>
      <x:c r="R118" s="113"/>
      <x:c r="S118" s="113" t="n">
        <x:f>IF(Q118="","",Q118+IF(R118="",0,R118))</x:f>
        <x:v>350</x:v>
      </x:c>
      <x:c r="T118" s="113" t="n">
        <x:f>M118*Beallitasok!$B$4</x:f>
        <x:v>775000</x:v>
      </x:c>
      <x:c r="U118" s="115" t="n">
        <x:f>N118*Beallitasok!$B$4</x:f>
        <x:v>2600</x:v>
      </x:c>
      <x:c r="V118" s="113"/>
      <x:c r="W118" s="113" t="str">
        <x:f>IF(V118="","",V118-J118)</x:f>
      </x:c>
      <x:c r="X118" s="19"/>
      <x:c r="Y118" s="113" t="n">
        <x:f>IF(S118="","",J118-S118)</x:f>
        <x:v>-150</x:v>
      </x:c>
      <x:c r="Z118" s="19" t="str">
        <x:f>IF(AA118="IGEN",IF(J118&lt;S118,"GÉPIGÉNY + KRITIKUS: gépdíj nélkül is alacsony a plafon","GÉPIGÉNY: a saját egységár gépdíj nélkül értendő"),IF(J118&lt;S118,"KRITIKUS: alvállalkozói plafon &lt; saját terhelt egységköltség",IF(J118&lt;S118*Beallitasok!$B$6,"SZŰK TARTALÉK: 10% alatti tartalék","OK")))</x:f>
        <x:v>KRITIKUS: alvállalkozói plafon &lt; saját terhelt egységköltség</x:v>
      </x:c>
      <x:c r="AA118" s="19" t="str">
        <x:v>NEM</x:v>
      </x:c>
      <x:c r="AB118" s="19" t="str">
        <x:v>https://www.proidea.hu/leier-hungaria-227922/leier-mesterpanel-333982/a_16_d_4_1556978033130_leier_mesterpanel_alktech_es_terv_segedlet.pdf</x:v>
      </x:c>
      <x:c r="AC118" s="19" t="str">
        <x:v>Gyártói beépítési lépések + mérnöki brigádtermelékenység</x:v>
      </x:c>
      <x:c r="AD118" s="19" t="str">
        <x:v>Daru, szállítás, emelőeszköz, beton és gyártói szerelési terv külön költség.</x:v>
      </x:c>
    </x:row>
    <x:row r="119">
      <x:c r="A119" s="19" t="str">
        <x:v>AR-0118</x:v>
      </x:c>
      <x:c r="B119" s="19" t="str">
        <x:v>06 Előregyártott beton</x:v>
      </x:c>
      <x:c r="C119" s="19" t="str">
        <x:v>Liapor / Leier fal- és födémszerelés</x:v>
      </x:c>
      <x:c r="D119" s="19" t="str">
        <x:v>Liapor / Leier</x:v>
      </x:c>
      <x:c r="E119" s="19" t="str">
        <x:v>Mesterpanel felbeton készítésének munkadíja</x:v>
      </x:c>
      <x:c r="F119" s="19" t="str">
        <x:v>m²</x:v>
      </x:c>
      <x:c r="G119" s="113" t="n">
        <x:v>5200</x:v>
      </x:c>
      <x:c r="H119" s="113" t="n">
        <x:v>7500</x:v>
      </x:c>
      <x:c r="I119" s="114" t="n">
        <x:v>0.5</x:v>
      </x:c>
      <x:c r="J119" s="113" t="n">
        <x:f>ROUND(H119*I119/Beallitasok!$B$7,0)*Beallitasok!$B$7</x:f>
        <x:v>3750</x:v>
      </x:c>
      <x:c r="K119" s="19" t="n">
        <x:v>3</x:v>
      </x:c>
      <x:c r="L119" s="19" t="n">
        <x:v>3</x:v>
      </x:c>
      <x:c r="M119" s="113" t="n">
        <x:f>K119*Beallitasok!$B$2+L119*Beallitasok!$B$3</x:f>
        <x:v>180000</x:v>
      </x:c>
      <x:c r="N119" s="115" t="n">
        <x:v>62</x:v>
      </x:c>
      <x:c r="O119" s="113" t="n">
        <x:f>IFERROR(M119/N119,"")</x:f>
        <x:v>2903.2258064516127</x:v>
      </x:c>
      <x:c r="P119" s="116" t="n">
        <x:f>Beallitasok!$B$5</x:f>
        <x:v>1.15</x:v>
      </x:c>
      <x:c r="Q119" s="113" t="n">
        <x:f>IFERROR(ROUND(O119*P119/Beallitasok!$B$7,0)*Beallitasok!$B$7,"")</x:f>
        <x:v>3350</x:v>
      </x:c>
      <x:c r="R119" s="113"/>
      <x:c r="S119" s="113" t="n">
        <x:f>IF(Q119="","",Q119+IF(R119="",0,R119))</x:f>
        <x:v>3350</x:v>
      </x:c>
      <x:c r="T119" s="113" t="n">
        <x:f>M119*Beallitasok!$B$4</x:f>
        <x:v>900000</x:v>
      </x:c>
      <x:c r="U119" s="115" t="n">
        <x:f>N119*Beallitasok!$B$4</x:f>
        <x:v>310</x:v>
      </x:c>
      <x:c r="V119" s="113"/>
      <x:c r="W119" s="113" t="str">
        <x:f>IF(V119="","",V119-J119)</x:f>
      </x:c>
      <x:c r="X119" s="19"/>
      <x:c r="Y119" s="113" t="n">
        <x:f>IF(S119="","",J119-S119)</x:f>
        <x:v>400</x:v>
      </x:c>
      <x:c r="Z119" s="19" t="str">
        <x:f>IF(AA119="IGEN",IF(J119&lt;S119,"GÉPIGÉNY + KRITIKUS: gépdíj nélkül is alacsony a plafon","GÉPIGÉNY: a saját egységár gépdíj nélkül értendő"),IF(J119&lt;S119,"KRITIKUS: alvállalkozói plafon &lt; saját terhelt egységköltség",IF(J119&lt;S119*Beallitasok!$B$6,"SZŰK TARTALÉK: 10% alatti tartalék","OK")))</x:f>
        <x:v>OK</x:v>
      </x:c>
      <x:c r="AA119" s="19" t="str">
        <x:v>NEM</x:v>
      </x:c>
      <x:c r="AB119" s="19" t="str">
        <x:v>https://www.proidea.hu/leier-hungaria-227922/leier-mesterpanel-333982/a_16_d_4_1556978033130_leier_mesterpanel_alktech_es_terv_segedlet.pdf</x:v>
      </x:c>
      <x:c r="AC119" s="19" t="str">
        <x:v>Gyártói beépítési lépések + mérnöki brigádtermelékenység</x:v>
      </x:c>
      <x:c r="AD119" s="19" t="str">
        <x:v>Daru, szállítás, emelőeszköz, beton és gyártói szerelési terv külön költség.</x:v>
      </x:c>
    </x:row>
    <x:row r="120">
      <x:c r="A120" s="19" t="str">
        <x:v>AR-0119</x:v>
      </x:c>
      <x:c r="B120" s="19" t="str">
        <x:v>06 Előregyártott beton</x:v>
      </x:c>
      <x:c r="C120" s="19" t="str">
        <x:v>Liapor / Leier fal- és födémszerelés</x:v>
      </x:c>
      <x:c r="D120" s="19" t="str">
        <x:v>Liapor / Leier</x:v>
      </x:c>
      <x:c r="E120" s="19" t="str">
        <x:v>Előregyártott födémpalló beemelése és felfekvés beállítása</x:v>
      </x:c>
      <x:c r="F120" s="19" t="str">
        <x:v>m²</x:v>
      </x:c>
      <x:c r="G120" s="113" t="n">
        <x:v>2800</x:v>
      </x:c>
      <x:c r="H120" s="113" t="n">
        <x:v>4300</x:v>
      </x:c>
      <x:c r="I120" s="114" t="n">
        <x:v>0.5</x:v>
      </x:c>
      <x:c r="J120" s="113" t="n">
        <x:f>ROUND(H120*I120/Beallitasok!$B$7,0)*Beallitasok!$B$7</x:f>
        <x:v>2150</x:v>
      </x:c>
      <x:c r="K120" s="19" t="n">
        <x:v>3</x:v>
      </x:c>
      <x:c r="L120" s="19" t="n">
        <x:v>2</x:v>
      </x:c>
      <x:c r="M120" s="113" t="n">
        <x:f>K120*Beallitasok!$B$2+L120*Beallitasok!$B$3</x:f>
        <x:v>155000</x:v>
      </x:c>
      <x:c r="N120" s="115" t="n">
        <x:v>130</x:v>
      </x:c>
      <x:c r="O120" s="113" t="n">
        <x:f>IFERROR(M120/N120,"")</x:f>
        <x:v>1192.3076923076924</x:v>
      </x:c>
      <x:c r="P120" s="116" t="n">
        <x:f>Beallitasok!$B$5</x:f>
        <x:v>1.15</x:v>
      </x:c>
      <x:c r="Q120" s="113" t="n">
        <x:f>IFERROR(ROUND(O120*P120/Beallitasok!$B$7,0)*Beallitasok!$B$7,"")</x:f>
        <x:v>1350</x:v>
      </x:c>
      <x:c r="R120" s="113"/>
      <x:c r="S120" s="113" t="n">
        <x:f>IF(Q120="","",Q120+IF(R120="",0,R120))</x:f>
        <x:v>1350</x:v>
      </x:c>
      <x:c r="T120" s="113" t="n">
        <x:f>M120*Beallitasok!$B$4</x:f>
        <x:v>775000</x:v>
      </x:c>
      <x:c r="U120" s="115" t="n">
        <x:f>N120*Beallitasok!$B$4</x:f>
        <x:v>650</x:v>
      </x:c>
      <x:c r="V120" s="113"/>
      <x:c r="W120" s="113" t="str">
        <x:f>IF(V120="","",V120-J120)</x:f>
      </x:c>
      <x:c r="X120" s="19"/>
      <x:c r="Y120" s="113" t="n">
        <x:f>IF(S120="","",J120-S120)</x:f>
        <x:v>800</x:v>
      </x:c>
      <x:c r="Z120" s="19" t="str">
        <x:f>IF(AA120="IGEN",IF(J120&lt;S120,"GÉPIGÉNY + KRITIKUS: gépdíj nélkül is alacsony a plafon","GÉPIGÉNY: a saját egységár gépdíj nélkül értendő"),IF(J120&lt;S120,"KRITIKUS: alvállalkozói plafon &lt; saját terhelt egységköltség",IF(J120&lt;S120*Beallitasok!$B$6,"SZŰK TARTALÉK: 10% alatti tartalék","OK")))</x:f>
        <x:v>GÉPIGÉNY: a saját egységár gépdíj nélkül értendő</x:v>
      </x:c>
      <x:c r="AA120" s="19" t="str">
        <x:v>IGEN</x:v>
      </x:c>
      <x:c r="AB120" s="19" t="str">
        <x:v>https://www.leier.hu/uploads/files/Leier-eloregyartott-betonelemek-alkalmazattechnika-64991c9d377e3.pdf</x:v>
      </x:c>
      <x:c r="AC120" s="19" t="str">
        <x:v>Gyártói beépítési lépések + mérnöki brigádtermelékenység</x:v>
      </x:c>
      <x:c r="AD120" s="19" t="str">
        <x:v>Daru, szállítás, emelőeszköz, beton és gyártói szerelési terv külön költség.</x:v>
      </x:c>
    </x:row>
    <x:row r="121">
      <x:c r="A121" s="19" t="str">
        <x:v>AR-0120</x:v>
      </x:c>
      <x:c r="B121" s="19" t="str">
        <x:v>06 Előregyártott beton</x:v>
      </x:c>
      <x:c r="C121" s="19" t="str">
        <x:v>Liapor / Leier fal- és födémszerelés</x:v>
      </x:c>
      <x:c r="D121" s="19" t="str">
        <x:v>Liapor / Leier</x:v>
      </x:c>
      <x:c r="E121" s="19" t="str">
        <x:v>Födémpalló fugák zsaluzása és kiöntése</x:v>
      </x:c>
      <x:c r="F121" s="19" t="str">
        <x:v>fm</x:v>
      </x:c>
      <x:c r="G121" s="113" t="n">
        <x:v>1700</x:v>
      </x:c>
      <x:c r="H121" s="113" t="n">
        <x:v>2600</x:v>
      </x:c>
      <x:c r="I121" s="114" t="n">
        <x:v>0.5</x:v>
      </x:c>
      <x:c r="J121" s="113" t="n">
        <x:f>ROUND(H121*I121/Beallitasok!$B$7,0)*Beallitasok!$B$7</x:f>
        <x:v>1300</x:v>
      </x:c>
      <x:c r="K121" s="19" t="n">
        <x:v>2</x:v>
      </x:c>
      <x:c r="L121" s="19" t="n">
        <x:v>1</x:v>
      </x:c>
      <x:c r="M121" s="113" t="n">
        <x:f>K121*Beallitasok!$B$2+L121*Beallitasok!$B$3</x:f>
        <x:v>95000</x:v>
      </x:c>
      <x:c r="N121" s="115" t="n">
        <x:v>65</x:v>
      </x:c>
      <x:c r="O121" s="113" t="n">
        <x:f>IFERROR(M121/N121,"")</x:f>
        <x:v>1461.5384615384614</x:v>
      </x:c>
      <x:c r="P121" s="116" t="n">
        <x:f>Beallitasok!$B$5</x:f>
        <x:v>1.15</x:v>
      </x:c>
      <x:c r="Q121" s="113" t="n">
        <x:f>IFERROR(ROUND(O121*P121/Beallitasok!$B$7,0)*Beallitasok!$B$7,"")</x:f>
        <x:v>1700</x:v>
      </x:c>
      <x:c r="R121" s="113"/>
      <x:c r="S121" s="113" t="n">
        <x:f>IF(Q121="","",Q121+IF(R121="",0,R121))</x:f>
        <x:v>1700</x:v>
      </x:c>
      <x:c r="T121" s="113" t="n">
        <x:f>M121*Beallitasok!$B$4</x:f>
        <x:v>475000</x:v>
      </x:c>
      <x:c r="U121" s="115" t="n">
        <x:f>N121*Beallitasok!$B$4</x:f>
        <x:v>325</x:v>
      </x:c>
      <x:c r="V121" s="113"/>
      <x:c r="W121" s="113" t="str">
        <x:f>IF(V121="","",V121-J121)</x:f>
      </x:c>
      <x:c r="X121" s="19"/>
      <x:c r="Y121" s="113" t="n">
        <x:f>IF(S121="","",J121-S121)</x:f>
        <x:v>-400</x:v>
      </x:c>
      <x:c r="Z121" s="19" t="str">
        <x:f>IF(AA121="IGEN",IF(J121&lt;S121,"GÉPIGÉNY + KRITIKUS: gépdíj nélkül is alacsony a plafon","GÉPIGÉNY: a saját egységár gépdíj nélkül értendő"),IF(J121&lt;S121,"KRITIKUS: alvállalkozói plafon &lt; saját terhelt egységköltség",IF(J121&lt;S121*Beallitasok!$B$6,"SZŰK TARTALÉK: 10% alatti tartalék","OK")))</x:f>
        <x:v>KRITIKUS: alvállalkozói plafon &lt; saját terhelt egységköltség</x:v>
      </x:c>
      <x:c r="AA121" s="19" t="str">
        <x:v>NEM</x:v>
      </x:c>
      <x:c r="AB121" s="19" t="str">
        <x:v>https://www.leier.hu/uploads/files/Leier-eloregyartott-betonelemek-alkalmazattechnika-64991c9d377e3.pdf</x:v>
      </x:c>
      <x:c r="AC121" s="19" t="str">
        <x:v>Gyártói beépítési lépések + mérnöki brigádtermelékenység</x:v>
      </x:c>
      <x:c r="AD121" s="19" t="str">
        <x:v>Daru, szállítás, emelőeszköz, beton és gyártói szerelési terv külön költség.</x:v>
      </x:c>
    </x:row>
    <x:row r="122">
      <x:c r="A122" s="19" t="str">
        <x:v>AR-0121</x:v>
      </x:c>
      <x:c r="B122" s="19" t="str">
        <x:v>06 Előregyártott beton</x:v>
      </x:c>
      <x:c r="C122" s="19" t="str">
        <x:v>Liapor / Leier fal- és födémszerelés</x:v>
      </x:c>
      <x:c r="D122" s="19" t="str">
        <x:v>Liapor / Leier</x:v>
      </x:c>
      <x:c r="E122" s="19" t="str">
        <x:v>Előregyártott vasbeton lépcső beemelése és beállítása</x:v>
      </x:c>
      <x:c r="F122" s="19" t="str">
        <x:v>db</x:v>
      </x:c>
      <x:c r="G122" s="113" t="n">
        <x:v>110000</x:v>
      </x:c>
      <x:c r="H122" s="113" t="n">
        <x:v>160000</x:v>
      </x:c>
      <x:c r="I122" s="114" t="n">
        <x:v>0.5</x:v>
      </x:c>
      <x:c r="J122" s="113" t="n">
        <x:f>ROUND(H122*I122/Beallitasok!$B$7,0)*Beallitasok!$B$7</x:f>
        <x:v>80000</x:v>
      </x:c>
      <x:c r="K122" s="19" t="n">
        <x:v>3</x:v>
      </x:c>
      <x:c r="L122" s="19" t="n">
        <x:v>2</x:v>
      </x:c>
      <x:c r="M122" s="113" t="n">
        <x:f>K122*Beallitasok!$B$2+L122*Beallitasok!$B$3</x:f>
        <x:v>155000</x:v>
      </x:c>
      <x:c r="N122" s="115" t="n">
        <x:v>1</x:v>
      </x:c>
      <x:c r="O122" s="113" t="n">
        <x:f>IFERROR(M122/N122,"")</x:f>
        <x:v>155000</x:v>
      </x:c>
      <x:c r="P122" s="116" t="n">
        <x:f>Beallitasok!$B$5</x:f>
        <x:v>1.15</x:v>
      </x:c>
      <x:c r="Q122" s="113" t="n">
        <x:f>IFERROR(ROUND(O122*P122/Beallitasok!$B$7,0)*Beallitasok!$B$7,"")</x:f>
        <x:v>178250</x:v>
      </x:c>
      <x:c r="R122" s="113"/>
      <x:c r="S122" s="113" t="n">
        <x:f>IF(Q122="","",Q122+IF(R122="",0,R122))</x:f>
        <x:v>178250</x:v>
      </x:c>
      <x:c r="T122" s="113" t="n">
        <x:f>M122*Beallitasok!$B$4</x:f>
        <x:v>775000</x:v>
      </x:c>
      <x:c r="U122" s="115" t="n">
        <x:f>N122*Beallitasok!$B$4</x:f>
        <x:v>5</x:v>
      </x:c>
      <x:c r="V122" s="113"/>
      <x:c r="W122" s="113" t="str">
        <x:f>IF(V122="","",V122-J122)</x:f>
      </x:c>
      <x:c r="X122" s="19"/>
      <x:c r="Y122" s="113" t="n">
        <x:f>IF(S122="","",J122-S122)</x:f>
        <x:v>-98250</x:v>
      </x:c>
      <x:c r="Z122" s="19" t="str">
        <x:f>IF(AA122="IGEN",IF(J122&lt;S122,"GÉPIGÉNY + KRITIKUS: gépdíj nélkül is alacsony a plafon","GÉPIGÉNY: a saját egységár gépdíj nélkül értendő"),IF(J122&lt;S122,"KRITIKUS: alvállalkozói plafon &lt; saját terhelt egységköltség",IF(J122&lt;S122*Beallitasok!$B$6,"SZŰK TARTALÉK: 10% alatti tartalék","OK")))</x:f>
        <x:v>GÉPIGÉNY + KRITIKUS: gépdíj nélkül is alacsony a plafon</x:v>
      </x:c>
      <x:c r="AA122" s="19" t="str">
        <x:v>IGEN</x:v>
      </x:c>
      <x:c r="AB122" s="19" t="str">
        <x:v>https://www.leier.hu/uploads/files/Leier-eloregyartott-betonelemek-alkalmazattechnika-64991c9d377e3.pdf</x:v>
      </x:c>
      <x:c r="AC122" s="19" t="str">
        <x:v>Gyártói beépítési lépések + mérnöki brigádtermelékenység</x:v>
      </x:c>
      <x:c r="AD122" s="19" t="str">
        <x:v>Daru, szállítás, emelőeszköz, beton és gyártói szerelési terv külön költség.</x:v>
      </x:c>
    </x:row>
    <x:row r="123">
      <x:c r="A123" s="19" t="str">
        <x:v>AR-0122</x:v>
      </x:c>
      <x:c r="B123" s="19" t="str">
        <x:v>06 Előregyártott beton</x:v>
      </x:c>
      <x:c r="C123" s="19" t="str">
        <x:v>Liapor / Leier fal- és födémszerelés</x:v>
      </x:c>
      <x:c r="D123" s="19" t="str">
        <x:v>Liapor / Leier</x:v>
      </x:c>
      <x:c r="E123" s="19" t="str">
        <x:v>Paneljavító habarcsos felületjavítás 0,1 m²-ig</x:v>
      </x:c>
      <x:c r="F123" s="19" t="str">
        <x:v>db</x:v>
      </x:c>
      <x:c r="G123" s="113" t="n">
        <x:v>3500</x:v>
      </x:c>
      <x:c r="H123" s="113" t="n">
        <x:v>5200</x:v>
      </x:c>
      <x:c r="I123" s="114" t="n">
        <x:v>0.55</x:v>
      </x:c>
      <x:c r="J123" s="113" t="n">
        <x:f>ROUND(H123*I123/Beallitasok!$B$7,0)*Beallitasok!$B$7</x:f>
        <x:v>2850</x:v>
      </x:c>
      <x:c r="K123" s="19" t="n">
        <x:v>1</x:v>
      </x:c>
      <x:c r="L123" s="19" t="n">
        <x:v>1</x:v>
      </x:c>
      <x:c r="M123" s="113" t="n">
        <x:f>K123*Beallitasok!$B$2+L123*Beallitasok!$B$3</x:f>
        <x:v>60000</x:v>
      </x:c>
      <x:c r="N123" s="115" t="n">
        <x:v>18</x:v>
      </x:c>
      <x:c r="O123" s="113" t="n">
        <x:f>IFERROR(M123/N123,"")</x:f>
        <x:v>3333.3333333333335</x:v>
      </x:c>
      <x:c r="P123" s="116" t="n">
        <x:f>Beallitasok!$B$5</x:f>
        <x:v>1.15</x:v>
      </x:c>
      <x:c r="Q123" s="113" t="n">
        <x:f>IFERROR(ROUND(O123*P123/Beallitasok!$B$7,0)*Beallitasok!$B$7,"")</x:f>
        <x:v>3850</x:v>
      </x:c>
      <x:c r="R123" s="113"/>
      <x:c r="S123" s="113" t="n">
        <x:f>IF(Q123="","",Q123+IF(R123="",0,R123))</x:f>
        <x:v>3850</x:v>
      </x:c>
      <x:c r="T123" s="113" t="n">
        <x:f>M123*Beallitasok!$B$4</x:f>
        <x:v>300000</x:v>
      </x:c>
      <x:c r="U123" s="115" t="n">
        <x:f>N123*Beallitasok!$B$4</x:f>
        <x:v>90</x:v>
      </x:c>
      <x:c r="V123" s="113"/>
      <x:c r="W123" s="113" t="str">
        <x:f>IF(V123="","",V123-J123)</x:f>
      </x:c>
      <x:c r="X123" s="19"/>
      <x:c r="Y123" s="113" t="n">
        <x:f>IF(S123="","",J123-S123)</x:f>
        <x:v>-1000</x:v>
      </x:c>
      <x:c r="Z123" s="19" t="str">
        <x:f>IF(AA123="IGEN",IF(J123&lt;S123,"GÉPIGÉNY + KRITIKUS: gépdíj nélkül is alacsony a plafon","GÉPIGÉNY: a saját egységár gépdíj nélkül értendő"),IF(J123&lt;S123,"KRITIKUS: alvállalkozói plafon &lt; saját terhelt egységköltség",IF(J123&lt;S123*Beallitasok!$B$6,"SZŰK TARTALÉK: 10% alatti tartalék","OK")))</x:f>
        <x:v>KRITIKUS: alvállalkozói plafon &lt; saját terhelt egységköltség</x:v>
      </x:c>
      <x:c r="AA123" s="19" t="str">
        <x:v>NEM</x:v>
      </x:c>
      <x:c r="AB123" s="19" t="str">
        <x:v>https://www.leier.hu/uploads/files/Leier-eloregyartott-betonelemek-alkalmazattechnika-64991c9d377e3.pdf</x:v>
      </x:c>
      <x:c r="AC123" s="19" t="str">
        <x:v>Gyártói beépítési lépések + mérnöki brigádtermelékenység</x:v>
      </x:c>
      <x:c r="AD123" s="19" t="str">
        <x:v>Daru, szállítás, emelőeszköz, beton és gyártói szerelési terv külön költség.</x:v>
      </x:c>
    </x:row>
    <x:row r="124">
      <x:c r="A124" s="19" t="str">
        <x:v>AR-0123</x:v>
      </x:c>
      <x:c r="B124" s="19" t="str">
        <x:v>06 Előregyártott beton</x:v>
      </x:c>
      <x:c r="C124" s="19" t="str">
        <x:v>Liapor / Leier fal- és födémszerelés</x:v>
      </x:c>
      <x:c r="D124" s="19" t="str">
        <x:v>Liapor / Leier</x:v>
      </x:c>
      <x:c r="E124" s="19" t="str">
        <x:v>Daru alatti elemfogadás és kötözői segédmunka</x:v>
      </x:c>
      <x:c r="F124" s="19" t="str">
        <x:v>óra</x:v>
      </x:c>
      <x:c r="G124" s="113" t="n">
        <x:v>12000</x:v>
      </x:c>
      <x:c r="H124" s="113" t="n">
        <x:v>17000</x:v>
      </x:c>
      <x:c r="I124" s="114" t="n">
        <x:v>0.6</x:v>
      </x:c>
      <x:c r="J124" s="113" t="n">
        <x:f>ROUND(H124*I124/Beallitasok!$B$7,0)*Beallitasok!$B$7</x:f>
        <x:v>10200</x:v>
      </x:c>
      <x:c r="K124" s="19" t="n">
        <x:v>2</x:v>
      </x:c>
      <x:c r="L124" s="19" t="n">
        <x:v>2</x:v>
      </x:c>
      <x:c r="M124" s="113" t="n">
        <x:f>K124*Beallitasok!$B$2+L124*Beallitasok!$B$3</x:f>
        <x:v>120000</x:v>
      </x:c>
      <x:c r="N124" s="115" t="n">
        <x:v>8</x:v>
      </x:c>
      <x:c r="O124" s="113" t="n">
        <x:f>IFERROR(M124/N124,"")</x:f>
        <x:v>15000</x:v>
      </x:c>
      <x:c r="P124" s="116" t="n">
        <x:f>Beallitasok!$B$5</x:f>
        <x:v>1.15</x:v>
      </x:c>
      <x:c r="Q124" s="113" t="n">
        <x:f>IFERROR(ROUND(O124*P124/Beallitasok!$B$7,0)*Beallitasok!$B$7,"")</x:f>
        <x:v>17250</x:v>
      </x:c>
      <x:c r="R124" s="113"/>
      <x:c r="S124" s="113" t="n">
        <x:f>IF(Q124="","",Q124+IF(R124="",0,R124))</x:f>
        <x:v>17250</x:v>
      </x:c>
      <x:c r="T124" s="113" t="n">
        <x:f>M124*Beallitasok!$B$4</x:f>
        <x:v>600000</x:v>
      </x:c>
      <x:c r="U124" s="115" t="n">
        <x:f>N124*Beallitasok!$B$4</x:f>
        <x:v>40</x:v>
      </x:c>
      <x:c r="V124" s="113"/>
      <x:c r="W124" s="113" t="str">
        <x:f>IF(V124="","",V124-J124)</x:f>
      </x:c>
      <x:c r="X124" s="19"/>
      <x:c r="Y124" s="113" t="n">
        <x:f>IF(S124="","",J124-S124)</x:f>
        <x:v>-7050</x:v>
      </x:c>
      <x:c r="Z124" s="19" t="str">
        <x:f>IF(AA124="IGEN",IF(J124&lt;S124,"GÉPIGÉNY + KRITIKUS: gépdíj nélkül is alacsony a plafon","GÉPIGÉNY: a saját egységár gépdíj nélkül értendő"),IF(J124&lt;S124,"KRITIKUS: alvállalkozói plafon &lt; saját terhelt egységköltség",IF(J124&lt;S124*Beallitasok!$B$6,"SZŰK TARTALÉK: 10% alatti tartalék","OK")))</x:f>
        <x:v>GÉPIGÉNY + KRITIKUS: gépdíj nélkül is alacsony a plafon</x:v>
      </x:c>
      <x:c r="AA124" s="19" t="str">
        <x:v>IGEN</x:v>
      </x:c>
      <x:c r="AB124" s="19" t="str">
        <x:v>https://www.leier.hu/uploads/files/Leier-eloregyartott-betonelemek-alkalmazattechnika-64991c9d377e3.pdf</x:v>
      </x:c>
      <x:c r="AC124" s="19" t="str">
        <x:v>Gyártói beépítési lépések + mérnöki brigádtermelékenység</x:v>
      </x:c>
      <x:c r="AD124" s="19" t="str">
        <x:v>Daru, szállítás, emelőeszköz, beton és gyártói szerelési terv külön költség.</x:v>
      </x:c>
    </x:row>
    <x:row r="125">
      <x:c r="A125" s="19" t="str">
        <x:v>AR-0124</x:v>
      </x:c>
      <x:c r="B125" s="19" t="str">
        <x:v>06 Előregyártott beton</x:v>
      </x:c>
      <x:c r="C125" s="19" t="str">
        <x:v>Liapor / Leier fal- és födémszerelés</x:v>
      </x:c>
      <x:c r="D125" s="19" t="str">
        <x:v>Liapor / Leier</x:v>
      </x:c>
      <x:c r="E125" s="19" t="str">
        <x:v>Panelcsomag kitárolása és szerelési sorrendbe rendezése</x:v>
      </x:c>
      <x:c r="F125" s="19" t="str">
        <x:v>db elem</x:v>
      </x:c>
      <x:c r="G125" s="113" t="n">
        <x:v>2400</x:v>
      </x:c>
      <x:c r="H125" s="113" t="n">
        <x:v>3600</x:v>
      </x:c>
      <x:c r="I125" s="114" t="n">
        <x:v>0.55</x:v>
      </x:c>
      <x:c r="J125" s="113" t="n">
        <x:f>ROUND(H125*I125/Beallitasok!$B$7,0)*Beallitasok!$B$7</x:f>
        <x:v>2000</x:v>
      </x:c>
      <x:c r="K125" s="19" t="n">
        <x:v>1</x:v>
      </x:c>
      <x:c r="L125" s="19" t="n">
        <x:v>3</x:v>
      </x:c>
      <x:c r="M125" s="113" t="n">
        <x:f>K125*Beallitasok!$B$2+L125*Beallitasok!$B$3</x:f>
        <x:v>110000</x:v>
      </x:c>
      <x:c r="N125" s="115" t="n">
        <x:v>25</x:v>
      </x:c>
      <x:c r="O125" s="113" t="n">
        <x:f>IFERROR(M125/N125,"")</x:f>
        <x:v>4400</x:v>
      </x:c>
      <x:c r="P125" s="116" t="n">
        <x:f>Beallitasok!$B$5</x:f>
        <x:v>1.15</x:v>
      </x:c>
      <x:c r="Q125" s="113" t="n">
        <x:f>IFERROR(ROUND(O125*P125/Beallitasok!$B$7,0)*Beallitasok!$B$7,"")</x:f>
        <x:v>5050</x:v>
      </x:c>
      <x:c r="R125" s="113"/>
      <x:c r="S125" s="113" t="n">
        <x:f>IF(Q125="","",Q125+IF(R125="",0,R125))</x:f>
        <x:v>5050</x:v>
      </x:c>
      <x:c r="T125" s="113" t="n">
        <x:f>M125*Beallitasok!$B$4</x:f>
        <x:v>550000</x:v>
      </x:c>
      <x:c r="U125" s="115" t="n">
        <x:f>N125*Beallitasok!$B$4</x:f>
        <x:v>125</x:v>
      </x:c>
      <x:c r="V125" s="113"/>
      <x:c r="W125" s="113" t="str">
        <x:f>IF(V125="","",V125-J125)</x:f>
      </x:c>
      <x:c r="X125" s="19"/>
      <x:c r="Y125" s="113" t="n">
        <x:f>IF(S125="","",J125-S125)</x:f>
        <x:v>-3050</x:v>
      </x:c>
      <x:c r="Z125" s="19" t="str">
        <x:f>IF(AA125="IGEN",IF(J125&lt;S125,"GÉPIGÉNY + KRITIKUS: gépdíj nélkül is alacsony a plafon","GÉPIGÉNY: a saját egységár gépdíj nélkül értendő"),IF(J125&lt;S125,"KRITIKUS: alvállalkozói plafon &lt; saját terhelt egységköltség",IF(J125&lt;S125*Beallitasok!$B$6,"SZŰK TARTALÉK: 10% alatti tartalék","OK")))</x:f>
        <x:v>KRITIKUS: alvállalkozói plafon &lt; saját terhelt egységköltség</x:v>
      </x:c>
      <x:c r="AA125" s="19" t="str">
        <x:v>NEM</x:v>
      </x:c>
      <x:c r="AB125" s="19" t="str">
        <x:v>https://www.leier.hu/uploads/files/Leier-eloregyartott-betonelemek-alkalmazattechnika-64991c9d377e3.pdf</x:v>
      </x:c>
      <x:c r="AC125" s="19" t="str">
        <x:v>Gyártói beépítési lépések + mérnöki brigádtermelékenység</x:v>
      </x:c>
      <x:c r="AD125" s="19" t="str">
        <x:v>Daru, szállítás, emelőeszköz, beton és gyártói szerelési terv külön költség.</x:v>
      </x:c>
    </x:row>
    <x:row r="126">
      <x:c r="A126" s="19" t="str">
        <x:v>AR-0125</x:v>
      </x:c>
      <x:c r="B126" s="19" t="str">
        <x:v>06 Előregyártott beton</x:v>
      </x:c>
      <x:c r="C126" s="19" t="str">
        <x:v>Liapor / Leier fal- és födémszerelés</x:v>
      </x:c>
      <x:c r="D126" s="19" t="str">
        <x:v>Liapor / Leier</x:v>
      </x:c>
      <x:c r="E126" s="19" t="str">
        <x:v>Előregyártott falpanel utólagos magfúrásának segédmunkája</x:v>
      </x:c>
      <x:c r="F126" s="19" t="str">
        <x:v>db</x:v>
      </x:c>
      <x:c r="G126" s="113" t="n">
        <x:v>6500</x:v>
      </x:c>
      <x:c r="H126" s="113" t="n">
        <x:v>9500</x:v>
      </x:c>
      <x:c r="I126" s="114" t="n">
        <x:v>0.6</x:v>
      </x:c>
      <x:c r="J126" s="113" t="n">
        <x:f>ROUND(H126*I126/Beallitasok!$B$7,0)*Beallitasok!$B$7</x:f>
        <x:v>5700</x:v>
      </x:c>
      <x:c r="K126" s="19" t="n">
        <x:v>1</x:v>
      </x:c>
      <x:c r="L126" s="19" t="n">
        <x:v>1</x:v>
      </x:c>
      <x:c r="M126" s="113" t="n">
        <x:f>K126*Beallitasok!$B$2+L126*Beallitasok!$B$3</x:f>
        <x:v>60000</x:v>
      </x:c>
      <x:c r="N126" s="115" t="n">
        <x:v>8</x:v>
      </x:c>
      <x:c r="O126" s="113" t="n">
        <x:f>IFERROR(M126/N126,"")</x:f>
        <x:v>7500</x:v>
      </x:c>
      <x:c r="P126" s="116" t="n">
        <x:f>Beallitasok!$B$5</x:f>
        <x:v>1.15</x:v>
      </x:c>
      <x:c r="Q126" s="113" t="n">
        <x:f>IFERROR(ROUND(O126*P126/Beallitasok!$B$7,0)*Beallitasok!$B$7,"")</x:f>
        <x:v>8650</x:v>
      </x:c>
      <x:c r="R126" s="113"/>
      <x:c r="S126" s="113" t="n">
        <x:f>IF(Q126="","",Q126+IF(R126="",0,R126))</x:f>
        <x:v>8650</x:v>
      </x:c>
      <x:c r="T126" s="113" t="n">
        <x:f>M126*Beallitasok!$B$4</x:f>
        <x:v>300000</x:v>
      </x:c>
      <x:c r="U126" s="115" t="n">
        <x:f>N126*Beallitasok!$B$4</x:f>
        <x:v>40</x:v>
      </x:c>
      <x:c r="V126" s="113"/>
      <x:c r="W126" s="113" t="str">
        <x:f>IF(V126="","",V126-J126)</x:f>
      </x:c>
      <x:c r="X126" s="19"/>
      <x:c r="Y126" s="113" t="n">
        <x:f>IF(S126="","",J126-S126)</x:f>
        <x:v>-2950</x:v>
      </x:c>
      <x:c r="Z126" s="19" t="str">
        <x:f>IF(AA126="IGEN",IF(J126&lt;S126,"GÉPIGÉNY + KRITIKUS: gépdíj nélkül is alacsony a plafon","GÉPIGÉNY: a saját egységár gépdíj nélkül értendő"),IF(J126&lt;S126,"KRITIKUS: alvállalkozói plafon &lt; saját terhelt egységköltség",IF(J126&lt;S126*Beallitasok!$B$6,"SZŰK TARTALÉK: 10% alatti tartalék","OK")))</x:f>
        <x:v>KRITIKUS: alvállalkozói plafon &lt; saját terhelt egységköltség</x:v>
      </x:c>
      <x:c r="AA126" s="19" t="str">
        <x:v>NEM</x:v>
      </x:c>
      <x:c r="AB126" s="19" t="str">
        <x:v>https://www.leier.hu/uploads/files/Leier-eloregyartott-betonelemek-alkalmazattechnika-64991c9d377e3.pdf</x:v>
      </x:c>
      <x:c r="AC126" s="19" t="str">
        <x:v>Gyártói beépítési lépések + mérnöki brigádtermelékenység</x:v>
      </x:c>
      <x:c r="AD126" s="19" t="str">
        <x:v>Daru, szállítás, emelőeszköz, beton és gyártói szerelési terv külön költség.</x:v>
      </x:c>
    </x:row>
    <x:row r="127">
      <x:c r="A127" s="19" t="str">
        <x:v>AR-0126</x:v>
      </x:c>
      <x:c r="B127" s="19" t="str">
        <x:v>06 Előregyártott beton</x:v>
      </x:c>
      <x:c r="C127" s="19" t="str">
        <x:v>Liapor / Leier fal- és födémszerelés</x:v>
      </x:c>
      <x:c r="D127" s="19" t="str">
        <x:v>Liapor / Leier</x:v>
      </x:c>
      <x:c r="E127" s="19" t="str">
        <x:v>Panelrendszer átadás előtti geometriai ellenőrzése</x:v>
      </x:c>
      <x:c r="F127" s="19" t="str">
        <x:v>alkalom</x:v>
      </x:c>
      <x:c r="G127" s="113" t="n">
        <x:v>65000</x:v>
      </x:c>
      <x:c r="H127" s="113" t="n">
        <x:v>95000</x:v>
      </x:c>
      <x:c r="I127" s="114" t="n">
        <x:v>0.6</x:v>
      </x:c>
      <x:c r="J127" s="113" t="n">
        <x:f>ROUND(H127*I127/Beallitasok!$B$7,0)*Beallitasok!$B$7</x:f>
        <x:v>57000</x:v>
      </x:c>
      <x:c r="K127" s="19" t="n">
        <x:v>2</x:v>
      </x:c>
      <x:c r="L127" s="19" t="n">
        <x:v>1</x:v>
      </x:c>
      <x:c r="M127" s="113" t="n">
        <x:f>K127*Beallitasok!$B$2+L127*Beallitasok!$B$3</x:f>
        <x:v>95000</x:v>
      </x:c>
      <x:c r="N127" s="115" t="n">
        <x:v>1</x:v>
      </x:c>
      <x:c r="O127" s="113" t="n">
        <x:f>IFERROR(M127/N127,"")</x:f>
        <x:v>95000</x:v>
      </x:c>
      <x:c r="P127" s="116" t="n">
        <x:f>Beallitasok!$B$5</x:f>
        <x:v>1.15</x:v>
      </x:c>
      <x:c r="Q127" s="113" t="n">
        <x:f>IFERROR(ROUND(O127*P127/Beallitasok!$B$7,0)*Beallitasok!$B$7,"")</x:f>
        <x:v>109250</x:v>
      </x:c>
      <x:c r="R127" s="113"/>
      <x:c r="S127" s="113" t="n">
        <x:f>IF(Q127="","",Q127+IF(R127="",0,R127))</x:f>
        <x:v>109250</x:v>
      </x:c>
      <x:c r="T127" s="113" t="n">
        <x:f>M127*Beallitasok!$B$4</x:f>
        <x:v>475000</x:v>
      </x:c>
      <x:c r="U127" s="115" t="n">
        <x:f>N127*Beallitasok!$B$4</x:f>
        <x:v>5</x:v>
      </x:c>
      <x:c r="V127" s="113"/>
      <x:c r="W127" s="113" t="str">
        <x:f>IF(V127="","",V127-J127)</x:f>
      </x:c>
      <x:c r="X127" s="19"/>
      <x:c r="Y127" s="113" t="n">
        <x:f>IF(S127="","",J127-S127)</x:f>
        <x:v>-52250</x:v>
      </x:c>
      <x:c r="Z127" s="19" t="str">
        <x:f>IF(AA127="IGEN",IF(J127&lt;S127,"GÉPIGÉNY + KRITIKUS: gépdíj nélkül is alacsony a plafon","GÉPIGÉNY: a saját egységár gépdíj nélkül értendő"),IF(J127&lt;S127,"KRITIKUS: alvállalkozói plafon &lt; saját terhelt egységköltség",IF(J127&lt;S127*Beallitasok!$B$6,"SZŰK TARTALÉK: 10% alatti tartalék","OK")))</x:f>
        <x:v>KRITIKUS: alvállalkozói plafon &lt; saját terhelt egységköltség</x:v>
      </x:c>
      <x:c r="AA127" s="19" t="str">
        <x:v>NEM</x:v>
      </x:c>
      <x:c r="AB127" s="19" t="str">
        <x:v>https://www.leier.hu/uploads/files/Leier-eloregyartott-betonelemek-alkalmazattechnika-64991c9d377e3.pdf</x:v>
      </x:c>
      <x:c r="AC127" s="19" t="str">
        <x:v>Gyártói beépítési lépések + mérnöki brigádtermelékenység</x:v>
      </x:c>
      <x:c r="AD127" s="19" t="str">
        <x:v>Daru, szállítás, emelőeszköz, beton és gyártói szerelési terv külön költség.</x:v>
      </x:c>
    </x:row>
    <x:row r="128">
      <x:c r="A128" s="19" t="str">
        <x:v>AR-0127</x:v>
      </x:c>
      <x:c r="B128" s="19" t="str">
        <x:v>07 Könnyűszerkezet</x:v>
      </x:c>
      <x:c r="C128" s="19" t="str">
        <x:v>Favázas szerkezet</x:v>
      </x:c>
      <x:c r="D128" s="19" t="str">
        <x:v>Faváz</x:v>
      </x:c>
      <x:c r="E128" s="19" t="str">
        <x:v>Talpszelemen fogadósík ellenőrzése és jelölése</x:v>
      </x:c>
      <x:c r="F128" s="19" t="str">
        <x:v>fm</x:v>
      </x:c>
      <x:c r="G128" s="113" t="n">
        <x:v>900</x:v>
      </x:c>
      <x:c r="H128" s="113" t="n">
        <x:v>1400</x:v>
      </x:c>
      <x:c r="I128" s="114" t="n">
        <x:v>0.5</x:v>
      </x:c>
      <x:c r="J128" s="113" t="n">
        <x:f>ROUND(H128*I128/Beallitasok!$B$7,0)*Beallitasok!$B$7</x:f>
        <x:v>700</x:v>
      </x:c>
      <x:c r="K128" s="19" t="n">
        <x:v>2</x:v>
      </x:c>
      <x:c r="L128" s="19" t="n">
        <x:v>1</x:v>
      </x:c>
      <x:c r="M128" s="113" t="n">
        <x:f>K128*Beallitasok!$B$2+L128*Beallitasok!$B$3</x:f>
        <x:v>95000</x:v>
      </x:c>
      <x:c r="N128" s="115" t="n">
        <x:v>100</x:v>
      </x:c>
      <x:c r="O128" s="113" t="n">
        <x:f>IFERROR(M128/N128,"")</x:f>
        <x:v>950</x:v>
      </x:c>
      <x:c r="P128" s="116" t="n">
        <x:f>Beallitasok!$B$5</x:f>
        <x:v>1.15</x:v>
      </x:c>
      <x:c r="Q128" s="113" t="n">
        <x:f>IFERROR(ROUND(O128*P128/Beallitasok!$B$7,0)*Beallitasok!$B$7,"")</x:f>
        <x:v>1100</x:v>
      </x:c>
      <x:c r="R128" s="113"/>
      <x:c r="S128" s="113" t="n">
        <x:f>IF(Q128="","",Q128+IF(R128="",0,R128))</x:f>
        <x:v>1100</x:v>
      </x:c>
      <x:c r="T128" s="113" t="n">
        <x:f>M128*Beallitasok!$B$4</x:f>
        <x:v>475000</x:v>
      </x:c>
      <x:c r="U128" s="115" t="n">
        <x:f>N128*Beallitasok!$B$4</x:f>
        <x:v>500</x:v>
      </x:c>
      <x:c r="V128" s="113"/>
      <x:c r="W128" s="113" t="str">
        <x:f>IF(V128="","",V128-J128)</x:f>
      </x:c>
      <x:c r="X128" s="19"/>
      <x:c r="Y128" s="113" t="n">
        <x:f>IF(S128="","",J128-S128)</x:f>
        <x:v>-400</x:v>
      </x:c>
      <x:c r="Z128" s="19" t="str">
        <x:f>IF(AA128="IGEN",IF(J128&lt;S128,"GÉPIGÉNY + KRITIKUS: gépdíj nélkül is alacsony a plafon","GÉPIGÉNY: a saját egységár gépdíj nélkül értendő"),IF(J128&lt;S128,"KRITIKUS: alvállalkozói plafon &lt; saját terhelt egységköltség",IF(J128&lt;S128*Beallitasok!$B$6,"SZŰK TARTALÉK: 10% alatti tartalék","OK")))</x:f>
        <x:v>KRITIKUS: alvállalkozói plafon &lt; saját terhelt egységköltség</x:v>
      </x:c>
      <x:c r="AA128" s="19" t="str">
        <x:v>NEM</x:v>
      </x:c>
      <x:c r="AB128" s="19" t="str">
        <x:v>https://joszaki.hu/arak/konnyuszerkezetes-haz-epites</x:v>
      </x:c>
      <x:c r="AC128" s="19" t="str">
        <x:v>2026 könnyűszerkezetes piac + munkafázisokra bontott norma</x:v>
      </x:c>
      <x:c r="AD128" s="19" t="str">
        <x:v>Faanyag, kötőelem, lapanyag, fólia és emelőgép nincs benne.</x:v>
      </x:c>
    </x:row>
    <x:row r="129">
      <x:c r="A129" s="19" t="str">
        <x:v>AR-0128</x:v>
      </x:c>
      <x:c r="B129" s="19" t="str">
        <x:v>07 Könnyűszerkezet</x:v>
      </x:c>
      <x:c r="C129" s="19" t="str">
        <x:v>Favázas szerkezet</x:v>
      </x:c>
      <x:c r="D129" s="19" t="str">
        <x:v>Faváz</x:v>
      </x:c>
      <x:c r="E129" s="19" t="str">
        <x:v>Talpszelemen alatti vízszigetelő sáv elhelyezése</x:v>
      </x:c>
      <x:c r="F129" s="19" t="str">
        <x:v>fm</x:v>
      </x:c>
      <x:c r="G129" s="113" t="n">
        <x:v>650</x:v>
      </x:c>
      <x:c r="H129" s="113" t="n">
        <x:v>1000</x:v>
      </x:c>
      <x:c r="I129" s="114" t="n">
        <x:v>0.5</x:v>
      </x:c>
      <x:c r="J129" s="113" t="n">
        <x:f>ROUND(H129*I129/Beallitasok!$B$7,0)*Beallitasok!$B$7</x:f>
        <x:v>500</x:v>
      </x:c>
      <x:c r="K129" s="19" t="n">
        <x:v>2</x:v>
      </x:c>
      <x:c r="L129" s="19" t="n">
        <x:v>1</x:v>
      </x:c>
      <x:c r="M129" s="113" t="n">
        <x:f>K129*Beallitasok!$B$2+L129*Beallitasok!$B$3</x:f>
        <x:v>95000</x:v>
      </x:c>
      <x:c r="N129" s="115" t="n">
        <x:v>150</x:v>
      </x:c>
      <x:c r="O129" s="113" t="n">
        <x:f>IFERROR(M129/N129,"")</x:f>
        <x:v>633.3333333333334</x:v>
      </x:c>
      <x:c r="P129" s="116" t="n">
        <x:f>Beallitasok!$B$5</x:f>
        <x:v>1.15</x:v>
      </x:c>
      <x:c r="Q129" s="113" t="n">
        <x:f>IFERROR(ROUND(O129*P129/Beallitasok!$B$7,0)*Beallitasok!$B$7,"")</x:f>
        <x:v>750</x:v>
      </x:c>
      <x:c r="R129" s="113"/>
      <x:c r="S129" s="113" t="n">
        <x:f>IF(Q129="","",Q129+IF(R129="",0,R129))</x:f>
        <x:v>750</x:v>
      </x:c>
      <x:c r="T129" s="113" t="n">
        <x:f>M129*Beallitasok!$B$4</x:f>
        <x:v>475000</x:v>
      </x:c>
      <x:c r="U129" s="115" t="n">
        <x:f>N129*Beallitasok!$B$4</x:f>
        <x:v>750</x:v>
      </x:c>
      <x:c r="V129" s="113"/>
      <x:c r="W129" s="113" t="str">
        <x:f>IF(V129="","",V129-J129)</x:f>
      </x:c>
      <x:c r="X129" s="19"/>
      <x:c r="Y129" s="113" t="n">
        <x:f>IF(S129="","",J129-S129)</x:f>
        <x:v>-250</x:v>
      </x:c>
      <x:c r="Z129" s="19" t="str">
        <x:f>IF(AA129="IGEN",IF(J129&lt;S129,"GÉPIGÉNY + KRITIKUS: gépdíj nélkül is alacsony a plafon","GÉPIGÉNY: a saját egységár gépdíj nélkül értendő"),IF(J129&lt;S129,"KRITIKUS: alvállalkozói plafon &lt; saját terhelt egységköltség",IF(J129&lt;S129*Beallitasok!$B$6,"SZŰK TARTALÉK: 10% alatti tartalék","OK")))</x:f>
        <x:v>KRITIKUS: alvállalkozói plafon &lt; saját terhelt egységköltség</x:v>
      </x:c>
      <x:c r="AA129" s="19" t="str">
        <x:v>NEM</x:v>
      </x:c>
      <x:c r="AB129" s="19" t="str">
        <x:v>https://joszaki.hu/arak/konnyuszerkezetes-haz-epites</x:v>
      </x:c>
      <x:c r="AC129" s="19" t="str">
        <x:v>2026 könnyűszerkezetes piac + munkafázisokra bontott norma</x:v>
      </x:c>
      <x:c r="AD129" s="19" t="str">
        <x:v>Faanyag, kötőelem, lapanyag, fólia és emelőgép nincs benne.</x:v>
      </x:c>
    </x:row>
    <x:row r="130">
      <x:c r="A130" s="19" t="str">
        <x:v>AR-0129</x:v>
      </x:c>
      <x:c r="B130" s="19" t="str">
        <x:v>07 Könnyűszerkezet</x:v>
      </x:c>
      <x:c r="C130" s="19" t="str">
        <x:v>Favázas szerkezet</x:v>
      </x:c>
      <x:c r="D130" s="19" t="str">
        <x:v>Faváz</x:v>
      </x:c>
      <x:c r="E130" s="19" t="str">
        <x:v>Impregnált talpszelemen rögzítése betonhoz</x:v>
      </x:c>
      <x:c r="F130" s="19" t="str">
        <x:v>fm</x:v>
      </x:c>
      <x:c r="G130" s="113" t="n">
        <x:v>1800</x:v>
      </x:c>
      <x:c r="H130" s="113" t="n">
        <x:v>2700</x:v>
      </x:c>
      <x:c r="I130" s="114" t="n">
        <x:v>0.5</x:v>
      </x:c>
      <x:c r="J130" s="113" t="n">
        <x:f>ROUND(H130*I130/Beallitasok!$B$7,0)*Beallitasok!$B$7</x:f>
        <x:v>1350</x:v>
      </x:c>
      <x:c r="K130" s="19" t="n">
        <x:v>2</x:v>
      </x:c>
      <x:c r="L130" s="19" t="n">
        <x:v>1</x:v>
      </x:c>
      <x:c r="M130" s="113" t="n">
        <x:f>K130*Beallitasok!$B$2+L130*Beallitasok!$B$3</x:f>
        <x:v>95000</x:v>
      </x:c>
      <x:c r="N130" s="115" t="n">
        <x:v>60</x:v>
      </x:c>
      <x:c r="O130" s="113" t="n">
        <x:f>IFERROR(M130/N130,"")</x:f>
        <x:v>1583.3333333333333</x:v>
      </x:c>
      <x:c r="P130" s="116" t="n">
        <x:f>Beallitasok!$B$5</x:f>
        <x:v>1.15</x:v>
      </x:c>
      <x:c r="Q130" s="113" t="n">
        <x:f>IFERROR(ROUND(O130*P130/Beallitasok!$B$7,0)*Beallitasok!$B$7,"")</x:f>
        <x:v>1800</x:v>
      </x:c>
      <x:c r="R130" s="113"/>
      <x:c r="S130" s="113" t="n">
        <x:f>IF(Q130="","",Q130+IF(R130="",0,R130))</x:f>
        <x:v>1800</x:v>
      </x:c>
      <x:c r="T130" s="113" t="n">
        <x:f>M130*Beallitasok!$B$4</x:f>
        <x:v>475000</x:v>
      </x:c>
      <x:c r="U130" s="115" t="n">
        <x:f>N130*Beallitasok!$B$4</x:f>
        <x:v>300</x:v>
      </x:c>
      <x:c r="V130" s="113"/>
      <x:c r="W130" s="113" t="str">
        <x:f>IF(V130="","",V130-J130)</x:f>
      </x:c>
      <x:c r="X130" s="19"/>
      <x:c r="Y130" s="113" t="n">
        <x:f>IF(S130="","",J130-S130)</x:f>
        <x:v>-450</x:v>
      </x:c>
      <x:c r="Z130" s="19" t="str">
        <x:f>IF(AA130="IGEN",IF(J130&lt;S130,"GÉPIGÉNY + KRITIKUS: gépdíj nélkül is alacsony a plafon","GÉPIGÉNY: a saját egységár gépdíj nélkül értendő"),IF(J130&lt;S130,"KRITIKUS: alvállalkozói plafon &lt; saját terhelt egységköltség",IF(J130&lt;S130*Beallitasok!$B$6,"SZŰK TARTALÉK: 10% alatti tartalék","OK")))</x:f>
        <x:v>KRITIKUS: alvállalkozói plafon &lt; saját terhelt egységköltség</x:v>
      </x:c>
      <x:c r="AA130" s="19" t="str">
        <x:v>NEM</x:v>
      </x:c>
      <x:c r="AB130" s="19" t="str">
        <x:v>https://joszaki.hu/arak/konnyuszerkezetes-haz-epites</x:v>
      </x:c>
      <x:c r="AC130" s="19" t="str">
        <x:v>2026 könnyűszerkezetes piac + munkafázisokra bontott norma</x:v>
      </x:c>
      <x:c r="AD130" s="19" t="str">
        <x:v>Faanyag, kötőelem, lapanyag, fólia és emelőgép nincs benne.</x:v>
      </x:c>
    </x:row>
    <x:row r="131">
      <x:c r="A131" s="19" t="str">
        <x:v>AR-0130</x:v>
      </x:c>
      <x:c r="B131" s="19" t="str">
        <x:v>07 Könnyűszerkezet</x:v>
      </x:c>
      <x:c r="C131" s="19" t="str">
        <x:v>Favázas szerkezet</x:v>
      </x:c>
      <x:c r="D131" s="19" t="str">
        <x:v>Faváz</x:v>
      </x:c>
      <x:c r="E131" s="19" t="str">
        <x:v>Favázas külső fal vázszerkezet gyártása helyszínen</x:v>
      </x:c>
      <x:c r="F131" s="19" t="str">
        <x:v>m² fal</x:v>
      </x:c>
      <x:c r="G131" s="113" t="n">
        <x:v>6500</x:v>
      </x:c>
      <x:c r="H131" s="113" t="n">
        <x:v>9500</x:v>
      </x:c>
      <x:c r="I131" s="114" t="n">
        <x:v>0.5</x:v>
      </x:c>
      <x:c r="J131" s="113" t="n">
        <x:f>ROUND(H131*I131/Beallitasok!$B$7,0)*Beallitasok!$B$7</x:f>
        <x:v>4750</x:v>
      </x:c>
      <x:c r="K131" s="19" t="n">
        <x:v>3</x:v>
      </x:c>
      <x:c r="L131" s="19" t="n">
        <x:v>2</x:v>
      </x:c>
      <x:c r="M131" s="113" t="n">
        <x:f>K131*Beallitasok!$B$2+L131*Beallitasok!$B$3</x:f>
        <x:v>155000</x:v>
      </x:c>
      <x:c r="N131" s="115" t="n">
        <x:v>35</x:v>
      </x:c>
      <x:c r="O131" s="113" t="n">
        <x:f>IFERROR(M131/N131,"")</x:f>
        <x:v>4428.571428571428</x:v>
      </x:c>
      <x:c r="P131" s="116" t="n">
        <x:f>Beallitasok!$B$5</x:f>
        <x:v>1.15</x:v>
      </x:c>
      <x:c r="Q131" s="113" t="n">
        <x:f>IFERROR(ROUND(O131*P131/Beallitasok!$B$7,0)*Beallitasok!$B$7,"")</x:f>
        <x:v>5100</x:v>
      </x:c>
      <x:c r="R131" s="113"/>
      <x:c r="S131" s="113" t="n">
        <x:f>IF(Q131="","",Q131+IF(R131="",0,R131))</x:f>
        <x:v>5100</x:v>
      </x:c>
      <x:c r="T131" s="113" t="n">
        <x:f>M131*Beallitasok!$B$4</x:f>
        <x:v>775000</x:v>
      </x:c>
      <x:c r="U131" s="115" t="n">
        <x:f>N131*Beallitasok!$B$4</x:f>
        <x:v>175</x:v>
      </x:c>
      <x:c r="V131" s="113"/>
      <x:c r="W131" s="113" t="str">
        <x:f>IF(V131="","",V131-J131)</x:f>
      </x:c>
      <x:c r="X131" s="19"/>
      <x:c r="Y131" s="113" t="n">
        <x:f>IF(S131="","",J131-S131)</x:f>
        <x:v>-350</x:v>
      </x:c>
      <x:c r="Z131" s="19" t="str">
        <x:f>IF(AA131="IGEN",IF(J131&lt;S131,"GÉPIGÉNY + KRITIKUS: gépdíj nélkül is alacsony a plafon","GÉPIGÉNY: a saját egységár gépdíj nélkül értendő"),IF(J131&lt;S131,"KRITIKUS: alvállalkozói plafon &lt; saját terhelt egységköltség",IF(J131&lt;S131*Beallitasok!$B$6,"SZŰK TARTALÉK: 10% alatti tartalék","OK")))</x:f>
        <x:v>KRITIKUS: alvállalkozói plafon &lt; saját terhelt egységköltség</x:v>
      </x:c>
      <x:c r="AA131" s="19" t="str">
        <x:v>NEM</x:v>
      </x:c>
      <x:c r="AB131" s="19" t="str">
        <x:v>https://joszaki.hu/arak/konnyuszerkezetes-haz-epites</x:v>
      </x:c>
      <x:c r="AC131" s="19" t="str">
        <x:v>2026 könnyűszerkezetes piac + munkafázisokra bontott norma</x:v>
      </x:c>
      <x:c r="AD131" s="19" t="str">
        <x:v>Faanyag, kötőelem, lapanyag, fólia és emelőgép nincs benne.</x:v>
      </x:c>
    </x:row>
    <x:row r="132">
      <x:c r="A132" s="19" t="str">
        <x:v>AR-0131</x:v>
      </x:c>
      <x:c r="B132" s="19" t="str">
        <x:v>07 Könnyűszerkezet</x:v>
      </x:c>
      <x:c r="C132" s="19" t="str">
        <x:v>Favázas szerkezet</x:v>
      </x:c>
      <x:c r="D132" s="19" t="str">
        <x:v>Faváz</x:v>
      </x:c>
      <x:c r="E132" s="19" t="str">
        <x:v>Favázas külső falpanel felállítása és rögzítése</x:v>
      </x:c>
      <x:c r="F132" s="19" t="str">
        <x:v>m² fal</x:v>
      </x:c>
      <x:c r="G132" s="113" t="n">
        <x:v>4200</x:v>
      </x:c>
      <x:c r="H132" s="113" t="n">
        <x:v>6200</x:v>
      </x:c>
      <x:c r="I132" s="114" t="n">
        <x:v>0.5</x:v>
      </x:c>
      <x:c r="J132" s="113" t="n">
        <x:f>ROUND(H132*I132/Beallitasok!$B$7,0)*Beallitasok!$B$7</x:f>
        <x:v>3100</x:v>
      </x:c>
      <x:c r="K132" s="19" t="n">
        <x:v>3</x:v>
      </x:c>
      <x:c r="L132" s="19" t="n">
        <x:v>2</x:v>
      </x:c>
      <x:c r="M132" s="113" t="n">
        <x:f>K132*Beallitasok!$B$2+L132*Beallitasok!$B$3</x:f>
        <x:v>155000</x:v>
      </x:c>
      <x:c r="N132" s="115" t="n">
        <x:v>55</x:v>
      </x:c>
      <x:c r="O132" s="113" t="n">
        <x:f>IFERROR(M132/N132,"")</x:f>
        <x:v>2818.181818181818</x:v>
      </x:c>
      <x:c r="P132" s="116" t="n">
        <x:f>Beallitasok!$B$5</x:f>
        <x:v>1.15</x:v>
      </x:c>
      <x:c r="Q132" s="113" t="n">
        <x:f>IFERROR(ROUND(O132*P132/Beallitasok!$B$7,0)*Beallitasok!$B$7,"")</x:f>
        <x:v>3250</x:v>
      </x:c>
      <x:c r="R132" s="113"/>
      <x:c r="S132" s="113" t="n">
        <x:f>IF(Q132="","",Q132+IF(R132="",0,R132))</x:f>
        <x:v>3250</x:v>
      </x:c>
      <x:c r="T132" s="113" t="n">
        <x:f>M132*Beallitasok!$B$4</x:f>
        <x:v>775000</x:v>
      </x:c>
      <x:c r="U132" s="115" t="n">
        <x:f>N132*Beallitasok!$B$4</x:f>
        <x:v>275</x:v>
      </x:c>
      <x:c r="V132" s="113"/>
      <x:c r="W132" s="113" t="str">
        <x:f>IF(V132="","",V132-J132)</x:f>
      </x:c>
      <x:c r="X132" s="19"/>
      <x:c r="Y132" s="113" t="n">
        <x:f>IF(S132="","",J132-S132)</x:f>
        <x:v>-150</x:v>
      </x:c>
      <x:c r="Z132" s="19" t="str">
        <x:f>IF(AA132="IGEN",IF(J132&lt;S132,"GÉPIGÉNY + KRITIKUS: gépdíj nélkül is alacsony a plafon","GÉPIGÉNY: a saját egységár gépdíj nélkül értendő"),IF(J132&lt;S132,"KRITIKUS: alvállalkozói plafon &lt; saját terhelt egységköltség",IF(J132&lt;S132*Beallitasok!$B$6,"SZŰK TARTALÉK: 10% alatti tartalék","OK")))</x:f>
        <x:v>KRITIKUS: alvállalkozói plafon &lt; saját terhelt egységköltség</x:v>
      </x:c>
      <x:c r="AA132" s="19" t="str">
        <x:v>NEM</x:v>
      </x:c>
      <x:c r="AB132" s="19" t="str">
        <x:v>https://joszaki.hu/arak/konnyuszerkezetes-haz-epites</x:v>
      </x:c>
      <x:c r="AC132" s="19" t="str">
        <x:v>2026 könnyűszerkezetes piac + munkafázisokra bontott norma</x:v>
      </x:c>
      <x:c r="AD132" s="19" t="str">
        <x:v>Faanyag, kötőelem, lapanyag, fólia és emelőgép nincs benne.</x:v>
      </x:c>
    </x:row>
    <x:row r="133">
      <x:c r="A133" s="19" t="str">
        <x:v>AR-0132</x:v>
      </x:c>
      <x:c r="B133" s="19" t="str">
        <x:v>07 Könnyűszerkezet</x:v>
      </x:c>
      <x:c r="C133" s="19" t="str">
        <x:v>Favázas szerkezet</x:v>
      </x:c>
      <x:c r="D133" s="19" t="str">
        <x:v>Faváz</x:v>
      </x:c>
      <x:c r="E133" s="19" t="str">
        <x:v>Favázas belső teherhordó fal készítése</x:v>
      </x:c>
      <x:c r="F133" s="19" t="str">
        <x:v>m² fal</x:v>
      </x:c>
      <x:c r="G133" s="113" t="n">
        <x:v>5500</x:v>
      </x:c>
      <x:c r="H133" s="113" t="n">
        <x:v>8000</x:v>
      </x:c>
      <x:c r="I133" s="114" t="n">
        <x:v>0.5</x:v>
      </x:c>
      <x:c r="J133" s="113" t="n">
        <x:f>ROUND(H133*I133/Beallitasok!$B$7,0)*Beallitasok!$B$7</x:f>
        <x:v>4000</x:v>
      </x:c>
      <x:c r="K133" s="19" t="n">
        <x:v>3</x:v>
      </x:c>
      <x:c r="L133" s="19" t="n">
        <x:v>2</x:v>
      </x:c>
      <x:c r="M133" s="113" t="n">
        <x:f>K133*Beallitasok!$B$2+L133*Beallitasok!$B$3</x:f>
        <x:v>155000</x:v>
      </x:c>
      <x:c r="N133" s="115" t="n">
        <x:v>42</x:v>
      </x:c>
      <x:c r="O133" s="113" t="n">
        <x:f>IFERROR(M133/N133,"")</x:f>
        <x:v>3690.4761904761904</x:v>
      </x:c>
      <x:c r="P133" s="116" t="n">
        <x:f>Beallitasok!$B$5</x:f>
        <x:v>1.15</x:v>
      </x:c>
      <x:c r="Q133" s="113" t="n">
        <x:f>IFERROR(ROUND(O133*P133/Beallitasok!$B$7,0)*Beallitasok!$B$7,"")</x:f>
        <x:v>4250</x:v>
      </x:c>
      <x:c r="R133" s="113"/>
      <x:c r="S133" s="113" t="n">
        <x:f>IF(Q133="","",Q133+IF(R133="",0,R133))</x:f>
        <x:v>4250</x:v>
      </x:c>
      <x:c r="T133" s="113" t="n">
        <x:f>M133*Beallitasok!$B$4</x:f>
        <x:v>775000</x:v>
      </x:c>
      <x:c r="U133" s="115" t="n">
        <x:f>N133*Beallitasok!$B$4</x:f>
        <x:v>210</x:v>
      </x:c>
      <x:c r="V133" s="113"/>
      <x:c r="W133" s="113" t="str">
        <x:f>IF(V133="","",V133-J133)</x:f>
      </x:c>
      <x:c r="X133" s="19"/>
      <x:c r="Y133" s="113" t="n">
        <x:f>IF(S133="","",J133-S133)</x:f>
        <x:v>-250</x:v>
      </x:c>
      <x:c r="Z133" s="19" t="str">
        <x:f>IF(AA133="IGEN",IF(J133&lt;S133,"GÉPIGÉNY + KRITIKUS: gépdíj nélkül is alacsony a plafon","GÉPIGÉNY: a saját egységár gépdíj nélkül értendő"),IF(J133&lt;S133,"KRITIKUS: alvállalkozói plafon &lt; saját terhelt egységköltség",IF(J133&lt;S133*Beallitasok!$B$6,"SZŰK TARTALÉK: 10% alatti tartalék","OK")))</x:f>
        <x:v>KRITIKUS: alvállalkozói plafon &lt; saját terhelt egységköltség</x:v>
      </x:c>
      <x:c r="AA133" s="19" t="str">
        <x:v>NEM</x:v>
      </x:c>
      <x:c r="AB133" s="19" t="str">
        <x:v>https://joszaki.hu/arak/konnyuszerkezetes-haz-epites</x:v>
      </x:c>
      <x:c r="AC133" s="19" t="str">
        <x:v>2026 könnyűszerkezetes piac + munkafázisokra bontott norma</x:v>
      </x:c>
      <x:c r="AD133" s="19" t="str">
        <x:v>Faanyag, kötőelem, lapanyag, fólia és emelőgép nincs benne.</x:v>
      </x:c>
    </x:row>
    <x:row r="134">
      <x:c r="A134" s="19" t="str">
        <x:v>AR-0133</x:v>
      </x:c>
      <x:c r="B134" s="19" t="str">
        <x:v>07 Könnyűszerkezet</x:v>
      </x:c>
      <x:c r="C134" s="19" t="str">
        <x:v>Favázas szerkezet</x:v>
      </x:c>
      <x:c r="D134" s="19" t="str">
        <x:v>Faváz</x:v>
      </x:c>
      <x:c r="E134" s="19" t="str">
        <x:v>Favázas válaszfal készítése</x:v>
      </x:c>
      <x:c r="F134" s="19" t="str">
        <x:v>m² fal</x:v>
      </x:c>
      <x:c r="G134" s="113" t="n">
        <x:v>4200</x:v>
      </x:c>
      <x:c r="H134" s="113" t="n">
        <x:v>6200</x:v>
      </x:c>
      <x:c r="I134" s="114" t="n">
        <x:v>0.5</x:v>
      </x:c>
      <x:c r="J134" s="113" t="n">
        <x:f>ROUND(H134*I134/Beallitasok!$B$7,0)*Beallitasok!$B$7</x:f>
        <x:v>3100</x:v>
      </x:c>
      <x:c r="K134" s="19" t="n">
        <x:v>2</x:v>
      </x:c>
      <x:c r="L134" s="19" t="n">
        <x:v>1</x:v>
      </x:c>
      <x:c r="M134" s="113" t="n">
        <x:f>K134*Beallitasok!$B$2+L134*Beallitasok!$B$3</x:f>
        <x:v>95000</x:v>
      </x:c>
      <x:c r="N134" s="115" t="n">
        <x:v>48</x:v>
      </x:c>
      <x:c r="O134" s="113" t="n">
        <x:f>IFERROR(M134/N134,"")</x:f>
        <x:v>1979.1666666666667</x:v>
      </x:c>
      <x:c r="P134" s="116" t="n">
        <x:f>Beallitasok!$B$5</x:f>
        <x:v>1.15</x:v>
      </x:c>
      <x:c r="Q134" s="113" t="n">
        <x:f>IFERROR(ROUND(O134*P134/Beallitasok!$B$7,0)*Beallitasok!$B$7,"")</x:f>
        <x:v>2300</x:v>
      </x:c>
      <x:c r="R134" s="113"/>
      <x:c r="S134" s="113" t="n">
        <x:f>IF(Q134="","",Q134+IF(R134="",0,R134))</x:f>
        <x:v>2300</x:v>
      </x:c>
      <x:c r="T134" s="113" t="n">
        <x:f>M134*Beallitasok!$B$4</x:f>
        <x:v>475000</x:v>
      </x:c>
      <x:c r="U134" s="115" t="n">
        <x:f>N134*Beallitasok!$B$4</x:f>
        <x:v>240</x:v>
      </x:c>
      <x:c r="V134" s="113"/>
      <x:c r="W134" s="113" t="str">
        <x:f>IF(V134="","",V134-J134)</x:f>
      </x:c>
      <x:c r="X134" s="19"/>
      <x:c r="Y134" s="113" t="n">
        <x:f>IF(S134="","",J134-S134)</x:f>
        <x:v>800</x:v>
      </x:c>
      <x:c r="Z134" s="19" t="str">
        <x:f>IF(AA134="IGEN",IF(J134&lt;S134,"GÉPIGÉNY + KRITIKUS: gépdíj nélkül is alacsony a plafon","GÉPIGÉNY: a saját egységár gépdíj nélkül értendő"),IF(J134&lt;S134,"KRITIKUS: alvállalkozói plafon &lt; saját terhelt egységköltség",IF(J134&lt;S134*Beallitasok!$B$6,"SZŰK TARTALÉK: 10% alatti tartalék","OK")))</x:f>
        <x:v>OK</x:v>
      </x:c>
      <x:c r="AA134" s="19" t="str">
        <x:v>NEM</x:v>
      </x:c>
      <x:c r="AB134" s="19" t="str">
        <x:v>https://joszaki.hu/arak/konnyuszerkezetes-haz-epites</x:v>
      </x:c>
      <x:c r="AC134" s="19" t="str">
        <x:v>2026 könnyűszerkezetes piac + munkafázisokra bontott norma</x:v>
      </x:c>
      <x:c r="AD134" s="19" t="str">
        <x:v>Faanyag, kötőelem, lapanyag, fólia és emelőgép nincs benne.</x:v>
      </x:c>
    </x:row>
    <x:row r="135">
      <x:c r="A135" s="19" t="str">
        <x:v>AR-0134</x:v>
      </x:c>
      <x:c r="B135" s="19" t="str">
        <x:v>07 Könnyűszerkezet</x:v>
      </x:c>
      <x:c r="C135" s="19" t="str">
        <x:v>Favázas szerkezet</x:v>
      </x:c>
      <x:c r="D135" s="19" t="str">
        <x:v>Faváz</x:v>
      </x:c>
      <x:c r="E135" s="19" t="str">
        <x:v>OSB szerkezeti burkolat szerelése egy oldalon</x:v>
      </x:c>
      <x:c r="F135" s="19" t="str">
        <x:v>m²</x:v>
      </x:c>
      <x:c r="G135" s="113" t="n">
        <x:v>2400</x:v>
      </x:c>
      <x:c r="H135" s="113" t="n">
        <x:v>3600</x:v>
      </x:c>
      <x:c r="I135" s="114" t="n">
        <x:v>0.5</x:v>
      </x:c>
      <x:c r="J135" s="113" t="n">
        <x:f>ROUND(H135*I135/Beallitasok!$B$7,0)*Beallitasok!$B$7</x:f>
        <x:v>1800</x:v>
      </x:c>
      <x:c r="K135" s="19" t="n">
        <x:v>2</x:v>
      </x:c>
      <x:c r="L135" s="19" t="n">
        <x:v>1</x:v>
      </x:c>
      <x:c r="M135" s="113" t="n">
        <x:f>K135*Beallitasok!$B$2+L135*Beallitasok!$B$3</x:f>
        <x:v>95000</x:v>
      </x:c>
      <x:c r="N135" s="115" t="n">
        <x:v>85</x:v>
      </x:c>
      <x:c r="O135" s="113" t="n">
        <x:f>IFERROR(M135/N135,"")</x:f>
        <x:v>1117.6470588235295</x:v>
      </x:c>
      <x:c r="P135" s="116" t="n">
        <x:f>Beallitasok!$B$5</x:f>
        <x:v>1.15</x:v>
      </x:c>
      <x:c r="Q135" s="113" t="n">
        <x:f>IFERROR(ROUND(O135*P135/Beallitasok!$B$7,0)*Beallitasok!$B$7,"")</x:f>
        <x:v>1300</x:v>
      </x:c>
      <x:c r="R135" s="113"/>
      <x:c r="S135" s="113" t="n">
        <x:f>IF(Q135="","",Q135+IF(R135="",0,R135))</x:f>
        <x:v>1300</x:v>
      </x:c>
      <x:c r="T135" s="113" t="n">
        <x:f>M135*Beallitasok!$B$4</x:f>
        <x:v>475000</x:v>
      </x:c>
      <x:c r="U135" s="115" t="n">
        <x:f>N135*Beallitasok!$B$4</x:f>
        <x:v>425</x:v>
      </x:c>
      <x:c r="V135" s="113"/>
      <x:c r="W135" s="113" t="str">
        <x:f>IF(V135="","",V135-J135)</x:f>
      </x:c>
      <x:c r="X135" s="19"/>
      <x:c r="Y135" s="113" t="n">
        <x:f>IF(S135="","",J135-S135)</x:f>
        <x:v>500</x:v>
      </x:c>
      <x:c r="Z135" s="19" t="str">
        <x:f>IF(AA135="IGEN",IF(J135&lt;S135,"GÉPIGÉNY + KRITIKUS: gépdíj nélkül is alacsony a plafon","GÉPIGÉNY: a saját egységár gépdíj nélkül értendő"),IF(J135&lt;S135,"KRITIKUS: alvállalkozói plafon &lt; saját terhelt egységköltség",IF(J135&lt;S135*Beallitasok!$B$6,"SZŰK TARTALÉK: 10% alatti tartalék","OK")))</x:f>
        <x:v>OK</x:v>
      </x:c>
      <x:c r="AA135" s="19" t="str">
        <x:v>NEM</x:v>
      </x:c>
      <x:c r="AB135" s="19" t="str">
        <x:v>https://joszaki.hu/arak/konnyuszerkezetes-haz-epites</x:v>
      </x:c>
      <x:c r="AC135" s="19" t="str">
        <x:v>2026 könnyűszerkezetes piac + munkafázisokra bontott norma</x:v>
      </x:c>
      <x:c r="AD135" s="19" t="str">
        <x:v>Faanyag, kötőelem, lapanyag, fólia és emelőgép nincs benne.</x:v>
      </x:c>
    </x:row>
    <x:row r="136">
      <x:c r="A136" s="19" t="str">
        <x:v>AR-0135</x:v>
      </x:c>
      <x:c r="B136" s="19" t="str">
        <x:v>07 Könnyűszerkezet</x:v>
      </x:c>
      <x:c r="C136" s="19" t="str">
        <x:v>Favázas szerkezet</x:v>
      </x:c>
      <x:c r="D136" s="19" t="str">
        <x:v>Faváz</x:v>
      </x:c>
      <x:c r="E136" s="19" t="str">
        <x:v>Cementkötésű homlokzati lap szerelése</x:v>
      </x:c>
      <x:c r="F136" s="19" t="str">
        <x:v>m²</x:v>
      </x:c>
      <x:c r="G136" s="113" t="n">
        <x:v>3200</x:v>
      </x:c>
      <x:c r="H136" s="113" t="n">
        <x:v>4800</x:v>
      </x:c>
      <x:c r="I136" s="114" t="n">
        <x:v>0.5</x:v>
      </x:c>
      <x:c r="J136" s="113" t="n">
        <x:f>ROUND(H136*I136/Beallitasok!$B$7,0)*Beallitasok!$B$7</x:f>
        <x:v>2400</x:v>
      </x:c>
      <x:c r="K136" s="19" t="n">
        <x:v>2</x:v>
      </x:c>
      <x:c r="L136" s="19" t="n">
        <x:v>1</x:v>
      </x:c>
      <x:c r="M136" s="113" t="n">
        <x:f>K136*Beallitasok!$B$2+L136*Beallitasok!$B$3</x:f>
        <x:v>95000</x:v>
      </x:c>
      <x:c r="N136" s="115" t="n">
        <x:v>62</x:v>
      </x:c>
      <x:c r="O136" s="113" t="n">
        <x:f>IFERROR(M136/N136,"")</x:f>
        <x:v>1532.258064516129</x:v>
      </x:c>
      <x:c r="P136" s="116" t="n">
        <x:f>Beallitasok!$B$5</x:f>
        <x:v>1.15</x:v>
      </x:c>
      <x:c r="Q136" s="113" t="n">
        <x:f>IFERROR(ROUND(O136*P136/Beallitasok!$B$7,0)*Beallitasok!$B$7,"")</x:f>
        <x:v>1750</x:v>
      </x:c>
      <x:c r="R136" s="113"/>
      <x:c r="S136" s="113" t="n">
        <x:f>IF(Q136="","",Q136+IF(R136="",0,R136))</x:f>
        <x:v>1750</x:v>
      </x:c>
      <x:c r="T136" s="113" t="n">
        <x:f>M136*Beallitasok!$B$4</x:f>
        <x:v>475000</x:v>
      </x:c>
      <x:c r="U136" s="115" t="n">
        <x:f>N136*Beallitasok!$B$4</x:f>
        <x:v>310</x:v>
      </x:c>
      <x:c r="V136" s="113"/>
      <x:c r="W136" s="113" t="str">
        <x:f>IF(V136="","",V136-J136)</x:f>
      </x:c>
      <x:c r="X136" s="19"/>
      <x:c r="Y136" s="113" t="n">
        <x:f>IF(S136="","",J136-S136)</x:f>
        <x:v>650</x:v>
      </x:c>
      <x:c r="Z136" s="19" t="str">
        <x:f>IF(AA136="IGEN",IF(J136&lt;S136,"GÉPIGÉNY + KRITIKUS: gépdíj nélkül is alacsony a plafon","GÉPIGÉNY: a saját egységár gépdíj nélkül értendő"),IF(J136&lt;S136,"KRITIKUS: alvállalkozói plafon &lt; saját terhelt egységköltség",IF(J136&lt;S136*Beallitasok!$B$6,"SZŰK TARTALÉK: 10% alatti tartalék","OK")))</x:f>
        <x:v>OK</x:v>
      </x:c>
      <x:c r="AA136" s="19" t="str">
        <x:v>NEM</x:v>
      </x:c>
      <x:c r="AB136" s="19" t="str">
        <x:v>https://joszaki.hu/arak/konnyuszerkezetes-haz-epites</x:v>
      </x:c>
      <x:c r="AC136" s="19" t="str">
        <x:v>2026 könnyűszerkezetes piac + munkafázisokra bontott norma</x:v>
      </x:c>
      <x:c r="AD136" s="19" t="str">
        <x:v>Faanyag, kötőelem, lapanyag, fólia és emelőgép nincs benne.</x:v>
      </x:c>
    </x:row>
    <x:row r="137">
      <x:c r="A137" s="19" t="str">
        <x:v>AR-0136</x:v>
      </x:c>
      <x:c r="B137" s="19" t="str">
        <x:v>07 Könnyűszerkezet</x:v>
      </x:c>
      <x:c r="C137" s="19" t="str">
        <x:v>Favázas szerkezet</x:v>
      </x:c>
      <x:c r="D137" s="19" t="str">
        <x:v>Faváz</x:v>
      </x:c>
      <x:c r="E137" s="19" t="str">
        <x:v>Szélzáró fólia elhelyezése és ragasztása</x:v>
      </x:c>
      <x:c r="F137" s="19" t="str">
        <x:v>m²</x:v>
      </x:c>
      <x:c r="G137" s="113" t="n">
        <x:v>1100</x:v>
      </x:c>
      <x:c r="H137" s="113" t="n">
        <x:v>1700</x:v>
      </x:c>
      <x:c r="I137" s="114" t="n">
        <x:v>0.55</x:v>
      </x:c>
      <x:c r="J137" s="113" t="n">
        <x:f>ROUND(H137*I137/Beallitasok!$B$7,0)*Beallitasok!$B$7</x:f>
        <x:v>950</x:v>
      </x:c>
      <x:c r="K137" s="19" t="n">
        <x:v>1</x:v>
      </x:c>
      <x:c r="L137" s="19" t="n">
        <x:v>1</x:v>
      </x:c>
      <x:c r="M137" s="113" t="n">
        <x:f>K137*Beallitasok!$B$2+L137*Beallitasok!$B$3</x:f>
        <x:v>60000</x:v>
      </x:c>
      <x:c r="N137" s="115" t="n">
        <x:v>130</x:v>
      </x:c>
      <x:c r="O137" s="113" t="n">
        <x:f>IFERROR(M137/N137,"")</x:f>
        <x:v>461.53846153846155</x:v>
      </x:c>
      <x:c r="P137" s="116" t="n">
        <x:f>Beallitasok!$B$5</x:f>
        <x:v>1.15</x:v>
      </x:c>
      <x:c r="Q137" s="113" t="n">
        <x:f>IFERROR(ROUND(O137*P137/Beallitasok!$B$7,0)*Beallitasok!$B$7,"")</x:f>
        <x:v>550</x:v>
      </x:c>
      <x:c r="R137" s="113"/>
      <x:c r="S137" s="113" t="n">
        <x:f>IF(Q137="","",Q137+IF(R137="",0,R137))</x:f>
        <x:v>550</x:v>
      </x:c>
      <x:c r="T137" s="113" t="n">
        <x:f>M137*Beallitasok!$B$4</x:f>
        <x:v>300000</x:v>
      </x:c>
      <x:c r="U137" s="115" t="n">
        <x:f>N137*Beallitasok!$B$4</x:f>
        <x:v>650</x:v>
      </x:c>
      <x:c r="V137" s="113"/>
      <x:c r="W137" s="113" t="str">
        <x:f>IF(V137="","",V137-J137)</x:f>
      </x:c>
      <x:c r="X137" s="19"/>
      <x:c r="Y137" s="113" t="n">
        <x:f>IF(S137="","",J137-S137)</x:f>
        <x:v>400</x:v>
      </x:c>
      <x:c r="Z137" s="19" t="str">
        <x:f>IF(AA137="IGEN",IF(J137&lt;S137,"GÉPIGÉNY + KRITIKUS: gépdíj nélkül is alacsony a plafon","GÉPIGÉNY: a saját egységár gépdíj nélkül értendő"),IF(J137&lt;S137,"KRITIKUS: alvállalkozói plafon &lt; saját terhelt egységköltség",IF(J137&lt;S137*Beallitasok!$B$6,"SZŰK TARTALÉK: 10% alatti tartalék","OK")))</x:f>
        <x:v>OK</x:v>
      </x:c>
      <x:c r="AA137" s="19" t="str">
        <x:v>NEM</x:v>
      </x:c>
      <x:c r="AB137" s="19" t="str">
        <x:v>https://joszaki.hu/arak/konnyuszerkezetes-haz-epites</x:v>
      </x:c>
      <x:c r="AC137" s="19" t="str">
        <x:v>2026 könnyűszerkezetes piac + munkafázisokra bontott norma</x:v>
      </x:c>
      <x:c r="AD137" s="19" t="str">
        <x:v>Faanyag, kötőelem, lapanyag, fólia és emelőgép nincs benne.</x:v>
      </x:c>
    </x:row>
    <x:row r="138">
      <x:c r="A138" s="19" t="str">
        <x:v>AR-0137</x:v>
      </x:c>
      <x:c r="B138" s="19" t="str">
        <x:v>07 Könnyűszerkezet</x:v>
      </x:c>
      <x:c r="C138" s="19" t="str">
        <x:v>Favázas szerkezet</x:v>
      </x:c>
      <x:c r="D138" s="19" t="str">
        <x:v>Faváz</x:v>
      </x:c>
      <x:c r="E138" s="19" t="str">
        <x:v>Párazáró fólia légzáró ragasztása</x:v>
      </x:c>
      <x:c r="F138" s="19" t="str">
        <x:v>m²</x:v>
      </x:c>
      <x:c r="G138" s="113" t="n">
        <x:v>1600</x:v>
      </x:c>
      <x:c r="H138" s="113" t="n">
        <x:v>2400</x:v>
      </x:c>
      <x:c r="I138" s="114" t="n">
        <x:v>0.55</x:v>
      </x:c>
      <x:c r="J138" s="113" t="n">
        <x:f>ROUND(H138*I138/Beallitasok!$B$7,0)*Beallitasok!$B$7</x:f>
        <x:v>1300</x:v>
      </x:c>
      <x:c r="K138" s="19" t="n">
        <x:v>1</x:v>
      </x:c>
      <x:c r="L138" s="19" t="n">
        <x:v>1</x:v>
      </x:c>
      <x:c r="M138" s="113" t="n">
        <x:f>K138*Beallitasok!$B$2+L138*Beallitasok!$B$3</x:f>
        <x:v>60000</x:v>
      </x:c>
      <x:c r="N138" s="115" t="n">
        <x:v>95</x:v>
      </x:c>
      <x:c r="O138" s="113" t="n">
        <x:f>IFERROR(M138/N138,"")</x:f>
        <x:v>631.578947368421</x:v>
      </x:c>
      <x:c r="P138" s="116" t="n">
        <x:f>Beallitasok!$B$5</x:f>
        <x:v>1.15</x:v>
      </x:c>
      <x:c r="Q138" s="113" t="n">
        <x:f>IFERROR(ROUND(O138*P138/Beallitasok!$B$7,0)*Beallitasok!$B$7,"")</x:f>
        <x:v>750</x:v>
      </x:c>
      <x:c r="R138" s="113"/>
      <x:c r="S138" s="113" t="n">
        <x:f>IF(Q138="","",Q138+IF(R138="",0,R138))</x:f>
        <x:v>750</x:v>
      </x:c>
      <x:c r="T138" s="113" t="n">
        <x:f>M138*Beallitasok!$B$4</x:f>
        <x:v>300000</x:v>
      </x:c>
      <x:c r="U138" s="115" t="n">
        <x:f>N138*Beallitasok!$B$4</x:f>
        <x:v>475</x:v>
      </x:c>
      <x:c r="V138" s="113"/>
      <x:c r="W138" s="113" t="str">
        <x:f>IF(V138="","",V138-J138)</x:f>
      </x:c>
      <x:c r="X138" s="19"/>
      <x:c r="Y138" s="113" t="n">
        <x:f>IF(S138="","",J138-S138)</x:f>
        <x:v>550</x:v>
      </x:c>
      <x:c r="Z138" s="19" t="str">
        <x:f>IF(AA138="IGEN",IF(J138&lt;S138,"GÉPIGÉNY + KRITIKUS: gépdíj nélkül is alacsony a plafon","GÉPIGÉNY: a saját egységár gépdíj nélkül értendő"),IF(J138&lt;S138,"KRITIKUS: alvállalkozói plafon &lt; saját terhelt egységköltség",IF(J138&lt;S138*Beallitasok!$B$6,"SZŰK TARTALÉK: 10% alatti tartalék","OK")))</x:f>
        <x:v>OK</x:v>
      </x:c>
      <x:c r="AA138" s="19" t="str">
        <x:v>NEM</x:v>
      </x:c>
      <x:c r="AB138" s="19" t="str">
        <x:v>https://joszaki.hu/arak/konnyuszerkezetes-haz-epites</x:v>
      </x:c>
      <x:c r="AC138" s="19" t="str">
        <x:v>2026 könnyűszerkezetes piac + munkafázisokra bontott norma</x:v>
      </x:c>
      <x:c r="AD138" s="19" t="str">
        <x:v>Faanyag, kötőelem, lapanyag, fólia és emelőgép nincs benne.</x:v>
      </x:c>
    </x:row>
    <x:row r="139">
      <x:c r="A139" s="19" t="str">
        <x:v>AR-0138</x:v>
      </x:c>
      <x:c r="B139" s="19" t="str">
        <x:v>07 Könnyűszerkezet</x:v>
      </x:c>
      <x:c r="C139" s="19" t="str">
        <x:v>Favázas szerkezet</x:v>
      </x:c>
      <x:c r="D139" s="19" t="str">
        <x:v>Faváz</x:v>
      </x:c>
      <x:c r="E139" s="19" t="str">
        <x:v>Kőzetgyapot hőszigetelés beépítése faváz közé</x:v>
      </x:c>
      <x:c r="F139" s="19" t="str">
        <x:v>m²</x:v>
      </x:c>
      <x:c r="G139" s="113" t="n">
        <x:v>1500</x:v>
      </x:c>
      <x:c r="H139" s="113" t="n">
        <x:v>2300</x:v>
      </x:c>
      <x:c r="I139" s="114" t="n">
        <x:v>0.55</x:v>
      </x:c>
      <x:c r="J139" s="113" t="n">
        <x:f>ROUND(H139*I139/Beallitasok!$B$7,0)*Beallitasok!$B$7</x:f>
        <x:v>1250</x:v>
      </x:c>
      <x:c r="K139" s="19" t="n">
        <x:v>1</x:v>
      </x:c>
      <x:c r="L139" s="19" t="n">
        <x:v>1</x:v>
      </x:c>
      <x:c r="M139" s="113" t="n">
        <x:f>K139*Beallitasok!$B$2+L139*Beallitasok!$B$3</x:f>
        <x:v>60000</x:v>
      </x:c>
      <x:c r="N139" s="115" t="n">
        <x:v>110</x:v>
      </x:c>
      <x:c r="O139" s="113" t="n">
        <x:f>IFERROR(M139/N139,"")</x:f>
        <x:v>545.4545454545455</x:v>
      </x:c>
      <x:c r="P139" s="116" t="n">
        <x:f>Beallitasok!$B$5</x:f>
        <x:v>1.15</x:v>
      </x:c>
      <x:c r="Q139" s="113" t="n">
        <x:f>IFERROR(ROUND(O139*P139/Beallitasok!$B$7,0)*Beallitasok!$B$7,"")</x:f>
        <x:v>650</x:v>
      </x:c>
      <x:c r="R139" s="113"/>
      <x:c r="S139" s="113" t="n">
        <x:f>IF(Q139="","",Q139+IF(R139="",0,R139))</x:f>
        <x:v>650</x:v>
      </x:c>
      <x:c r="T139" s="113" t="n">
        <x:f>M139*Beallitasok!$B$4</x:f>
        <x:v>300000</x:v>
      </x:c>
      <x:c r="U139" s="115" t="n">
        <x:f>N139*Beallitasok!$B$4</x:f>
        <x:v>550</x:v>
      </x:c>
      <x:c r="V139" s="113"/>
      <x:c r="W139" s="113" t="str">
        <x:f>IF(V139="","",V139-J139)</x:f>
      </x:c>
      <x:c r="X139" s="19"/>
      <x:c r="Y139" s="113" t="n">
        <x:f>IF(S139="","",J139-S139)</x:f>
        <x:v>600</x:v>
      </x:c>
      <x:c r="Z139" s="19" t="str">
        <x:f>IF(AA139="IGEN",IF(J139&lt;S139,"GÉPIGÉNY + KRITIKUS: gépdíj nélkül is alacsony a plafon","GÉPIGÉNY: a saját egységár gépdíj nélkül értendő"),IF(J139&lt;S139,"KRITIKUS: alvállalkozói plafon &lt; saját terhelt egységköltség",IF(J139&lt;S139*Beallitasok!$B$6,"SZŰK TARTALÉK: 10% alatti tartalék","OK")))</x:f>
        <x:v>OK</x:v>
      </x:c>
      <x:c r="AA139" s="19" t="str">
        <x:v>NEM</x:v>
      </x:c>
      <x:c r="AB139" s="19" t="str">
        <x:v>https://joszaki.hu/arak/konnyuszerkezetes-haz-epites</x:v>
      </x:c>
      <x:c r="AC139" s="19" t="str">
        <x:v>2026 könnyűszerkezetes piac + munkafázisokra bontott norma</x:v>
      </x:c>
      <x:c r="AD139" s="19" t="str">
        <x:v>Faanyag, kötőelem, lapanyag, fólia és emelőgép nincs benne.</x:v>
      </x:c>
    </x:row>
    <x:row r="140">
      <x:c r="A140" s="19" t="str">
        <x:v>AR-0139</x:v>
      </x:c>
      <x:c r="B140" s="19" t="str">
        <x:v>07 Könnyűszerkezet</x:v>
      </x:c>
      <x:c r="C140" s="19" t="str">
        <x:v>Favázas szerkezet</x:v>
      </x:c>
      <x:c r="D140" s="19" t="str">
        <x:v>Faváz</x:v>
      </x:c>
      <x:c r="E140" s="19" t="str">
        <x:v>Installációs lécváz kialakítása</x:v>
      </x:c>
      <x:c r="F140" s="19" t="str">
        <x:v>m²</x:v>
      </x:c>
      <x:c r="G140" s="113" t="n">
        <x:v>1700</x:v>
      </x:c>
      <x:c r="H140" s="113" t="n">
        <x:v>2600</x:v>
      </x:c>
      <x:c r="I140" s="114" t="n">
        <x:v>0.5</x:v>
      </x:c>
      <x:c r="J140" s="113" t="n">
        <x:f>ROUND(H140*I140/Beallitasok!$B$7,0)*Beallitasok!$B$7</x:f>
        <x:v>1300</x:v>
      </x:c>
      <x:c r="K140" s="19" t="n">
        <x:v>2</x:v>
      </x:c>
      <x:c r="L140" s="19" t="n">
        <x:v>1</x:v>
      </x:c>
      <x:c r="M140" s="113" t="n">
        <x:f>K140*Beallitasok!$B$2+L140*Beallitasok!$B$3</x:f>
        <x:v>95000</x:v>
      </x:c>
      <x:c r="N140" s="115" t="n">
        <x:v>80</x:v>
      </x:c>
      <x:c r="O140" s="113" t="n">
        <x:f>IFERROR(M140/N140,"")</x:f>
        <x:v>1187.5</x:v>
      </x:c>
      <x:c r="P140" s="116" t="n">
        <x:f>Beallitasok!$B$5</x:f>
        <x:v>1.15</x:v>
      </x:c>
      <x:c r="Q140" s="113" t="n">
        <x:f>IFERROR(ROUND(O140*P140/Beallitasok!$B$7,0)*Beallitasok!$B$7,"")</x:f>
        <x:v>1350</x:v>
      </x:c>
      <x:c r="R140" s="113"/>
      <x:c r="S140" s="113" t="n">
        <x:f>IF(Q140="","",Q140+IF(R140="",0,R140))</x:f>
        <x:v>1350</x:v>
      </x:c>
      <x:c r="T140" s="113" t="n">
        <x:f>M140*Beallitasok!$B$4</x:f>
        <x:v>475000</x:v>
      </x:c>
      <x:c r="U140" s="115" t="n">
        <x:f>N140*Beallitasok!$B$4</x:f>
        <x:v>400</x:v>
      </x:c>
      <x:c r="V140" s="113"/>
      <x:c r="W140" s="113" t="str">
        <x:f>IF(V140="","",V140-J140)</x:f>
      </x:c>
      <x:c r="X140" s="19"/>
      <x:c r="Y140" s="113" t="n">
        <x:f>IF(S140="","",J140-S140)</x:f>
        <x:v>-50</x:v>
      </x:c>
      <x:c r="Z140" s="19" t="str">
        <x:f>IF(AA140="IGEN",IF(J140&lt;S140,"GÉPIGÉNY + KRITIKUS: gépdíj nélkül is alacsony a plafon","GÉPIGÉNY: a saját egységár gépdíj nélkül értendő"),IF(J140&lt;S140,"KRITIKUS: alvállalkozói plafon &lt; saját terhelt egységköltség",IF(J140&lt;S140*Beallitasok!$B$6,"SZŰK TARTALÉK: 10% alatti tartalék","OK")))</x:f>
        <x:v>KRITIKUS: alvállalkozói plafon &lt; saját terhelt egységköltség</x:v>
      </x:c>
      <x:c r="AA140" s="19" t="str">
        <x:v>NEM</x:v>
      </x:c>
      <x:c r="AB140" s="19" t="str">
        <x:v>https://joszaki.hu/arak/konnyuszerkezetes-haz-epites</x:v>
      </x:c>
      <x:c r="AC140" s="19" t="str">
        <x:v>2026 könnyűszerkezetes piac + munkafázisokra bontott norma</x:v>
      </x:c>
      <x:c r="AD140" s="19" t="str">
        <x:v>Faanyag, kötőelem, lapanyag, fólia és emelőgép nincs benne.</x:v>
      </x:c>
    </x:row>
    <x:row r="141">
      <x:c r="A141" s="19" t="str">
        <x:v>AR-0140</x:v>
      </x:c>
      <x:c r="B141" s="19" t="str">
        <x:v>07 Könnyűszerkezet</x:v>
      </x:c>
      <x:c r="C141" s="19" t="str">
        <x:v>Favázas szerkezet</x:v>
      </x:c>
      <x:c r="D141" s="19" t="str">
        <x:v>Faváz</x:v>
      </x:c>
      <x:c r="E141" s="19" t="str">
        <x:v>Homlokzati ellenléc és szellőző légrés kialakítása</x:v>
      </x:c>
      <x:c r="F141" s="19" t="str">
        <x:v>m²</x:v>
      </x:c>
      <x:c r="G141" s="113" t="n">
        <x:v>1900</x:v>
      </x:c>
      <x:c r="H141" s="113" t="n">
        <x:v>2900</x:v>
      </x:c>
      <x:c r="I141" s="114" t="n">
        <x:v>0.5</x:v>
      </x:c>
      <x:c r="J141" s="113" t="n">
        <x:f>ROUND(H141*I141/Beallitasok!$B$7,0)*Beallitasok!$B$7</x:f>
        <x:v>1450</x:v>
      </x:c>
      <x:c r="K141" s="19" t="n">
        <x:v>2</x:v>
      </x:c>
      <x:c r="L141" s="19" t="n">
        <x:v>1</x:v>
      </x:c>
      <x:c r="M141" s="113" t="n">
        <x:f>K141*Beallitasok!$B$2+L141*Beallitasok!$B$3</x:f>
        <x:v>95000</x:v>
      </x:c>
      <x:c r="N141" s="115" t="n">
        <x:v>75</x:v>
      </x:c>
      <x:c r="O141" s="113" t="n">
        <x:f>IFERROR(M141/N141,"")</x:f>
        <x:v>1266.6666666666667</x:v>
      </x:c>
      <x:c r="P141" s="116" t="n">
        <x:f>Beallitasok!$B$5</x:f>
        <x:v>1.15</x:v>
      </x:c>
      <x:c r="Q141" s="113" t="n">
        <x:f>IFERROR(ROUND(O141*P141/Beallitasok!$B$7,0)*Beallitasok!$B$7,"")</x:f>
        <x:v>1450</x:v>
      </x:c>
      <x:c r="R141" s="113"/>
      <x:c r="S141" s="113" t="n">
        <x:f>IF(Q141="","",Q141+IF(R141="",0,R141))</x:f>
        <x:v>1450</x:v>
      </x:c>
      <x:c r="T141" s="113" t="n">
        <x:f>M141*Beallitasok!$B$4</x:f>
        <x:v>475000</x:v>
      </x:c>
      <x:c r="U141" s="115" t="n">
        <x:f>N141*Beallitasok!$B$4</x:f>
        <x:v>375</x:v>
      </x:c>
      <x:c r="V141" s="113"/>
      <x:c r="W141" s="113" t="str">
        <x:f>IF(V141="","",V141-J141)</x:f>
      </x:c>
      <x:c r="X141" s="19"/>
      <x:c r="Y141" s="113" t="n">
        <x:f>IF(S141="","",J141-S141)</x:f>
        <x:v>0</x:v>
      </x:c>
      <x:c r="Z141" s="19" t="str">
        <x:f>IF(AA141="IGEN",IF(J141&lt;S141,"GÉPIGÉNY + KRITIKUS: gépdíj nélkül is alacsony a plafon","GÉPIGÉNY: a saját egységár gépdíj nélkül értendő"),IF(J141&lt;S141,"KRITIKUS: alvállalkozói plafon &lt; saját terhelt egységköltség",IF(J141&lt;S141*Beallitasok!$B$6,"SZŰK TARTALÉK: 10% alatti tartalék","OK")))</x:f>
        <x:v>SZŰK TARTALÉK: 10% alatti tartalék</x:v>
      </x:c>
      <x:c r="AA141" s="19" t="str">
        <x:v>NEM</x:v>
      </x:c>
      <x:c r="AB141" s="19" t="str">
        <x:v>https://joszaki.hu/arak/konnyuszerkezetes-haz-epites</x:v>
      </x:c>
      <x:c r="AC141" s="19" t="str">
        <x:v>2026 könnyűszerkezetes piac + munkafázisokra bontott norma</x:v>
      </x:c>
      <x:c r="AD141" s="19" t="str">
        <x:v>Faanyag, kötőelem, lapanyag, fólia és emelőgép nincs benne.</x:v>
      </x:c>
    </x:row>
    <x:row r="142">
      <x:c r="A142" s="19" t="str">
        <x:v>AR-0141</x:v>
      </x:c>
      <x:c r="B142" s="19" t="str">
        <x:v>07 Könnyűszerkezet</x:v>
      </x:c>
      <x:c r="C142" s="19" t="str">
        <x:v>Favázas szerkezet</x:v>
      </x:c>
      <x:c r="D142" s="19" t="str">
        <x:v>Faváz</x:v>
      </x:c>
      <x:c r="E142" s="19" t="str">
        <x:v>Favázas födémgerendák elhelyezése</x:v>
      </x:c>
      <x:c r="F142" s="19" t="str">
        <x:v>m²</x:v>
      </x:c>
      <x:c r="G142" s="113" t="n">
        <x:v>4500</x:v>
      </x:c>
      <x:c r="H142" s="113" t="n">
        <x:v>6800</x:v>
      </x:c>
      <x:c r="I142" s="114" t="n">
        <x:v>0.5</x:v>
      </x:c>
      <x:c r="J142" s="113" t="n">
        <x:f>ROUND(H142*I142/Beallitasok!$B$7,0)*Beallitasok!$B$7</x:f>
        <x:v>3400</x:v>
      </x:c>
      <x:c r="K142" s="19" t="n">
        <x:v>3</x:v>
      </x:c>
      <x:c r="L142" s="19" t="n">
        <x:v>2</x:v>
      </x:c>
      <x:c r="M142" s="113" t="n">
        <x:f>K142*Beallitasok!$B$2+L142*Beallitasok!$B$3</x:f>
        <x:v>155000</x:v>
      </x:c>
      <x:c r="N142" s="115" t="n">
        <x:v>45</x:v>
      </x:c>
      <x:c r="O142" s="113" t="n">
        <x:f>IFERROR(M142/N142,"")</x:f>
        <x:v>3444.4444444444443</x:v>
      </x:c>
      <x:c r="P142" s="116" t="n">
        <x:f>Beallitasok!$B$5</x:f>
        <x:v>1.15</x:v>
      </x:c>
      <x:c r="Q142" s="113" t="n">
        <x:f>IFERROR(ROUND(O142*P142/Beallitasok!$B$7,0)*Beallitasok!$B$7,"")</x:f>
        <x:v>3950</x:v>
      </x:c>
      <x:c r="R142" s="113"/>
      <x:c r="S142" s="113" t="n">
        <x:f>IF(Q142="","",Q142+IF(R142="",0,R142))</x:f>
        <x:v>3950</x:v>
      </x:c>
      <x:c r="T142" s="113" t="n">
        <x:f>M142*Beallitasok!$B$4</x:f>
        <x:v>775000</x:v>
      </x:c>
      <x:c r="U142" s="115" t="n">
        <x:f>N142*Beallitasok!$B$4</x:f>
        <x:v>225</x:v>
      </x:c>
      <x:c r="V142" s="113"/>
      <x:c r="W142" s="113" t="str">
        <x:f>IF(V142="","",V142-J142)</x:f>
      </x:c>
      <x:c r="X142" s="19"/>
      <x:c r="Y142" s="113" t="n">
        <x:f>IF(S142="","",J142-S142)</x:f>
        <x:v>-550</x:v>
      </x:c>
      <x:c r="Z142" s="19" t="str">
        <x:f>IF(AA142="IGEN",IF(J142&lt;S142,"GÉPIGÉNY + KRITIKUS: gépdíj nélkül is alacsony a plafon","GÉPIGÉNY: a saját egységár gépdíj nélkül értendő"),IF(J142&lt;S142,"KRITIKUS: alvállalkozói plafon &lt; saját terhelt egységköltség",IF(J142&lt;S142*Beallitasok!$B$6,"SZŰK TARTALÉK: 10% alatti tartalék","OK")))</x:f>
        <x:v>KRITIKUS: alvállalkozói plafon &lt; saját terhelt egységköltség</x:v>
      </x:c>
      <x:c r="AA142" s="19" t="str">
        <x:v>NEM</x:v>
      </x:c>
      <x:c r="AB142" s="19" t="str">
        <x:v>https://joszaki.hu/arak/konnyuszerkezetes-haz-epites</x:v>
      </x:c>
      <x:c r="AC142" s="19" t="str">
        <x:v>2026 könnyűszerkezetes piac + munkafázisokra bontott norma</x:v>
      </x:c>
      <x:c r="AD142" s="19" t="str">
        <x:v>Faanyag, kötőelem, lapanyag, fólia és emelőgép nincs benne.</x:v>
      </x:c>
    </x:row>
    <x:row r="143">
      <x:c r="A143" s="19" t="str">
        <x:v>AR-0142</x:v>
      </x:c>
      <x:c r="B143" s="19" t="str">
        <x:v>07 Könnyűszerkezet</x:v>
      </x:c>
      <x:c r="C143" s="19" t="str">
        <x:v>Favázas szerkezet</x:v>
      </x:c>
      <x:c r="D143" s="19" t="str">
        <x:v>Faváz</x:v>
      </x:c>
      <x:c r="E143" s="19" t="str">
        <x:v>Fa födém OSB járófelület szerelése</x:v>
      </x:c>
      <x:c r="F143" s="19" t="str">
        <x:v>m²</x:v>
      </x:c>
      <x:c r="G143" s="113" t="n">
        <x:v>2400</x:v>
      </x:c>
      <x:c r="H143" s="113" t="n">
        <x:v>3600</x:v>
      </x:c>
      <x:c r="I143" s="114" t="n">
        <x:v>0.5</x:v>
      </x:c>
      <x:c r="J143" s="113" t="n">
        <x:f>ROUND(H143*I143/Beallitasok!$B$7,0)*Beallitasok!$B$7</x:f>
        <x:v>1800</x:v>
      </x:c>
      <x:c r="K143" s="19" t="n">
        <x:v>2</x:v>
      </x:c>
      <x:c r="L143" s="19" t="n">
        <x:v>1</x:v>
      </x:c>
      <x:c r="M143" s="113" t="n">
        <x:f>K143*Beallitasok!$B$2+L143*Beallitasok!$B$3</x:f>
        <x:v>95000</x:v>
      </x:c>
      <x:c r="N143" s="115" t="n">
        <x:v>82</x:v>
      </x:c>
      <x:c r="O143" s="113" t="n">
        <x:f>IFERROR(M143/N143,"")</x:f>
        <x:v>1158.5365853658536</x:v>
      </x:c>
      <x:c r="P143" s="116" t="n">
        <x:f>Beallitasok!$B$5</x:f>
        <x:v>1.15</x:v>
      </x:c>
      <x:c r="Q143" s="113" t="n">
        <x:f>IFERROR(ROUND(O143*P143/Beallitasok!$B$7,0)*Beallitasok!$B$7,"")</x:f>
        <x:v>1350</x:v>
      </x:c>
      <x:c r="R143" s="113"/>
      <x:c r="S143" s="113" t="n">
        <x:f>IF(Q143="","",Q143+IF(R143="",0,R143))</x:f>
        <x:v>1350</x:v>
      </x:c>
      <x:c r="T143" s="113" t="n">
        <x:f>M143*Beallitasok!$B$4</x:f>
        <x:v>475000</x:v>
      </x:c>
      <x:c r="U143" s="115" t="n">
        <x:f>N143*Beallitasok!$B$4</x:f>
        <x:v>410</x:v>
      </x:c>
      <x:c r="V143" s="113"/>
      <x:c r="W143" s="113" t="str">
        <x:f>IF(V143="","",V143-J143)</x:f>
      </x:c>
      <x:c r="X143" s="19"/>
      <x:c r="Y143" s="113" t="n">
        <x:f>IF(S143="","",J143-S143)</x:f>
        <x:v>450</x:v>
      </x:c>
      <x:c r="Z143" s="19" t="str">
        <x:f>IF(AA143="IGEN",IF(J143&lt;S143,"GÉPIGÉNY + KRITIKUS: gépdíj nélkül is alacsony a plafon","GÉPIGÉNY: a saját egységár gépdíj nélkül értendő"),IF(J143&lt;S143,"KRITIKUS: alvállalkozói plafon &lt; saját terhelt egységköltség",IF(J143&lt;S143*Beallitasok!$B$6,"SZŰK TARTALÉK: 10% alatti tartalék","OK")))</x:f>
        <x:v>OK</x:v>
      </x:c>
      <x:c r="AA143" s="19" t="str">
        <x:v>NEM</x:v>
      </x:c>
      <x:c r="AB143" s="19" t="str">
        <x:v>https://joszaki.hu/arak/konnyuszerkezetes-haz-epites</x:v>
      </x:c>
      <x:c r="AC143" s="19" t="str">
        <x:v>2026 könnyűszerkezetes piac + munkafázisokra bontott norma</x:v>
      </x:c>
      <x:c r="AD143" s="19" t="str">
        <x:v>Faanyag, kötőelem, lapanyag, fólia és emelőgép nincs benne.</x:v>
      </x:c>
    </x:row>
    <x:row r="144">
      <x:c r="A144" s="19" t="str">
        <x:v>AR-0143</x:v>
      </x:c>
      <x:c r="B144" s="19" t="str">
        <x:v>07 Könnyűszerkezet</x:v>
      </x:c>
      <x:c r="C144" s="19" t="str">
        <x:v>Favázas szerkezet</x:v>
      </x:c>
      <x:c r="D144" s="19" t="str">
        <x:v>Faváz</x:v>
      </x:c>
      <x:c r="E144" s="19" t="str">
        <x:v>Fa födém rezgéscsillapító és hangszigetelő réteg beépítése</x:v>
      </x:c>
      <x:c r="F144" s="19" t="str">
        <x:v>m²</x:v>
      </x:c>
      <x:c r="G144" s="113" t="n">
        <x:v>1400</x:v>
      </x:c>
      <x:c r="H144" s="113" t="n">
        <x:v>2100</x:v>
      </x:c>
      <x:c r="I144" s="114" t="n">
        <x:v>0.55</x:v>
      </x:c>
      <x:c r="J144" s="113" t="n">
        <x:f>ROUND(H144*I144/Beallitasok!$B$7,0)*Beallitasok!$B$7</x:f>
        <x:v>1150</x:v>
      </x:c>
      <x:c r="K144" s="19" t="n">
        <x:v>1</x:v>
      </x:c>
      <x:c r="L144" s="19" t="n">
        <x:v>1</x:v>
      </x:c>
      <x:c r="M144" s="113" t="n">
        <x:f>K144*Beallitasok!$B$2+L144*Beallitasok!$B$3</x:f>
        <x:v>60000</x:v>
      </x:c>
      <x:c r="N144" s="115" t="n">
        <x:v>125</x:v>
      </x:c>
      <x:c r="O144" s="113" t="n">
        <x:f>IFERROR(M144/N144,"")</x:f>
        <x:v>480</x:v>
      </x:c>
      <x:c r="P144" s="116" t="n">
        <x:f>Beallitasok!$B$5</x:f>
        <x:v>1.15</x:v>
      </x:c>
      <x:c r="Q144" s="113" t="n">
        <x:f>IFERROR(ROUND(O144*P144/Beallitasok!$B$7,0)*Beallitasok!$B$7,"")</x:f>
        <x:v>550</x:v>
      </x:c>
      <x:c r="R144" s="113"/>
      <x:c r="S144" s="113" t="n">
        <x:f>IF(Q144="","",Q144+IF(R144="",0,R144))</x:f>
        <x:v>550</x:v>
      </x:c>
      <x:c r="T144" s="113" t="n">
        <x:f>M144*Beallitasok!$B$4</x:f>
        <x:v>300000</x:v>
      </x:c>
      <x:c r="U144" s="115" t="n">
        <x:f>N144*Beallitasok!$B$4</x:f>
        <x:v>625</x:v>
      </x:c>
      <x:c r="V144" s="113"/>
      <x:c r="W144" s="113" t="str">
        <x:f>IF(V144="","",V144-J144)</x:f>
      </x:c>
      <x:c r="X144" s="19"/>
      <x:c r="Y144" s="113" t="n">
        <x:f>IF(S144="","",J144-S144)</x:f>
        <x:v>600</x:v>
      </x:c>
      <x:c r="Z144" s="19" t="str">
        <x:f>IF(AA144="IGEN",IF(J144&lt;S144,"GÉPIGÉNY + KRITIKUS: gépdíj nélkül is alacsony a plafon","GÉPIGÉNY: a saját egységár gépdíj nélkül értendő"),IF(J144&lt;S144,"KRITIKUS: alvállalkozói plafon &lt; saját terhelt egységköltség",IF(J144&lt;S144*Beallitasok!$B$6,"SZŰK TARTALÉK: 10% alatti tartalék","OK")))</x:f>
        <x:v>OK</x:v>
      </x:c>
      <x:c r="AA144" s="19" t="str">
        <x:v>NEM</x:v>
      </x:c>
      <x:c r="AB144" s="19" t="str">
        <x:v>https://joszaki.hu/arak/konnyuszerkezetes-haz-epites</x:v>
      </x:c>
      <x:c r="AC144" s="19" t="str">
        <x:v>2026 könnyűszerkezetes piac + munkafázisokra bontott norma</x:v>
      </x:c>
      <x:c r="AD144" s="19" t="str">
        <x:v>Faanyag, kötőelem, lapanyag, fólia és emelőgép nincs benne.</x:v>
      </x:c>
    </x:row>
    <x:row r="145">
      <x:c r="A145" s="19" t="str">
        <x:v>AR-0144</x:v>
      </x:c>
      <x:c r="B145" s="19" t="str">
        <x:v>07 Könnyűszerkezet</x:v>
      </x:c>
      <x:c r="C145" s="19" t="str">
        <x:v>Favázas szerkezet</x:v>
      </x:c>
      <x:c r="D145" s="19" t="str">
        <x:v>Faváz</x:v>
      </x:c>
      <x:c r="E145" s="19" t="str">
        <x:v>Fa szerkezet kapcsolatok csavarozása és lemezelése</x:v>
      </x:c>
      <x:c r="F145" s="19" t="str">
        <x:v>db csomópont</x:v>
      </x:c>
      <x:c r="G145" s="113" t="n">
        <x:v>2400</x:v>
      </x:c>
      <x:c r="H145" s="113" t="n">
        <x:v>3600</x:v>
      </x:c>
      <x:c r="I145" s="114" t="n">
        <x:v>0.5</x:v>
      </x:c>
      <x:c r="J145" s="113" t="n">
        <x:f>ROUND(H145*I145/Beallitasok!$B$7,0)*Beallitasok!$B$7</x:f>
        <x:v>1800</x:v>
      </x:c>
      <x:c r="K145" s="19" t="n">
        <x:v>2</x:v>
      </x:c>
      <x:c r="L145" s="19" t="n">
        <x:v>1</x:v>
      </x:c>
      <x:c r="M145" s="113" t="n">
        <x:f>K145*Beallitasok!$B$2+L145*Beallitasok!$B$3</x:f>
        <x:v>95000</x:v>
      </x:c>
      <x:c r="N145" s="115" t="n">
        <x:v>28</x:v>
      </x:c>
      <x:c r="O145" s="113" t="n">
        <x:f>IFERROR(M145/N145,"")</x:f>
        <x:v>3392.8571428571427</x:v>
      </x:c>
      <x:c r="P145" s="116" t="n">
        <x:f>Beallitasok!$B$5</x:f>
        <x:v>1.15</x:v>
      </x:c>
      <x:c r="Q145" s="113" t="n">
        <x:f>IFERROR(ROUND(O145*P145/Beallitasok!$B$7,0)*Beallitasok!$B$7,"")</x:f>
        <x:v>3900</x:v>
      </x:c>
      <x:c r="R145" s="113"/>
      <x:c r="S145" s="113" t="n">
        <x:f>IF(Q145="","",Q145+IF(R145="",0,R145))</x:f>
        <x:v>3900</x:v>
      </x:c>
      <x:c r="T145" s="113" t="n">
        <x:f>M145*Beallitasok!$B$4</x:f>
        <x:v>475000</x:v>
      </x:c>
      <x:c r="U145" s="115" t="n">
        <x:f>N145*Beallitasok!$B$4</x:f>
        <x:v>140</x:v>
      </x:c>
      <x:c r="V145" s="113"/>
      <x:c r="W145" s="113" t="str">
        <x:f>IF(V145="","",V145-J145)</x:f>
      </x:c>
      <x:c r="X145" s="19"/>
      <x:c r="Y145" s="113" t="n">
        <x:f>IF(S145="","",J145-S145)</x:f>
        <x:v>-2100</x:v>
      </x:c>
      <x:c r="Z145" s="19" t="str">
        <x:f>IF(AA145="IGEN",IF(J145&lt;S145,"GÉPIGÉNY + KRITIKUS: gépdíj nélkül is alacsony a plafon","GÉPIGÉNY: a saját egységár gépdíj nélkül értendő"),IF(J145&lt;S145,"KRITIKUS: alvállalkozói plafon &lt; saját terhelt egységköltség",IF(J145&lt;S145*Beallitasok!$B$6,"SZŰK TARTALÉK: 10% alatti tartalék","OK")))</x:f>
        <x:v>KRITIKUS: alvállalkozói plafon &lt; saját terhelt egységköltség</x:v>
      </x:c>
      <x:c r="AA145" s="19" t="str">
        <x:v>NEM</x:v>
      </x:c>
      <x:c r="AB145" s="19" t="str">
        <x:v>https://joszaki.hu/arak/konnyuszerkezetes-haz-epites</x:v>
      </x:c>
      <x:c r="AC145" s="19" t="str">
        <x:v>2026 könnyűszerkezetes piac + munkafázisokra bontott norma</x:v>
      </x:c>
      <x:c r="AD145" s="19" t="str">
        <x:v>Faanyag, kötőelem, lapanyag, fólia és emelőgép nincs benne.</x:v>
      </x:c>
    </x:row>
    <x:row r="146">
      <x:c r="A146" s="19" t="str">
        <x:v>AR-0145</x:v>
      </x:c>
      <x:c r="B146" s="19" t="str">
        <x:v>07 Könnyűszerkezet</x:v>
      </x:c>
      <x:c r="C146" s="19" t="str">
        <x:v>Favázas szerkezet</x:v>
      </x:c>
      <x:c r="D146" s="19" t="str">
        <x:v>Faváz</x:v>
      </x:c>
      <x:c r="E146" s="19" t="str">
        <x:v>Ablaknyílás kiváltó keret kialakítása favázban</x:v>
      </x:c>
      <x:c r="F146" s="19" t="str">
        <x:v>db</x:v>
      </x:c>
      <x:c r="G146" s="113" t="n">
        <x:v>9500</x:v>
      </x:c>
      <x:c r="H146" s="113" t="n">
        <x:v>14000</x:v>
      </x:c>
      <x:c r="I146" s="114" t="n">
        <x:v>0.5</x:v>
      </x:c>
      <x:c r="J146" s="113" t="n">
        <x:f>ROUND(H146*I146/Beallitasok!$B$7,0)*Beallitasok!$B$7</x:f>
        <x:v>7000</x:v>
      </x:c>
      <x:c r="K146" s="19" t="n">
        <x:v>2</x:v>
      </x:c>
      <x:c r="L146" s="19" t="n">
        <x:v>1</x:v>
      </x:c>
      <x:c r="M146" s="113" t="n">
        <x:f>K146*Beallitasok!$B$2+L146*Beallitasok!$B$3</x:f>
        <x:v>95000</x:v>
      </x:c>
      <x:c r="N146" s="115" t="n">
        <x:v>7</x:v>
      </x:c>
      <x:c r="O146" s="113" t="n">
        <x:f>IFERROR(M146/N146,"")</x:f>
        <x:v>13571.42857142857</x:v>
      </x:c>
      <x:c r="P146" s="116" t="n">
        <x:f>Beallitasok!$B$5</x:f>
        <x:v>1.15</x:v>
      </x:c>
      <x:c r="Q146" s="113" t="n">
        <x:f>IFERROR(ROUND(O146*P146/Beallitasok!$B$7,0)*Beallitasok!$B$7,"")</x:f>
        <x:v>15600</x:v>
      </x:c>
      <x:c r="R146" s="113"/>
      <x:c r="S146" s="113" t="n">
        <x:f>IF(Q146="","",Q146+IF(R146="",0,R146))</x:f>
        <x:v>15600</x:v>
      </x:c>
      <x:c r="T146" s="113" t="n">
        <x:f>M146*Beallitasok!$B$4</x:f>
        <x:v>475000</x:v>
      </x:c>
      <x:c r="U146" s="115" t="n">
        <x:f>N146*Beallitasok!$B$4</x:f>
        <x:v>35</x:v>
      </x:c>
      <x:c r="V146" s="113"/>
      <x:c r="W146" s="113" t="str">
        <x:f>IF(V146="","",V146-J146)</x:f>
      </x:c>
      <x:c r="X146" s="19"/>
      <x:c r="Y146" s="113" t="n">
        <x:f>IF(S146="","",J146-S146)</x:f>
        <x:v>-8600</x:v>
      </x:c>
      <x:c r="Z146" s="19" t="str">
        <x:f>IF(AA146="IGEN",IF(J146&lt;S146,"GÉPIGÉNY + KRITIKUS: gépdíj nélkül is alacsony a plafon","GÉPIGÉNY: a saját egységár gépdíj nélkül értendő"),IF(J146&lt;S146,"KRITIKUS: alvállalkozói plafon &lt; saját terhelt egységköltség",IF(J146&lt;S146*Beallitasok!$B$6,"SZŰK TARTALÉK: 10% alatti tartalék","OK")))</x:f>
        <x:v>KRITIKUS: alvállalkozói plafon &lt; saját terhelt egységköltség</x:v>
      </x:c>
      <x:c r="AA146" s="19" t="str">
        <x:v>NEM</x:v>
      </x:c>
      <x:c r="AB146" s="19" t="str">
        <x:v>https://joszaki.hu/arak/konnyuszerkezetes-haz-epites</x:v>
      </x:c>
      <x:c r="AC146" s="19" t="str">
        <x:v>2026 könnyűszerkezetes piac + munkafázisokra bontott norma</x:v>
      </x:c>
      <x:c r="AD146" s="19" t="str">
        <x:v>Faanyag, kötőelem, lapanyag, fólia és emelőgép nincs benne.</x:v>
      </x:c>
    </x:row>
    <x:row r="147">
      <x:c r="A147" s="19" t="str">
        <x:v>AR-0146</x:v>
      </x:c>
      <x:c r="B147" s="19" t="str">
        <x:v>07 Könnyűszerkezet</x:v>
      </x:c>
      <x:c r="C147" s="19" t="str">
        <x:v>Favázas szerkezet</x:v>
      </x:c>
      <x:c r="D147" s="19" t="str">
        <x:v>Faváz</x:v>
      </x:c>
      <x:c r="E147" s="19" t="str">
        <x:v>Ajtónyílás merevített keretének kialakítása</x:v>
      </x:c>
      <x:c r="F147" s="19" t="str">
        <x:v>db</x:v>
      </x:c>
      <x:c r="G147" s="113" t="n">
        <x:v>7500</x:v>
      </x:c>
      <x:c r="H147" s="113" t="n">
        <x:v>11000</x:v>
      </x:c>
      <x:c r="I147" s="114" t="n">
        <x:v>0.5</x:v>
      </x:c>
      <x:c r="J147" s="113" t="n">
        <x:f>ROUND(H147*I147/Beallitasok!$B$7,0)*Beallitasok!$B$7</x:f>
        <x:v>5500</x:v>
      </x:c>
      <x:c r="K147" s="19" t="n">
        <x:v>2</x:v>
      </x:c>
      <x:c r="L147" s="19" t="n">
        <x:v>1</x:v>
      </x:c>
      <x:c r="M147" s="113" t="n">
        <x:f>K147*Beallitasok!$B$2+L147*Beallitasok!$B$3</x:f>
        <x:v>95000</x:v>
      </x:c>
      <x:c r="N147" s="115" t="n">
        <x:v>9</x:v>
      </x:c>
      <x:c r="O147" s="113" t="n">
        <x:f>IFERROR(M147/N147,"")</x:f>
        <x:v>10555.555555555555</x:v>
      </x:c>
      <x:c r="P147" s="116" t="n">
        <x:f>Beallitasok!$B$5</x:f>
        <x:v>1.15</x:v>
      </x:c>
      <x:c r="Q147" s="113" t="n">
        <x:f>IFERROR(ROUND(O147*P147/Beallitasok!$B$7,0)*Beallitasok!$B$7,"")</x:f>
        <x:v>12150</x:v>
      </x:c>
      <x:c r="R147" s="113"/>
      <x:c r="S147" s="113" t="n">
        <x:f>IF(Q147="","",Q147+IF(R147="",0,R147))</x:f>
        <x:v>12150</x:v>
      </x:c>
      <x:c r="T147" s="113" t="n">
        <x:f>M147*Beallitasok!$B$4</x:f>
        <x:v>475000</x:v>
      </x:c>
      <x:c r="U147" s="115" t="n">
        <x:f>N147*Beallitasok!$B$4</x:f>
        <x:v>45</x:v>
      </x:c>
      <x:c r="V147" s="113"/>
      <x:c r="W147" s="113" t="str">
        <x:f>IF(V147="","",V147-J147)</x:f>
      </x:c>
      <x:c r="X147" s="19"/>
      <x:c r="Y147" s="113" t="n">
        <x:f>IF(S147="","",J147-S147)</x:f>
        <x:v>-6650</x:v>
      </x:c>
      <x:c r="Z147" s="19" t="str">
        <x:f>IF(AA147="IGEN",IF(J147&lt;S147,"GÉPIGÉNY + KRITIKUS: gépdíj nélkül is alacsony a plafon","GÉPIGÉNY: a saját egységár gépdíj nélkül értendő"),IF(J147&lt;S147,"KRITIKUS: alvállalkozói plafon &lt; saját terhelt egységköltség",IF(J147&lt;S147*Beallitasok!$B$6,"SZŰK TARTALÉK: 10% alatti tartalék","OK")))</x:f>
        <x:v>KRITIKUS: alvállalkozói plafon &lt; saját terhelt egységköltség</x:v>
      </x:c>
      <x:c r="AA147" s="19" t="str">
        <x:v>NEM</x:v>
      </x:c>
      <x:c r="AB147" s="19" t="str">
        <x:v>https://joszaki.hu/arak/konnyuszerkezetes-haz-epites</x:v>
      </x:c>
      <x:c r="AC147" s="19" t="str">
        <x:v>2026 könnyűszerkezetes piac + munkafázisokra bontott norma</x:v>
      </x:c>
      <x:c r="AD147" s="19" t="str">
        <x:v>Faanyag, kötőelem, lapanyag, fólia és emelőgép nincs benne.</x:v>
      </x:c>
    </x:row>
    <x:row r="148">
      <x:c r="A148" s="19" t="str">
        <x:v>AR-0147</x:v>
      </x:c>
      <x:c r="B148" s="19" t="str">
        <x:v>07 Könnyűszerkezet</x:v>
      </x:c>
      <x:c r="C148" s="19" t="str">
        <x:v>Favázas szerkezet</x:v>
      </x:c>
      <x:c r="D148" s="19" t="str">
        <x:v>Faváz</x:v>
      </x:c>
      <x:c r="E148" s="19" t="str">
        <x:v>Modulcsatlakozás szerelése könnyűszerkezetes panelnél</x:v>
      </x:c>
      <x:c r="F148" s="19" t="str">
        <x:v>fm</x:v>
      </x:c>
      <x:c r="G148" s="113" t="n">
        <x:v>3200</x:v>
      </x:c>
      <x:c r="H148" s="113" t="n">
        <x:v>4800</x:v>
      </x:c>
      <x:c r="I148" s="114" t="n">
        <x:v>0.5</x:v>
      </x:c>
      <x:c r="J148" s="113" t="n">
        <x:f>ROUND(H148*I148/Beallitasok!$B$7,0)*Beallitasok!$B$7</x:f>
        <x:v>2400</x:v>
      </x:c>
      <x:c r="K148" s="19" t="n">
        <x:v>3</x:v>
      </x:c>
      <x:c r="L148" s="19" t="n">
        <x:v>2</x:v>
      </x:c>
      <x:c r="M148" s="113" t="n">
        <x:f>K148*Beallitasok!$B$2+L148*Beallitasok!$B$3</x:f>
        <x:v>155000</x:v>
      </x:c>
      <x:c r="N148" s="115" t="n">
        <x:v>35</x:v>
      </x:c>
      <x:c r="O148" s="113" t="n">
        <x:f>IFERROR(M148/N148,"")</x:f>
        <x:v>4428.571428571428</x:v>
      </x:c>
      <x:c r="P148" s="116" t="n">
        <x:f>Beallitasok!$B$5</x:f>
        <x:v>1.15</x:v>
      </x:c>
      <x:c r="Q148" s="113" t="n">
        <x:f>IFERROR(ROUND(O148*P148/Beallitasok!$B$7,0)*Beallitasok!$B$7,"")</x:f>
        <x:v>5100</x:v>
      </x:c>
      <x:c r="R148" s="113"/>
      <x:c r="S148" s="113" t="n">
        <x:f>IF(Q148="","",Q148+IF(R148="",0,R148))</x:f>
        <x:v>5100</x:v>
      </x:c>
      <x:c r="T148" s="113" t="n">
        <x:f>M148*Beallitasok!$B$4</x:f>
        <x:v>775000</x:v>
      </x:c>
      <x:c r="U148" s="115" t="n">
        <x:f>N148*Beallitasok!$B$4</x:f>
        <x:v>175</x:v>
      </x:c>
      <x:c r="V148" s="113"/>
      <x:c r="W148" s="113" t="str">
        <x:f>IF(V148="","",V148-J148)</x:f>
      </x:c>
      <x:c r="X148" s="19"/>
      <x:c r="Y148" s="113" t="n">
        <x:f>IF(S148="","",J148-S148)</x:f>
        <x:v>-2700</x:v>
      </x:c>
      <x:c r="Z148" s="19" t="str">
        <x:f>IF(AA148="IGEN",IF(J148&lt;S148,"GÉPIGÉNY + KRITIKUS: gépdíj nélkül is alacsony a plafon","GÉPIGÉNY: a saját egységár gépdíj nélkül értendő"),IF(J148&lt;S148,"KRITIKUS: alvállalkozói plafon &lt; saját terhelt egységköltség",IF(J148&lt;S148*Beallitasok!$B$6,"SZŰK TARTALÉK: 10% alatti tartalék","OK")))</x:f>
        <x:v>KRITIKUS: alvállalkozói plafon &lt; saját terhelt egységköltség</x:v>
      </x:c>
      <x:c r="AA148" s="19" t="str">
        <x:v>NEM</x:v>
      </x:c>
      <x:c r="AB148" s="19" t="str">
        <x:v>https://joszaki.hu/arak/konnyuszerkezetes-haz-epites</x:v>
      </x:c>
      <x:c r="AC148" s="19" t="str">
        <x:v>2026 könnyűszerkezetes piac + munkafázisokra bontott norma</x:v>
      </x:c>
      <x:c r="AD148" s="19" t="str">
        <x:v>Faanyag, kötőelem, lapanyag, fólia és emelőgép nincs benne.</x:v>
      </x:c>
    </x:row>
    <x:row r="149">
      <x:c r="A149" s="19" t="str">
        <x:v>AR-0148</x:v>
      </x:c>
      <x:c r="B149" s="19" t="str">
        <x:v>07 Könnyűszerkezet</x:v>
      </x:c>
      <x:c r="C149" s="19" t="str">
        <x:v>Favázas szerkezet</x:v>
      </x:c>
      <x:c r="D149" s="19" t="str">
        <x:v>Faváz</x:v>
      </x:c>
      <x:c r="E149" s="19" t="str">
        <x:v>Könnyűszerkezetes fal geometriai ellenőrzése és utánállítása</x:v>
      </x:c>
      <x:c r="F149" s="19" t="str">
        <x:v>m² fal</x:v>
      </x:c>
      <x:c r="G149" s="113" t="n">
        <x:v>800</x:v>
      </x:c>
      <x:c r="H149" s="113" t="n">
        <x:v>1250</x:v>
      </x:c>
      <x:c r="I149" s="114" t="n">
        <x:v>0.5</x:v>
      </x:c>
      <x:c r="J149" s="113" t="n">
        <x:f>ROUND(H149*I149/Beallitasok!$B$7,0)*Beallitasok!$B$7</x:f>
        <x:v>650</x:v>
      </x:c>
      <x:c r="K149" s="19" t="n">
        <x:v>2</x:v>
      </x:c>
      <x:c r="L149" s="19" t="n">
        <x:v>1</x:v>
      </x:c>
      <x:c r="M149" s="113" t="n">
        <x:f>K149*Beallitasok!$B$2+L149*Beallitasok!$B$3</x:f>
        <x:v>95000</x:v>
      </x:c>
      <x:c r="N149" s="115" t="n">
        <x:v>160</x:v>
      </x:c>
      <x:c r="O149" s="113" t="n">
        <x:f>IFERROR(M149/N149,"")</x:f>
        <x:v>593.75</x:v>
      </x:c>
      <x:c r="P149" s="116" t="n">
        <x:f>Beallitasok!$B$5</x:f>
        <x:v>1.15</x:v>
      </x:c>
      <x:c r="Q149" s="113" t="n">
        <x:f>IFERROR(ROUND(O149*P149/Beallitasok!$B$7,0)*Beallitasok!$B$7,"")</x:f>
        <x:v>700</x:v>
      </x:c>
      <x:c r="R149" s="113"/>
      <x:c r="S149" s="113" t="n">
        <x:f>IF(Q149="","",Q149+IF(R149="",0,R149))</x:f>
        <x:v>700</x:v>
      </x:c>
      <x:c r="T149" s="113" t="n">
        <x:f>M149*Beallitasok!$B$4</x:f>
        <x:v>475000</x:v>
      </x:c>
      <x:c r="U149" s="115" t="n">
        <x:f>N149*Beallitasok!$B$4</x:f>
        <x:v>800</x:v>
      </x:c>
      <x:c r="V149" s="113"/>
      <x:c r="W149" s="113" t="str">
        <x:f>IF(V149="","",V149-J149)</x:f>
      </x:c>
      <x:c r="X149" s="19"/>
      <x:c r="Y149" s="113" t="n">
        <x:f>IF(S149="","",J149-S149)</x:f>
        <x:v>-50</x:v>
      </x:c>
      <x:c r="Z149" s="19" t="str">
        <x:f>IF(AA149="IGEN",IF(J149&lt;S149,"GÉPIGÉNY + KRITIKUS: gépdíj nélkül is alacsony a plafon","GÉPIGÉNY: a saját egységár gépdíj nélkül értendő"),IF(J149&lt;S149,"KRITIKUS: alvállalkozói plafon &lt; saját terhelt egységköltség",IF(J149&lt;S149*Beallitasok!$B$6,"SZŰK TARTALÉK: 10% alatti tartalék","OK")))</x:f>
        <x:v>KRITIKUS: alvállalkozói plafon &lt; saját terhelt egységköltség</x:v>
      </x:c>
      <x:c r="AA149" s="19" t="str">
        <x:v>NEM</x:v>
      </x:c>
      <x:c r="AB149" s="19" t="str">
        <x:v>https://joszaki.hu/arak/konnyuszerkezetes-haz-epites</x:v>
      </x:c>
      <x:c r="AC149" s="19" t="str">
        <x:v>2026 könnyűszerkezetes piac + munkafázisokra bontott norma</x:v>
      </x:c>
      <x:c r="AD149" s="19" t="str">
        <x:v>Faanyag, kötőelem, lapanyag, fólia és emelőgép nincs benne.</x:v>
      </x:c>
    </x:row>
    <x:row r="150">
      <x:c r="A150" s="19" t="str">
        <x:v>AR-0149</x:v>
      </x:c>
      <x:c r="B150" s="19" t="str">
        <x:v>07 Könnyűszerkezet</x:v>
      </x:c>
      <x:c r="C150" s="19" t="str">
        <x:v>Könnyűacél szerkezet</x:v>
      </x:c>
      <x:c r="D150" s="19" t="str">
        <x:v>Könnyűacél</x:v>
      </x:c>
      <x:c r="E150" s="19" t="str">
        <x:v>Horganyzott talpsín kitűzése és rögzítése</x:v>
      </x:c>
      <x:c r="F150" s="19" t="str">
        <x:v>fm</x:v>
      </x:c>
      <x:c r="G150" s="113" t="n">
        <x:v>1700</x:v>
      </x:c>
      <x:c r="H150" s="113" t="n">
        <x:v>2600</x:v>
      </x:c>
      <x:c r="I150" s="114" t="n">
        <x:v>0.5</x:v>
      </x:c>
      <x:c r="J150" s="113" t="n">
        <x:f>ROUND(H150*I150/Beallitasok!$B$7,0)*Beallitasok!$B$7</x:f>
        <x:v>1300</x:v>
      </x:c>
      <x:c r="K150" s="19" t="n">
        <x:v>2</x:v>
      </x:c>
      <x:c r="L150" s="19" t="n">
        <x:v>1</x:v>
      </x:c>
      <x:c r="M150" s="113" t="n">
        <x:f>K150*Beallitasok!$B$2+L150*Beallitasok!$B$3</x:f>
        <x:v>95000</x:v>
      </x:c>
      <x:c r="N150" s="115" t="n">
        <x:v>65</x:v>
      </x:c>
      <x:c r="O150" s="113" t="n">
        <x:f>IFERROR(M150/N150,"")</x:f>
        <x:v>1461.5384615384614</x:v>
      </x:c>
      <x:c r="P150" s="116" t="n">
        <x:f>Beallitasok!$B$5</x:f>
        <x:v>1.15</x:v>
      </x:c>
      <x:c r="Q150" s="113" t="n">
        <x:f>IFERROR(ROUND(O150*P150/Beallitasok!$B$7,0)*Beallitasok!$B$7,"")</x:f>
        <x:v>1700</x:v>
      </x:c>
      <x:c r="R150" s="113"/>
      <x:c r="S150" s="113" t="n">
        <x:f>IF(Q150="","",Q150+IF(R150="",0,R150))</x:f>
        <x:v>1700</x:v>
      </x:c>
      <x:c r="T150" s="113" t="n">
        <x:f>M150*Beallitasok!$B$4</x:f>
        <x:v>475000</x:v>
      </x:c>
      <x:c r="U150" s="115" t="n">
        <x:f>N150*Beallitasok!$B$4</x:f>
        <x:v>325</x:v>
      </x:c>
      <x:c r="V150" s="113"/>
      <x:c r="W150" s="113" t="str">
        <x:f>IF(V150="","",V150-J150)</x:f>
      </x:c>
      <x:c r="X150" s="19"/>
      <x:c r="Y150" s="113" t="n">
        <x:f>IF(S150="","",J150-S150)</x:f>
        <x:v>-400</x:v>
      </x:c>
      <x:c r="Z150" s="19" t="str">
        <x:f>IF(AA150="IGEN",IF(J150&lt;S150,"GÉPIGÉNY + KRITIKUS: gépdíj nélkül is alacsony a plafon","GÉPIGÉNY: a saját egységár gépdíj nélkül értendő"),IF(J150&lt;S150,"KRITIKUS: alvállalkozói plafon &lt; saját terhelt egységköltség",IF(J150&lt;S150*Beallitasok!$B$6,"SZŰK TARTALÉK: 10% alatti tartalék","OK")))</x:f>
        <x:v>KRITIKUS: alvállalkozói plafon &lt; saját terhelt egységköltség</x:v>
      </x:c>
      <x:c r="AA150" s="19" t="str">
        <x:v>NEM</x:v>
      </x:c>
      <x:c r="AB150" s="19" t="str">
        <x:v>https://joszaki.hu/arak/konnyuszerkezetes-haz-epites</x:v>
      </x:c>
      <x:c r="AC150" s="19" t="str">
        <x:v>Könnyűszerkezetes piaci szintből és szerelési normából levezetett</x:v>
      </x:c>
      <x:c r="AD150" s="19" t="str">
        <x:v>Profil, csavar, emelőeszköz és gyártás nincs benne.</x:v>
      </x:c>
    </x:row>
    <x:row r="151">
      <x:c r="A151" s="19" t="str">
        <x:v>AR-0150</x:v>
      </x:c>
      <x:c r="B151" s="19" t="str">
        <x:v>07 Könnyűszerkezet</x:v>
      </x:c>
      <x:c r="C151" s="19" t="str">
        <x:v>Könnyűacél szerkezet</x:v>
      </x:c>
      <x:c r="D151" s="19" t="str">
        <x:v>Könnyűacél</x:v>
      </x:c>
      <x:c r="E151" s="19" t="str">
        <x:v>Könnyűacél külső falpanel helyszíni szerelése</x:v>
      </x:c>
      <x:c r="F151" s="19" t="str">
        <x:v>m² fal</x:v>
      </x:c>
      <x:c r="G151" s="113" t="n">
        <x:v>6200</x:v>
      </x:c>
      <x:c r="H151" s="113" t="n">
        <x:v>9200</x:v>
      </x:c>
      <x:c r="I151" s="114" t="n">
        <x:v>0.5</x:v>
      </x:c>
      <x:c r="J151" s="113" t="n">
        <x:f>ROUND(H151*I151/Beallitasok!$B$7,0)*Beallitasok!$B$7</x:f>
        <x:v>4600</x:v>
      </x:c>
      <x:c r="K151" s="19" t="n">
        <x:v>3</x:v>
      </x:c>
      <x:c r="L151" s="19" t="n">
        <x:v>2</x:v>
      </x:c>
      <x:c r="M151" s="113" t="n">
        <x:f>K151*Beallitasok!$B$2+L151*Beallitasok!$B$3</x:f>
        <x:v>155000</x:v>
      </x:c>
      <x:c r="N151" s="115" t="n">
        <x:v>38</x:v>
      </x:c>
      <x:c r="O151" s="113" t="n">
        <x:f>IFERROR(M151/N151,"")</x:f>
        <x:v>4078.9473684210525</x:v>
      </x:c>
      <x:c r="P151" s="116" t="n">
        <x:f>Beallitasok!$B$5</x:f>
        <x:v>1.15</x:v>
      </x:c>
      <x:c r="Q151" s="113" t="n">
        <x:f>IFERROR(ROUND(O151*P151/Beallitasok!$B$7,0)*Beallitasok!$B$7,"")</x:f>
        <x:v>4700</x:v>
      </x:c>
      <x:c r="R151" s="113"/>
      <x:c r="S151" s="113" t="n">
        <x:f>IF(Q151="","",Q151+IF(R151="",0,R151))</x:f>
        <x:v>4700</x:v>
      </x:c>
      <x:c r="T151" s="113" t="n">
        <x:f>M151*Beallitasok!$B$4</x:f>
        <x:v>775000</x:v>
      </x:c>
      <x:c r="U151" s="115" t="n">
        <x:f>N151*Beallitasok!$B$4</x:f>
        <x:v>190</x:v>
      </x:c>
      <x:c r="V151" s="113"/>
      <x:c r="W151" s="113" t="str">
        <x:f>IF(V151="","",V151-J151)</x:f>
      </x:c>
      <x:c r="X151" s="19"/>
      <x:c r="Y151" s="113" t="n">
        <x:f>IF(S151="","",J151-S151)</x:f>
        <x:v>-100</x:v>
      </x:c>
      <x:c r="Z151" s="19" t="str">
        <x:f>IF(AA151="IGEN",IF(J151&lt;S151,"GÉPIGÉNY + KRITIKUS: gépdíj nélkül is alacsony a plafon","GÉPIGÉNY: a saját egységár gépdíj nélkül értendő"),IF(J151&lt;S151,"KRITIKUS: alvállalkozói plafon &lt; saját terhelt egységköltség",IF(J151&lt;S151*Beallitasok!$B$6,"SZŰK TARTALÉK: 10% alatti tartalék","OK")))</x:f>
        <x:v>KRITIKUS: alvállalkozói plafon &lt; saját terhelt egységköltség</x:v>
      </x:c>
      <x:c r="AA151" s="19" t="str">
        <x:v>NEM</x:v>
      </x:c>
      <x:c r="AB151" s="19" t="str">
        <x:v>https://joszaki.hu/arak/konnyuszerkezetes-haz-epites</x:v>
      </x:c>
      <x:c r="AC151" s="19" t="str">
        <x:v>Könnyűszerkezetes piaci szintből és szerelési normából levezetett</x:v>
      </x:c>
      <x:c r="AD151" s="19" t="str">
        <x:v>Profil, csavar, emelőeszköz és gyártás nincs benne.</x:v>
      </x:c>
    </x:row>
    <x:row r="152">
      <x:c r="A152" s="19" t="str">
        <x:v>AR-0151</x:v>
      </x:c>
      <x:c r="B152" s="19" t="str">
        <x:v>07 Könnyűszerkezet</x:v>
      </x:c>
      <x:c r="C152" s="19" t="str">
        <x:v>Könnyűacél szerkezet</x:v>
      </x:c>
      <x:c r="D152" s="19" t="str">
        <x:v>Könnyűacél</x:v>
      </x:c>
      <x:c r="E152" s="19" t="str">
        <x:v>Könnyűacél falpanel felállítása és lehorgonyzása</x:v>
      </x:c>
      <x:c r="F152" s="19" t="str">
        <x:v>m² fal</x:v>
      </x:c>
      <x:c r="G152" s="113" t="n">
        <x:v>4300</x:v>
      </x:c>
      <x:c r="H152" s="113" t="n">
        <x:v>6500</x:v>
      </x:c>
      <x:c r="I152" s="114" t="n">
        <x:v>0.5</x:v>
      </x:c>
      <x:c r="J152" s="113" t="n">
        <x:f>ROUND(H152*I152/Beallitasok!$B$7,0)*Beallitasok!$B$7</x:f>
        <x:v>3250</x:v>
      </x:c>
      <x:c r="K152" s="19" t="n">
        <x:v>3</x:v>
      </x:c>
      <x:c r="L152" s="19" t="n">
        <x:v>2</x:v>
      </x:c>
      <x:c r="M152" s="113" t="n">
        <x:f>K152*Beallitasok!$B$2+L152*Beallitasok!$B$3</x:f>
        <x:v>155000</x:v>
      </x:c>
      <x:c r="N152" s="115" t="n">
        <x:v>52</x:v>
      </x:c>
      <x:c r="O152" s="113" t="n">
        <x:f>IFERROR(M152/N152,"")</x:f>
        <x:v>2980.769230769231</x:v>
      </x:c>
      <x:c r="P152" s="116" t="n">
        <x:f>Beallitasok!$B$5</x:f>
        <x:v>1.15</x:v>
      </x:c>
      <x:c r="Q152" s="113" t="n">
        <x:f>IFERROR(ROUND(O152*P152/Beallitasok!$B$7,0)*Beallitasok!$B$7,"")</x:f>
        <x:v>3450</x:v>
      </x:c>
      <x:c r="R152" s="113"/>
      <x:c r="S152" s="113" t="n">
        <x:f>IF(Q152="","",Q152+IF(R152="",0,R152))</x:f>
        <x:v>3450</x:v>
      </x:c>
      <x:c r="T152" s="113" t="n">
        <x:f>M152*Beallitasok!$B$4</x:f>
        <x:v>775000</x:v>
      </x:c>
      <x:c r="U152" s="115" t="n">
        <x:f>N152*Beallitasok!$B$4</x:f>
        <x:v>260</x:v>
      </x:c>
      <x:c r="V152" s="113"/>
      <x:c r="W152" s="113" t="str">
        <x:f>IF(V152="","",V152-J152)</x:f>
      </x:c>
      <x:c r="X152" s="19"/>
      <x:c r="Y152" s="113" t="n">
        <x:f>IF(S152="","",J152-S152)</x:f>
        <x:v>-200</x:v>
      </x:c>
      <x:c r="Z152" s="19" t="str">
        <x:f>IF(AA152="IGEN",IF(J152&lt;S152,"GÉPIGÉNY + KRITIKUS: gépdíj nélkül is alacsony a plafon","GÉPIGÉNY: a saját egységár gépdíj nélkül értendő"),IF(J152&lt;S152,"KRITIKUS: alvállalkozói plafon &lt; saját terhelt egységköltség",IF(J152&lt;S152*Beallitasok!$B$6,"SZŰK TARTALÉK: 10% alatti tartalék","OK")))</x:f>
        <x:v>KRITIKUS: alvállalkozói plafon &lt; saját terhelt egységköltség</x:v>
      </x:c>
      <x:c r="AA152" s="19" t="str">
        <x:v>NEM</x:v>
      </x:c>
      <x:c r="AB152" s="19" t="str">
        <x:v>https://joszaki.hu/arak/konnyuszerkezetes-haz-epites</x:v>
      </x:c>
      <x:c r="AC152" s="19" t="str">
        <x:v>Könnyűszerkezetes piaci szintből és szerelési normából levezetett</x:v>
      </x:c>
      <x:c r="AD152" s="19" t="str">
        <x:v>Profil, csavar, emelőeszköz és gyártás nincs benne.</x:v>
      </x:c>
    </x:row>
    <x:row r="153">
      <x:c r="A153" s="19" t="str">
        <x:v>AR-0152</x:v>
      </x:c>
      <x:c r="B153" s="19" t="str">
        <x:v>07 Könnyűszerkezet</x:v>
      </x:c>
      <x:c r="C153" s="19" t="str">
        <x:v>Könnyűacél szerkezet</x:v>
      </x:c>
      <x:c r="D153" s="19" t="str">
        <x:v>Könnyűacél</x:v>
      </x:c>
      <x:c r="E153" s="19" t="str">
        <x:v>Könnyűacél belső teherhordó fal szerelése</x:v>
      </x:c>
      <x:c r="F153" s="19" t="str">
        <x:v>m² fal</x:v>
      </x:c>
      <x:c r="G153" s="113" t="n">
        <x:v>5400</x:v>
      </x:c>
      <x:c r="H153" s="113" t="n">
        <x:v>8000</x:v>
      </x:c>
      <x:c r="I153" s="114" t="n">
        <x:v>0.5</x:v>
      </x:c>
      <x:c r="J153" s="113" t="n">
        <x:f>ROUND(H153*I153/Beallitasok!$B$7,0)*Beallitasok!$B$7</x:f>
        <x:v>4000</x:v>
      </x:c>
      <x:c r="K153" s="19" t="n">
        <x:v>3</x:v>
      </x:c>
      <x:c r="L153" s="19" t="n">
        <x:v>2</x:v>
      </x:c>
      <x:c r="M153" s="113" t="n">
        <x:f>K153*Beallitasok!$B$2+L153*Beallitasok!$B$3</x:f>
        <x:v>155000</x:v>
      </x:c>
      <x:c r="N153" s="115" t="n">
        <x:v>42</x:v>
      </x:c>
      <x:c r="O153" s="113" t="n">
        <x:f>IFERROR(M153/N153,"")</x:f>
        <x:v>3690.4761904761904</x:v>
      </x:c>
      <x:c r="P153" s="116" t="n">
        <x:f>Beallitasok!$B$5</x:f>
        <x:v>1.15</x:v>
      </x:c>
      <x:c r="Q153" s="113" t="n">
        <x:f>IFERROR(ROUND(O153*P153/Beallitasok!$B$7,0)*Beallitasok!$B$7,"")</x:f>
        <x:v>4250</x:v>
      </x:c>
      <x:c r="R153" s="113"/>
      <x:c r="S153" s="113" t="n">
        <x:f>IF(Q153="","",Q153+IF(R153="",0,R153))</x:f>
        <x:v>4250</x:v>
      </x:c>
      <x:c r="T153" s="113" t="n">
        <x:f>M153*Beallitasok!$B$4</x:f>
        <x:v>775000</x:v>
      </x:c>
      <x:c r="U153" s="115" t="n">
        <x:f>N153*Beallitasok!$B$4</x:f>
        <x:v>210</x:v>
      </x:c>
      <x:c r="V153" s="113"/>
      <x:c r="W153" s="113" t="str">
        <x:f>IF(V153="","",V153-J153)</x:f>
      </x:c>
      <x:c r="X153" s="19"/>
      <x:c r="Y153" s="113" t="n">
        <x:f>IF(S153="","",J153-S153)</x:f>
        <x:v>-250</x:v>
      </x:c>
      <x:c r="Z153" s="19" t="str">
        <x:f>IF(AA153="IGEN",IF(J153&lt;S153,"GÉPIGÉNY + KRITIKUS: gépdíj nélkül is alacsony a plafon","GÉPIGÉNY: a saját egységár gépdíj nélkül értendő"),IF(J153&lt;S153,"KRITIKUS: alvállalkozói plafon &lt; saját terhelt egységköltség",IF(J153&lt;S153*Beallitasok!$B$6,"SZŰK TARTALÉK: 10% alatti tartalék","OK")))</x:f>
        <x:v>KRITIKUS: alvállalkozói plafon &lt; saját terhelt egységköltség</x:v>
      </x:c>
      <x:c r="AA153" s="19" t="str">
        <x:v>NEM</x:v>
      </x:c>
      <x:c r="AB153" s="19" t="str">
        <x:v>https://joszaki.hu/arak/konnyuszerkezetes-haz-epites</x:v>
      </x:c>
      <x:c r="AC153" s="19" t="str">
        <x:v>Könnyűszerkezetes piaci szintből és szerelési normából levezetett</x:v>
      </x:c>
      <x:c r="AD153" s="19" t="str">
        <x:v>Profil, csavar, emelőeszköz és gyártás nincs benne.</x:v>
      </x:c>
    </x:row>
    <x:row r="154">
      <x:c r="A154" s="19" t="str">
        <x:v>AR-0153</x:v>
      </x:c>
      <x:c r="B154" s="19" t="str">
        <x:v>07 Könnyűszerkezet</x:v>
      </x:c>
      <x:c r="C154" s="19" t="str">
        <x:v>Könnyűacél szerkezet</x:v>
      </x:c>
      <x:c r="D154" s="19" t="str">
        <x:v>Könnyűacél</x:v>
      </x:c>
      <x:c r="E154" s="19" t="str">
        <x:v>Könnyűacél válaszfal vázszerelése</x:v>
      </x:c>
      <x:c r="F154" s="19" t="str">
        <x:v>m² fal</x:v>
      </x:c>
      <x:c r="G154" s="113" t="n">
        <x:v>3600</x:v>
      </x:c>
      <x:c r="H154" s="113" t="n">
        <x:v>5400</x:v>
      </x:c>
      <x:c r="I154" s="114" t="n">
        <x:v>0.5</x:v>
      </x:c>
      <x:c r="J154" s="113" t="n">
        <x:f>ROUND(H154*I154/Beallitasok!$B$7,0)*Beallitasok!$B$7</x:f>
        <x:v>2700</x:v>
      </x:c>
      <x:c r="K154" s="19" t="n">
        <x:v>2</x:v>
      </x:c>
      <x:c r="L154" s="19" t="n">
        <x:v>1</x:v>
      </x:c>
      <x:c r="M154" s="113" t="n">
        <x:f>K154*Beallitasok!$B$2+L154*Beallitasok!$B$3</x:f>
        <x:v>95000</x:v>
      </x:c>
      <x:c r="N154" s="115" t="n">
        <x:v>55</x:v>
      </x:c>
      <x:c r="O154" s="113" t="n">
        <x:f>IFERROR(M154/N154,"")</x:f>
        <x:v>1727.2727272727273</x:v>
      </x:c>
      <x:c r="P154" s="116" t="n">
        <x:f>Beallitasok!$B$5</x:f>
        <x:v>1.15</x:v>
      </x:c>
      <x:c r="Q154" s="113" t="n">
        <x:f>IFERROR(ROUND(O154*P154/Beallitasok!$B$7,0)*Beallitasok!$B$7,"")</x:f>
        <x:v>2000</x:v>
      </x:c>
      <x:c r="R154" s="113"/>
      <x:c r="S154" s="113" t="n">
        <x:f>IF(Q154="","",Q154+IF(R154="",0,R154))</x:f>
        <x:v>2000</x:v>
      </x:c>
      <x:c r="T154" s="113" t="n">
        <x:f>M154*Beallitasok!$B$4</x:f>
        <x:v>475000</x:v>
      </x:c>
      <x:c r="U154" s="115" t="n">
        <x:f>N154*Beallitasok!$B$4</x:f>
        <x:v>275</x:v>
      </x:c>
      <x:c r="V154" s="113"/>
      <x:c r="W154" s="113" t="str">
        <x:f>IF(V154="","",V154-J154)</x:f>
      </x:c>
      <x:c r="X154" s="19"/>
      <x:c r="Y154" s="113" t="n">
        <x:f>IF(S154="","",J154-S154)</x:f>
        <x:v>700</x:v>
      </x:c>
      <x:c r="Z154" s="19" t="str">
        <x:f>IF(AA154="IGEN",IF(J154&lt;S154,"GÉPIGÉNY + KRITIKUS: gépdíj nélkül is alacsony a plafon","GÉPIGÉNY: a saját egységár gépdíj nélkül értendő"),IF(J154&lt;S154,"KRITIKUS: alvállalkozói plafon &lt; saját terhelt egységköltség",IF(J154&lt;S154*Beallitasok!$B$6,"SZŰK TARTALÉK: 10% alatti tartalék","OK")))</x:f>
        <x:v>OK</x:v>
      </x:c>
      <x:c r="AA154" s="19" t="str">
        <x:v>NEM</x:v>
      </x:c>
      <x:c r="AB154" s="19" t="str">
        <x:v>https://joszaki.hu/arak/konnyuszerkezetes-haz-epites</x:v>
      </x:c>
      <x:c r="AC154" s="19" t="str">
        <x:v>Könnyűszerkezetes piaci szintből és szerelési normából levezetett</x:v>
      </x:c>
      <x:c r="AD154" s="19" t="str">
        <x:v>Profil, csavar, emelőeszköz és gyártás nincs benne.</x:v>
      </x:c>
    </x:row>
    <x:row r="155">
      <x:c r="A155" s="19" t="str">
        <x:v>AR-0154</x:v>
      </x:c>
      <x:c r="B155" s="19" t="str">
        <x:v>07 Könnyűszerkezet</x:v>
      </x:c>
      <x:c r="C155" s="19" t="str">
        <x:v>Könnyűacél szerkezet</x:v>
      </x:c>
      <x:c r="D155" s="19" t="str">
        <x:v>Könnyűacél</x:v>
      </x:c>
      <x:c r="E155" s="19" t="str">
        <x:v>Acél födémgerendák szerelése</x:v>
      </x:c>
      <x:c r="F155" s="19" t="str">
        <x:v>m²</x:v>
      </x:c>
      <x:c r="G155" s="113" t="n">
        <x:v>5200</x:v>
      </x:c>
      <x:c r="H155" s="113" t="n">
        <x:v>7800</x:v>
      </x:c>
      <x:c r="I155" s="114" t="n">
        <x:v>0.5</x:v>
      </x:c>
      <x:c r="J155" s="113" t="n">
        <x:f>ROUND(H155*I155/Beallitasok!$B$7,0)*Beallitasok!$B$7</x:f>
        <x:v>3900</x:v>
      </x:c>
      <x:c r="K155" s="19" t="n">
        <x:v>3</x:v>
      </x:c>
      <x:c r="L155" s="19" t="n">
        <x:v>2</x:v>
      </x:c>
      <x:c r="M155" s="113" t="n">
        <x:f>K155*Beallitasok!$B$2+L155*Beallitasok!$B$3</x:f>
        <x:v>155000</x:v>
      </x:c>
      <x:c r="N155" s="115" t="n">
        <x:v>40</x:v>
      </x:c>
      <x:c r="O155" s="113" t="n">
        <x:f>IFERROR(M155/N155,"")</x:f>
        <x:v>3875</x:v>
      </x:c>
      <x:c r="P155" s="116" t="n">
        <x:f>Beallitasok!$B$5</x:f>
        <x:v>1.15</x:v>
      </x:c>
      <x:c r="Q155" s="113" t="n">
        <x:f>IFERROR(ROUND(O155*P155/Beallitasok!$B$7,0)*Beallitasok!$B$7,"")</x:f>
        <x:v>4450</x:v>
      </x:c>
      <x:c r="R155" s="113"/>
      <x:c r="S155" s="113" t="n">
        <x:f>IF(Q155="","",Q155+IF(R155="",0,R155))</x:f>
        <x:v>4450</x:v>
      </x:c>
      <x:c r="T155" s="113" t="n">
        <x:f>M155*Beallitasok!$B$4</x:f>
        <x:v>775000</x:v>
      </x:c>
      <x:c r="U155" s="115" t="n">
        <x:f>N155*Beallitasok!$B$4</x:f>
        <x:v>200</x:v>
      </x:c>
      <x:c r="V155" s="113"/>
      <x:c r="W155" s="113" t="str">
        <x:f>IF(V155="","",V155-J155)</x:f>
      </x:c>
      <x:c r="X155" s="19"/>
      <x:c r="Y155" s="113" t="n">
        <x:f>IF(S155="","",J155-S155)</x:f>
        <x:v>-550</x:v>
      </x:c>
      <x:c r="Z155" s="19" t="str">
        <x:f>IF(AA155="IGEN",IF(J155&lt;S155,"GÉPIGÉNY + KRITIKUS: gépdíj nélkül is alacsony a plafon","GÉPIGÉNY: a saját egységár gépdíj nélkül értendő"),IF(J155&lt;S155,"KRITIKUS: alvállalkozói plafon &lt; saját terhelt egységköltség",IF(J155&lt;S155*Beallitasok!$B$6,"SZŰK TARTALÉK: 10% alatti tartalék","OK")))</x:f>
        <x:v>KRITIKUS: alvállalkozói plafon &lt; saját terhelt egységköltség</x:v>
      </x:c>
      <x:c r="AA155" s="19" t="str">
        <x:v>NEM</x:v>
      </x:c>
      <x:c r="AB155" s="19" t="str">
        <x:v>https://joszaki.hu/arak/konnyuszerkezetes-haz-epites</x:v>
      </x:c>
      <x:c r="AC155" s="19" t="str">
        <x:v>Könnyűszerkezetes piaci szintből és szerelési normából levezetett</x:v>
      </x:c>
      <x:c r="AD155" s="19" t="str">
        <x:v>Profil, csavar, emelőeszköz és gyártás nincs benne.</x:v>
      </x:c>
    </x:row>
    <x:row r="156">
      <x:c r="A156" s="19" t="str">
        <x:v>AR-0155</x:v>
      </x:c>
      <x:c r="B156" s="19" t="str">
        <x:v>07 Könnyűszerkezet</x:v>
      </x:c>
      <x:c r="C156" s="19" t="str">
        <x:v>Könnyűacél szerkezet</x:v>
      </x:c>
      <x:c r="D156" s="19" t="str">
        <x:v>Könnyűacél</x:v>
      </x:c>
      <x:c r="E156" s="19" t="str">
        <x:v>Acél tetőrács/szeglemezes tartó fogadása és rögzítése</x:v>
      </x:c>
      <x:c r="F156" s="19" t="str">
        <x:v>m² tető</x:v>
      </x:c>
      <x:c r="G156" s="113" t="n">
        <x:v>4800</x:v>
      </x:c>
      <x:c r="H156" s="113" t="n">
        <x:v>7200</x:v>
      </x:c>
      <x:c r="I156" s="114" t="n">
        <x:v>0.5</x:v>
      </x:c>
      <x:c r="J156" s="113" t="n">
        <x:f>ROUND(H156*I156/Beallitasok!$B$7,0)*Beallitasok!$B$7</x:f>
        <x:v>3600</x:v>
      </x:c>
      <x:c r="K156" s="19" t="n">
        <x:v>3</x:v>
      </x:c>
      <x:c r="L156" s="19" t="n">
        <x:v>2</x:v>
      </x:c>
      <x:c r="M156" s="113" t="n">
        <x:f>K156*Beallitasok!$B$2+L156*Beallitasok!$B$3</x:f>
        <x:v>155000</x:v>
      </x:c>
      <x:c r="N156" s="115" t="n">
        <x:v>50</x:v>
      </x:c>
      <x:c r="O156" s="113" t="n">
        <x:f>IFERROR(M156/N156,"")</x:f>
        <x:v>3100</x:v>
      </x:c>
      <x:c r="P156" s="116" t="n">
        <x:f>Beallitasok!$B$5</x:f>
        <x:v>1.15</x:v>
      </x:c>
      <x:c r="Q156" s="113" t="n">
        <x:f>IFERROR(ROUND(O156*P156/Beallitasok!$B$7,0)*Beallitasok!$B$7,"")</x:f>
        <x:v>3550</x:v>
      </x:c>
      <x:c r="R156" s="113"/>
      <x:c r="S156" s="113" t="n">
        <x:f>IF(Q156="","",Q156+IF(R156="",0,R156))</x:f>
        <x:v>3550</x:v>
      </x:c>
      <x:c r="T156" s="113" t="n">
        <x:f>M156*Beallitasok!$B$4</x:f>
        <x:v>775000</x:v>
      </x:c>
      <x:c r="U156" s="115" t="n">
        <x:f>N156*Beallitasok!$B$4</x:f>
        <x:v>250</x:v>
      </x:c>
      <x:c r="V156" s="113"/>
      <x:c r="W156" s="113" t="str">
        <x:f>IF(V156="","",V156-J156)</x:f>
      </x:c>
      <x:c r="X156" s="19"/>
      <x:c r="Y156" s="113" t="n">
        <x:f>IF(S156="","",J156-S156)</x:f>
        <x:v>50</x:v>
      </x:c>
      <x:c r="Z156" s="19" t="str">
        <x:f>IF(AA156="IGEN",IF(J156&lt;S156,"GÉPIGÉNY + KRITIKUS: gépdíj nélkül is alacsony a plafon","GÉPIGÉNY: a saját egységár gépdíj nélkül értendő"),IF(J156&lt;S156,"KRITIKUS: alvállalkozói plafon &lt; saját terhelt egységköltség",IF(J156&lt;S156*Beallitasok!$B$6,"SZŰK TARTALÉK: 10% alatti tartalék","OK")))</x:f>
        <x:v>SZŰK TARTALÉK: 10% alatti tartalék</x:v>
      </x:c>
      <x:c r="AA156" s="19" t="str">
        <x:v>NEM</x:v>
      </x:c>
      <x:c r="AB156" s="19" t="str">
        <x:v>https://joszaki.hu/arak/konnyuszerkezetes-haz-epites</x:v>
      </x:c>
      <x:c r="AC156" s="19" t="str">
        <x:v>Könnyűszerkezetes piaci szintből és szerelési normából levezetett</x:v>
      </x:c>
      <x:c r="AD156" s="19" t="str">
        <x:v>Profil, csavar, emelőeszköz és gyártás nincs benne.</x:v>
      </x:c>
    </x:row>
    <x:row r="157">
      <x:c r="A157" s="19" t="str">
        <x:v>AR-0156</x:v>
      </x:c>
      <x:c r="B157" s="19" t="str">
        <x:v>07 Könnyűszerkezet</x:v>
      </x:c>
      <x:c r="C157" s="19" t="str">
        <x:v>Könnyűacél szerkezet</x:v>
      </x:c>
      <x:c r="D157" s="19" t="str">
        <x:v>Könnyűacél</x:v>
      </x:c>
      <x:c r="E157" s="19" t="str">
        <x:v>Acélprofil helyszíni méretre vágása és csomóponti javítása</x:v>
      </x:c>
      <x:c r="F157" s="19" t="str">
        <x:v>fm</x:v>
      </x:c>
      <x:c r="G157" s="113" t="n">
        <x:v>1600</x:v>
      </x:c>
      <x:c r="H157" s="113" t="n">
        <x:v>2400</x:v>
      </x:c>
      <x:c r="I157" s="114" t="n">
        <x:v>0.5</x:v>
      </x:c>
      <x:c r="J157" s="113" t="n">
        <x:f>ROUND(H157*I157/Beallitasok!$B$7,0)*Beallitasok!$B$7</x:f>
        <x:v>1200</x:v>
      </x:c>
      <x:c r="K157" s="19" t="n">
        <x:v>2</x:v>
      </x:c>
      <x:c r="L157" s="19" t="n">
        <x:v>1</x:v>
      </x:c>
      <x:c r="M157" s="113" t="n">
        <x:f>K157*Beallitasok!$B$2+L157*Beallitasok!$B$3</x:f>
        <x:v>95000</x:v>
      </x:c>
      <x:c r="N157" s="115" t="n">
        <x:v>55</x:v>
      </x:c>
      <x:c r="O157" s="113" t="n">
        <x:f>IFERROR(M157/N157,"")</x:f>
        <x:v>1727.2727272727273</x:v>
      </x:c>
      <x:c r="P157" s="116" t="n">
        <x:f>Beallitasok!$B$5</x:f>
        <x:v>1.15</x:v>
      </x:c>
      <x:c r="Q157" s="113" t="n">
        <x:f>IFERROR(ROUND(O157*P157/Beallitasok!$B$7,0)*Beallitasok!$B$7,"")</x:f>
        <x:v>2000</x:v>
      </x:c>
      <x:c r="R157" s="113"/>
      <x:c r="S157" s="113" t="n">
        <x:f>IF(Q157="","",Q157+IF(R157="",0,R157))</x:f>
        <x:v>2000</x:v>
      </x:c>
      <x:c r="T157" s="113" t="n">
        <x:f>M157*Beallitasok!$B$4</x:f>
        <x:v>475000</x:v>
      </x:c>
      <x:c r="U157" s="115" t="n">
        <x:f>N157*Beallitasok!$B$4</x:f>
        <x:v>275</x:v>
      </x:c>
      <x:c r="V157" s="113"/>
      <x:c r="W157" s="113" t="str">
        <x:f>IF(V157="","",V157-J157)</x:f>
      </x:c>
      <x:c r="X157" s="19"/>
      <x:c r="Y157" s="113" t="n">
        <x:f>IF(S157="","",J157-S157)</x:f>
        <x:v>-800</x:v>
      </x:c>
      <x:c r="Z157" s="19" t="str">
        <x:f>IF(AA157="IGEN",IF(J157&lt;S157,"GÉPIGÉNY + KRITIKUS: gépdíj nélkül is alacsony a plafon","GÉPIGÉNY: a saját egységár gépdíj nélkül értendő"),IF(J157&lt;S157,"KRITIKUS: alvállalkozói plafon &lt; saját terhelt egységköltség",IF(J157&lt;S157*Beallitasok!$B$6,"SZŰK TARTALÉK: 10% alatti tartalék","OK")))</x:f>
        <x:v>KRITIKUS: alvállalkozói plafon &lt; saját terhelt egységköltség</x:v>
      </x:c>
      <x:c r="AA157" s="19" t="str">
        <x:v>NEM</x:v>
      </x:c>
      <x:c r="AB157" s="19" t="str">
        <x:v>https://joszaki.hu/arak/konnyuszerkezetes-haz-epites</x:v>
      </x:c>
      <x:c r="AC157" s="19" t="str">
        <x:v>Könnyűszerkezetes piaci szintből és szerelési normából levezetett</x:v>
      </x:c>
      <x:c r="AD157" s="19" t="str">
        <x:v>Profil, csavar, emelőeszköz és gyártás nincs benne.</x:v>
      </x:c>
    </x:row>
    <x:row r="158">
      <x:c r="A158" s="19" t="str">
        <x:v>AR-0157</x:v>
      </x:c>
      <x:c r="B158" s="19" t="str">
        <x:v>07 Könnyűszerkezet</x:v>
      </x:c>
      <x:c r="C158" s="19" t="str">
        <x:v>Könnyűacél szerkezet</x:v>
      </x:c>
      <x:c r="D158" s="19" t="str">
        <x:v>Könnyűacél</x:v>
      </x:c>
      <x:c r="E158" s="19" t="str">
        <x:v>Könnyűacél szerkezet csomóponti csavarozása</x:v>
      </x:c>
      <x:c r="F158" s="19" t="str">
        <x:v>db csomópont</x:v>
      </x:c>
      <x:c r="G158" s="113" t="n">
        <x:v>1800</x:v>
      </x:c>
      <x:c r="H158" s="113" t="n">
        <x:v>2700</x:v>
      </x:c>
      <x:c r="I158" s="114" t="n">
        <x:v>0.5</x:v>
      </x:c>
      <x:c r="J158" s="113" t="n">
        <x:f>ROUND(H158*I158/Beallitasok!$B$7,0)*Beallitasok!$B$7</x:f>
        <x:v>1350</x:v>
      </x:c>
      <x:c r="K158" s="19" t="n">
        <x:v>2</x:v>
      </x:c>
      <x:c r="L158" s="19" t="n">
        <x:v>1</x:v>
      </x:c>
      <x:c r="M158" s="113" t="n">
        <x:f>K158*Beallitasok!$B$2+L158*Beallitasok!$B$3</x:f>
        <x:v>95000</x:v>
      </x:c>
      <x:c r="N158" s="115" t="n">
        <x:v>35</x:v>
      </x:c>
      <x:c r="O158" s="113" t="n">
        <x:f>IFERROR(M158/N158,"")</x:f>
        <x:v>2714.285714285714</x:v>
      </x:c>
      <x:c r="P158" s="116" t="n">
        <x:f>Beallitasok!$B$5</x:f>
        <x:v>1.15</x:v>
      </x:c>
      <x:c r="Q158" s="113" t="n">
        <x:f>IFERROR(ROUND(O158*P158/Beallitasok!$B$7,0)*Beallitasok!$B$7,"")</x:f>
        <x:v>3100</x:v>
      </x:c>
      <x:c r="R158" s="113"/>
      <x:c r="S158" s="113" t="n">
        <x:f>IF(Q158="","",Q158+IF(R158="",0,R158))</x:f>
        <x:v>3100</x:v>
      </x:c>
      <x:c r="T158" s="113" t="n">
        <x:f>M158*Beallitasok!$B$4</x:f>
        <x:v>475000</x:v>
      </x:c>
      <x:c r="U158" s="115" t="n">
        <x:f>N158*Beallitasok!$B$4</x:f>
        <x:v>175</x:v>
      </x:c>
      <x:c r="V158" s="113"/>
      <x:c r="W158" s="113" t="str">
        <x:f>IF(V158="","",V158-J158)</x:f>
      </x:c>
      <x:c r="X158" s="19"/>
      <x:c r="Y158" s="113" t="n">
        <x:f>IF(S158="","",J158-S158)</x:f>
        <x:v>-1750</x:v>
      </x:c>
      <x:c r="Z158" s="19" t="str">
        <x:f>IF(AA158="IGEN",IF(J158&lt;S158,"GÉPIGÉNY + KRITIKUS: gépdíj nélkül is alacsony a plafon","GÉPIGÉNY: a saját egységár gépdíj nélkül értendő"),IF(J158&lt;S158,"KRITIKUS: alvállalkozói plafon &lt; saját terhelt egységköltség",IF(J158&lt;S158*Beallitasok!$B$6,"SZŰK TARTALÉK: 10% alatti tartalék","OK")))</x:f>
        <x:v>KRITIKUS: alvállalkozói plafon &lt; saját terhelt egységköltség</x:v>
      </x:c>
      <x:c r="AA158" s="19" t="str">
        <x:v>NEM</x:v>
      </x:c>
      <x:c r="AB158" s="19" t="str">
        <x:v>https://joszaki.hu/arak/konnyuszerkezetes-haz-epites</x:v>
      </x:c>
      <x:c r="AC158" s="19" t="str">
        <x:v>Könnyűszerkezetes piaci szintből és szerelési normából levezetett</x:v>
      </x:c>
      <x:c r="AD158" s="19" t="str">
        <x:v>Profil, csavar, emelőeszköz és gyártás nincs benne.</x:v>
      </x:c>
    </x:row>
    <x:row r="159">
      <x:c r="A159" s="19" t="str">
        <x:v>AR-0158</x:v>
      </x:c>
      <x:c r="B159" s="19" t="str">
        <x:v>07 Könnyűszerkezet</x:v>
      </x:c>
      <x:c r="C159" s="19" t="str">
        <x:v>Könnyűacél szerkezet</x:v>
      </x:c>
      <x:c r="D159" s="19" t="str">
        <x:v>Könnyűacél</x:v>
      </x:c>
      <x:c r="E159" s="19" t="str">
        <x:v>Könnyűacél szerkezet korrózióvédelmi javítófestése vágásoknál</x:v>
      </x:c>
      <x:c r="F159" s="19" t="str">
        <x:v>db</x:v>
      </x:c>
      <x:c r="G159" s="113" t="n">
        <x:v>700</x:v>
      </x:c>
      <x:c r="H159" s="113" t="n">
        <x:v>1100</x:v>
      </x:c>
      <x:c r="I159" s="114" t="n">
        <x:v>0.55</x:v>
      </x:c>
      <x:c r="J159" s="113" t="n">
        <x:f>ROUND(H159*I159/Beallitasok!$B$7,0)*Beallitasok!$B$7</x:f>
        <x:v>600</x:v>
      </x:c>
      <x:c r="K159" s="19" t="n">
        <x:v>1</x:v>
      </x:c>
      <x:c r="L159" s="19" t="n">
        <x:v>1</x:v>
      </x:c>
      <x:c r="M159" s="113" t="n">
        <x:f>K159*Beallitasok!$B$2+L159*Beallitasok!$B$3</x:f>
        <x:v>60000</x:v>
      </x:c>
      <x:c r="N159" s="115" t="n">
        <x:v>60</x:v>
      </x:c>
      <x:c r="O159" s="113" t="n">
        <x:f>IFERROR(M159/N159,"")</x:f>
        <x:v>1000</x:v>
      </x:c>
      <x:c r="P159" s="116" t="n">
        <x:f>Beallitasok!$B$5</x:f>
        <x:v>1.15</x:v>
      </x:c>
      <x:c r="Q159" s="113" t="n">
        <x:f>IFERROR(ROUND(O159*P159/Beallitasok!$B$7,0)*Beallitasok!$B$7,"")</x:f>
        <x:v>1150</x:v>
      </x:c>
      <x:c r="R159" s="113"/>
      <x:c r="S159" s="113" t="n">
        <x:f>IF(Q159="","",Q159+IF(R159="",0,R159))</x:f>
        <x:v>1150</x:v>
      </x:c>
      <x:c r="T159" s="113" t="n">
        <x:f>M159*Beallitasok!$B$4</x:f>
        <x:v>300000</x:v>
      </x:c>
      <x:c r="U159" s="115" t="n">
        <x:f>N159*Beallitasok!$B$4</x:f>
        <x:v>300</x:v>
      </x:c>
      <x:c r="V159" s="113"/>
      <x:c r="W159" s="113" t="str">
        <x:f>IF(V159="","",V159-J159)</x:f>
      </x:c>
      <x:c r="X159" s="19"/>
      <x:c r="Y159" s="113" t="n">
        <x:f>IF(S159="","",J159-S159)</x:f>
        <x:v>-550</x:v>
      </x:c>
      <x:c r="Z159" s="19" t="str">
        <x:f>IF(AA159="IGEN",IF(J159&lt;S159,"GÉPIGÉNY + KRITIKUS: gépdíj nélkül is alacsony a plafon","GÉPIGÉNY: a saját egységár gépdíj nélkül értendő"),IF(J159&lt;S159,"KRITIKUS: alvállalkozói plafon &lt; saját terhelt egységköltség",IF(J159&lt;S159*Beallitasok!$B$6,"SZŰK TARTALÉK: 10% alatti tartalék","OK")))</x:f>
        <x:v>KRITIKUS: alvállalkozói plafon &lt; saját terhelt egységköltség</x:v>
      </x:c>
      <x:c r="AA159" s="19" t="str">
        <x:v>NEM</x:v>
      </x:c>
      <x:c r="AB159" s="19" t="str">
        <x:v>https://joszaki.hu/arak/konnyuszerkezetes-haz-epites</x:v>
      </x:c>
      <x:c r="AC159" s="19" t="str">
        <x:v>Könnyűszerkezetes piaci szintből és szerelési normából levezetett</x:v>
      </x:c>
      <x:c r="AD159" s="19" t="str">
        <x:v>Profil, csavar, emelőeszköz és gyártás nincs benne.</x:v>
      </x:c>
    </x:row>
    <x:row r="160">
      <x:c r="A160" s="19" t="str">
        <x:v>AR-0159</x:v>
      </x:c>
      <x:c r="B160" s="19" t="str">
        <x:v>07 Könnyűszerkezet</x:v>
      </x:c>
      <x:c r="C160" s="19" t="str">
        <x:v>Könnyűacél szerkezet</x:v>
      </x:c>
      <x:c r="D160" s="19" t="str">
        <x:v>Könnyűacél</x:v>
      </x:c>
      <x:c r="E160" s="19" t="str">
        <x:v>Ablaknyílás merevítése könnyűacél falban</x:v>
      </x:c>
      <x:c r="F160" s="19" t="str">
        <x:v>db</x:v>
      </x:c>
      <x:c r="G160" s="113" t="n">
        <x:v>11000</x:v>
      </x:c>
      <x:c r="H160" s="113" t="n">
        <x:v>16000</x:v>
      </x:c>
      <x:c r="I160" s="114" t="n">
        <x:v>0.5</x:v>
      </x:c>
      <x:c r="J160" s="113" t="n">
        <x:f>ROUND(H160*I160/Beallitasok!$B$7,0)*Beallitasok!$B$7</x:f>
        <x:v>8000</x:v>
      </x:c>
      <x:c r="K160" s="19" t="n">
        <x:v>2</x:v>
      </x:c>
      <x:c r="L160" s="19" t="n">
        <x:v>1</x:v>
      </x:c>
      <x:c r="M160" s="113" t="n">
        <x:f>K160*Beallitasok!$B$2+L160*Beallitasok!$B$3</x:f>
        <x:v>95000</x:v>
      </x:c>
      <x:c r="N160" s="115" t="n">
        <x:v>6</x:v>
      </x:c>
      <x:c r="O160" s="113" t="n">
        <x:f>IFERROR(M160/N160,"")</x:f>
        <x:v>15833.333333333334</x:v>
      </x:c>
      <x:c r="P160" s="116" t="n">
        <x:f>Beallitasok!$B$5</x:f>
        <x:v>1.15</x:v>
      </x:c>
      <x:c r="Q160" s="113" t="n">
        <x:f>IFERROR(ROUND(O160*P160/Beallitasok!$B$7,0)*Beallitasok!$B$7,"")</x:f>
        <x:v>18200</x:v>
      </x:c>
      <x:c r="R160" s="113"/>
      <x:c r="S160" s="113" t="n">
        <x:f>IF(Q160="","",Q160+IF(R160="",0,R160))</x:f>
        <x:v>18200</x:v>
      </x:c>
      <x:c r="T160" s="113" t="n">
        <x:f>M160*Beallitasok!$B$4</x:f>
        <x:v>475000</x:v>
      </x:c>
      <x:c r="U160" s="115" t="n">
        <x:f>N160*Beallitasok!$B$4</x:f>
        <x:v>30</x:v>
      </x:c>
      <x:c r="V160" s="113"/>
      <x:c r="W160" s="113" t="str">
        <x:f>IF(V160="","",V160-J160)</x:f>
      </x:c>
      <x:c r="X160" s="19"/>
      <x:c r="Y160" s="113" t="n">
        <x:f>IF(S160="","",J160-S160)</x:f>
        <x:v>-10200</x:v>
      </x:c>
      <x:c r="Z160" s="19" t="str">
        <x:f>IF(AA160="IGEN",IF(J160&lt;S160,"GÉPIGÉNY + KRITIKUS: gépdíj nélkül is alacsony a plafon","GÉPIGÉNY: a saját egységár gépdíj nélkül értendő"),IF(J160&lt;S160,"KRITIKUS: alvállalkozói plafon &lt; saját terhelt egységköltség",IF(J160&lt;S160*Beallitasok!$B$6,"SZŰK TARTALÉK: 10% alatti tartalék","OK")))</x:f>
        <x:v>KRITIKUS: alvállalkozói plafon &lt; saját terhelt egységköltség</x:v>
      </x:c>
      <x:c r="AA160" s="19" t="str">
        <x:v>NEM</x:v>
      </x:c>
      <x:c r="AB160" s="19" t="str">
        <x:v>https://joszaki.hu/arak/konnyuszerkezetes-haz-epites</x:v>
      </x:c>
      <x:c r="AC160" s="19" t="str">
        <x:v>Könnyűszerkezetes piaci szintből és szerelési normából levezetett</x:v>
      </x:c>
      <x:c r="AD160" s="19" t="str">
        <x:v>Profil, csavar, emelőeszköz és gyártás nincs benne.</x:v>
      </x:c>
    </x:row>
    <x:row r="161">
      <x:c r="A161" s="19" t="str">
        <x:v>AR-0160</x:v>
      </x:c>
      <x:c r="B161" s="19" t="str">
        <x:v>07 Könnyűszerkezet</x:v>
      </x:c>
      <x:c r="C161" s="19" t="str">
        <x:v>Könnyűacél szerkezet</x:v>
      </x:c>
      <x:c r="D161" s="19" t="str">
        <x:v>Könnyűacél</x:v>
      </x:c>
      <x:c r="E161" s="19" t="str">
        <x:v>Könnyűacél panelkapcsolatok tömítése</x:v>
      </x:c>
      <x:c r="F161" s="19" t="str">
        <x:v>fm</x:v>
      </x:c>
      <x:c r="G161" s="113" t="n">
        <x:v>1200</x:v>
      </x:c>
      <x:c r="H161" s="113" t="n">
        <x:v>1800</x:v>
      </x:c>
      <x:c r="I161" s="114" t="n">
        <x:v>0.55</x:v>
      </x:c>
      <x:c r="J161" s="113" t="n">
        <x:f>ROUND(H161*I161/Beallitasok!$B$7,0)*Beallitasok!$B$7</x:f>
        <x:v>1000</x:v>
      </x:c>
      <x:c r="K161" s="19" t="n">
        <x:v>1</x:v>
      </x:c>
      <x:c r="L161" s="19" t="n">
        <x:v>1</x:v>
      </x:c>
      <x:c r="M161" s="113" t="n">
        <x:f>K161*Beallitasok!$B$2+L161*Beallitasok!$B$3</x:f>
        <x:v>60000</x:v>
      </x:c>
      <x:c r="N161" s="115" t="n">
        <x:v>90</x:v>
      </x:c>
      <x:c r="O161" s="113" t="n">
        <x:f>IFERROR(M161/N161,"")</x:f>
        <x:v>666.6666666666666</x:v>
      </x:c>
      <x:c r="P161" s="116" t="n">
        <x:f>Beallitasok!$B$5</x:f>
        <x:v>1.15</x:v>
      </x:c>
      <x:c r="Q161" s="113" t="n">
        <x:f>IFERROR(ROUND(O161*P161/Beallitasok!$B$7,0)*Beallitasok!$B$7,"")</x:f>
        <x:v>750</x:v>
      </x:c>
      <x:c r="R161" s="113"/>
      <x:c r="S161" s="113" t="n">
        <x:f>IF(Q161="","",Q161+IF(R161="",0,R161))</x:f>
        <x:v>750</x:v>
      </x:c>
      <x:c r="T161" s="113" t="n">
        <x:f>M161*Beallitasok!$B$4</x:f>
        <x:v>300000</x:v>
      </x:c>
      <x:c r="U161" s="115" t="n">
        <x:f>N161*Beallitasok!$B$4</x:f>
        <x:v>450</x:v>
      </x:c>
      <x:c r="V161" s="113"/>
      <x:c r="W161" s="113" t="str">
        <x:f>IF(V161="","",V161-J161)</x:f>
      </x:c>
      <x:c r="X161" s="19"/>
      <x:c r="Y161" s="113" t="n">
        <x:f>IF(S161="","",J161-S161)</x:f>
        <x:v>250</x:v>
      </x:c>
      <x:c r="Z161" s="19" t="str">
        <x:f>IF(AA161="IGEN",IF(J161&lt;S161,"GÉPIGÉNY + KRITIKUS: gépdíj nélkül is alacsony a plafon","GÉPIGÉNY: a saját egységár gépdíj nélkül értendő"),IF(J161&lt;S161,"KRITIKUS: alvállalkozói plafon &lt; saját terhelt egységköltség",IF(J161&lt;S161*Beallitasok!$B$6,"SZŰK TARTALÉK: 10% alatti tartalék","OK")))</x:f>
        <x:v>OK</x:v>
      </x:c>
      <x:c r="AA161" s="19" t="str">
        <x:v>NEM</x:v>
      </x:c>
      <x:c r="AB161" s="19" t="str">
        <x:v>https://joszaki.hu/arak/konnyuszerkezetes-haz-epites</x:v>
      </x:c>
      <x:c r="AC161" s="19" t="str">
        <x:v>Könnyűszerkezetes piaci szintből és szerelési normából levezetett</x:v>
      </x:c>
      <x:c r="AD161" s="19" t="str">
        <x:v>Profil, csavar, emelőeszköz és gyártás nincs benne.</x:v>
      </x:c>
    </x:row>
    <x:row r="162">
      <x:c r="A162" s="19" t="str">
        <x:v>AR-0161</x:v>
      </x:c>
      <x:c r="B162" s="19" t="str">
        <x:v>08 Tető</x:v>
      </x:c>
      <x:c r="C162" s="19" t="str">
        <x:v>Ács, tetőfedő és bádogos munkák</x:v>
      </x:c>
      <x:c r="D162" s="19" t="str">
        <x:v>Mindegyik</x:v>
      </x:c>
      <x:c r="E162" s="19" t="str">
        <x:v>Hagyományos nyeregtető ácsszerkezet készítése</x:v>
      </x:c>
      <x:c r="F162" s="19" t="str">
        <x:v>m² tető</x:v>
      </x:c>
      <x:c r="G162" s="113" t="n">
        <x:v>6500</x:v>
      </x:c>
      <x:c r="H162" s="113" t="n">
        <x:v>9000</x:v>
      </x:c>
      <x:c r="I162" s="114" t="n">
        <x:v>0.5</x:v>
      </x:c>
      <x:c r="J162" s="113" t="n">
        <x:f>ROUND(H162*I162/Beallitasok!$B$7,0)*Beallitasok!$B$7</x:f>
        <x:v>4500</x:v>
      </x:c>
      <x:c r="K162" s="19" t="n">
        <x:v>3</x:v>
      </x:c>
      <x:c r="L162" s="19" t="n">
        <x:v>2</x:v>
      </x:c>
      <x:c r="M162" s="113" t="n">
        <x:f>K162*Beallitasok!$B$2+L162*Beallitasok!$B$3</x:f>
        <x:v>155000</x:v>
      </x:c>
      <x:c r="N162" s="115" t="n">
        <x:v>42</x:v>
      </x:c>
      <x:c r="O162" s="113" t="n">
        <x:f>IFERROR(M162/N162,"")</x:f>
        <x:v>3690.4761904761904</x:v>
      </x:c>
      <x:c r="P162" s="116" t="n">
        <x:f>Beallitasok!$B$5</x:f>
        <x:v>1.15</x:v>
      </x:c>
      <x:c r="Q162" s="113" t="n">
        <x:f>IFERROR(ROUND(O162*P162/Beallitasok!$B$7,0)*Beallitasok!$B$7,"")</x:f>
        <x:v>4250</x:v>
      </x:c>
      <x:c r="R162" s="113"/>
      <x:c r="S162" s="113" t="n">
        <x:f>IF(Q162="","",Q162+IF(R162="",0,R162))</x:f>
        <x:v>4250</x:v>
      </x:c>
      <x:c r="T162" s="113" t="n">
        <x:f>M162*Beallitasok!$B$4</x:f>
        <x:v>775000</x:v>
      </x:c>
      <x:c r="U162" s="115" t="n">
        <x:f>N162*Beallitasok!$B$4</x:f>
        <x:v>210</x:v>
      </x:c>
      <x:c r="V162" s="113"/>
      <x:c r="W162" s="113" t="str">
        <x:f>IF(V162="","",V162-J162)</x:f>
      </x:c>
      <x:c r="X162" s="19"/>
      <x:c r="Y162" s="113" t="n">
        <x:f>IF(S162="","",J162-S162)</x:f>
        <x:v>250</x:v>
      </x:c>
      <x:c r="Z162" s="19" t="str">
        <x:f>IF(AA162="IGEN",IF(J162&lt;S162,"GÉPIGÉNY + KRITIKUS: gépdíj nélkül is alacsony a plafon","GÉPIGÉNY: a saját egységár gépdíj nélkül értendő"),IF(J162&lt;S162,"KRITIKUS: alvállalkozói plafon &lt; saját terhelt egységköltség",IF(J162&lt;S162*Beallitasok!$B$6,"SZŰK TARTALÉK: 10% alatti tartalék","OK")))</x:f>
        <x:v>SZŰK TARTALÉK: 10% alatti tartalék</x:v>
      </x:c>
      <x:c r="AA162" s="19" t="str">
        <x:v>NEM</x:v>
      </x:c>
      <x:c r="AB162" s="19" t="str">
        <x:v>https://joszaki.hu/arak/tetofedes</x:v>
      </x:c>
      <x:c r="AC162" s="19" t="str">
        <x:v>2026 tetőfedési/bádogozási piaci alsó sáv és műszaki bontás</x:v>
      </x:c>
      <x:c r="AD162" s="19" t="str">
        <x:v>Faanyag, fedés, bádoganyag, állvány, daru és biztonsági rendszer külön.</x:v>
      </x:c>
    </x:row>
    <x:row r="163">
      <x:c r="A163" s="19" t="str">
        <x:v>AR-0162</x:v>
      </x:c>
      <x:c r="B163" s="19" t="str">
        <x:v>08 Tető</x:v>
      </x:c>
      <x:c r="C163" s="19" t="str">
        <x:v>Ács, tetőfedő és bádogos munkák</x:v>
      </x:c>
      <x:c r="D163" s="19" t="str">
        <x:v>Mindegyik</x:v>
      </x:c>
      <x:c r="E163" s="19" t="str">
        <x:v>Kontyolt tető ácsszerkezet készítése</x:v>
      </x:c>
      <x:c r="F163" s="19" t="str">
        <x:v>m² tető</x:v>
      </x:c>
      <x:c r="G163" s="113" t="n">
        <x:v>8000</x:v>
      </x:c>
      <x:c r="H163" s="113" t="n">
        <x:v>11500</x:v>
      </x:c>
      <x:c r="I163" s="114" t="n">
        <x:v>0.5</x:v>
      </x:c>
      <x:c r="J163" s="113" t="n">
        <x:f>ROUND(H163*I163/Beallitasok!$B$7,0)*Beallitasok!$B$7</x:f>
        <x:v>5750</x:v>
      </x:c>
      <x:c r="K163" s="19" t="n">
        <x:v>3</x:v>
      </x:c>
      <x:c r="L163" s="19" t="n">
        <x:v>2</x:v>
      </x:c>
      <x:c r="M163" s="113" t="n">
        <x:f>K163*Beallitasok!$B$2+L163*Beallitasok!$B$3</x:f>
        <x:v>155000</x:v>
      </x:c>
      <x:c r="N163" s="115" t="n">
        <x:v>32</x:v>
      </x:c>
      <x:c r="O163" s="113" t="n">
        <x:f>IFERROR(M163/N163,"")</x:f>
        <x:v>4843.75</x:v>
      </x:c>
      <x:c r="P163" s="116" t="n">
        <x:f>Beallitasok!$B$5</x:f>
        <x:v>1.15</x:v>
      </x:c>
      <x:c r="Q163" s="113" t="n">
        <x:f>IFERROR(ROUND(O163*P163/Beallitasok!$B$7,0)*Beallitasok!$B$7,"")</x:f>
        <x:v>5550</x:v>
      </x:c>
      <x:c r="R163" s="113"/>
      <x:c r="S163" s="113" t="n">
        <x:f>IF(Q163="","",Q163+IF(R163="",0,R163))</x:f>
        <x:v>5550</x:v>
      </x:c>
      <x:c r="T163" s="113" t="n">
        <x:f>M163*Beallitasok!$B$4</x:f>
        <x:v>775000</x:v>
      </x:c>
      <x:c r="U163" s="115" t="n">
        <x:f>N163*Beallitasok!$B$4</x:f>
        <x:v>160</x:v>
      </x:c>
      <x:c r="V163" s="113"/>
      <x:c r="W163" s="113" t="str">
        <x:f>IF(V163="","",V163-J163)</x:f>
      </x:c>
      <x:c r="X163" s="19"/>
      <x:c r="Y163" s="113" t="n">
        <x:f>IF(S163="","",J163-S163)</x:f>
        <x:v>200</x:v>
      </x:c>
      <x:c r="Z163" s="19" t="str">
        <x:f>IF(AA163="IGEN",IF(J163&lt;S163,"GÉPIGÉNY + KRITIKUS: gépdíj nélkül is alacsony a plafon","GÉPIGÉNY: a saját egységár gépdíj nélkül értendő"),IF(J163&lt;S163,"KRITIKUS: alvállalkozói plafon &lt; saját terhelt egységköltség",IF(J163&lt;S163*Beallitasok!$B$6,"SZŰK TARTALÉK: 10% alatti tartalék","OK")))</x:f>
        <x:v>SZŰK TARTALÉK: 10% alatti tartalék</x:v>
      </x:c>
      <x:c r="AA163" s="19" t="str">
        <x:v>NEM</x:v>
      </x:c>
      <x:c r="AB163" s="19" t="str">
        <x:v>https://joszaki.hu/arak/tetofedes</x:v>
      </x:c>
      <x:c r="AC163" s="19" t="str">
        <x:v>2026 tetőfedési/bádogozási piaci alsó sáv és műszaki bontás</x:v>
      </x:c>
      <x:c r="AD163" s="19" t="str">
        <x:v>Faanyag, fedés, bádoganyag, állvány, daru és biztonsági rendszer külön.</x:v>
      </x:c>
    </x:row>
    <x:row r="164">
      <x:c r="A164" s="19" t="str">
        <x:v>AR-0163</x:v>
      </x:c>
      <x:c r="B164" s="19" t="str">
        <x:v>08 Tető</x:v>
      </x:c>
      <x:c r="C164" s="19" t="str">
        <x:v>Ács, tetőfedő és bádogos munkák</x:v>
      </x:c>
      <x:c r="D164" s="19" t="str">
        <x:v>Mindegyik</x:v>
      </x:c>
      <x:c r="E164" s="19" t="str">
        <x:v>Összetett tető ácsszerkezet készítése vápákkal</x:v>
      </x:c>
      <x:c r="F164" s="19" t="str">
        <x:v>m² tető</x:v>
      </x:c>
      <x:c r="G164" s="113" t="n">
        <x:v>9500</x:v>
      </x:c>
      <x:c r="H164" s="113" t="n">
        <x:v>14000</x:v>
      </x:c>
      <x:c r="I164" s="114" t="n">
        <x:v>0.5</x:v>
      </x:c>
      <x:c r="J164" s="113" t="n">
        <x:f>ROUND(H164*I164/Beallitasok!$B$7,0)*Beallitasok!$B$7</x:f>
        <x:v>7000</x:v>
      </x:c>
      <x:c r="K164" s="19" t="n">
        <x:v>3</x:v>
      </x:c>
      <x:c r="L164" s="19" t="n">
        <x:v>2</x:v>
      </x:c>
      <x:c r="M164" s="113" t="n">
        <x:f>K164*Beallitasok!$B$2+L164*Beallitasok!$B$3</x:f>
        <x:v>155000</x:v>
      </x:c>
      <x:c r="N164" s="115" t="n">
        <x:v>25</x:v>
      </x:c>
      <x:c r="O164" s="113" t="n">
        <x:f>IFERROR(M164/N164,"")</x:f>
        <x:v>6200</x:v>
      </x:c>
      <x:c r="P164" s="116" t="n">
        <x:f>Beallitasok!$B$5</x:f>
        <x:v>1.15</x:v>
      </x:c>
      <x:c r="Q164" s="113" t="n">
        <x:f>IFERROR(ROUND(O164*P164/Beallitasok!$B$7,0)*Beallitasok!$B$7,"")</x:f>
        <x:v>7150</x:v>
      </x:c>
      <x:c r="R164" s="113"/>
      <x:c r="S164" s="113" t="n">
        <x:f>IF(Q164="","",Q164+IF(R164="",0,R164))</x:f>
        <x:v>7150</x:v>
      </x:c>
      <x:c r="T164" s="113" t="n">
        <x:f>M164*Beallitasok!$B$4</x:f>
        <x:v>775000</x:v>
      </x:c>
      <x:c r="U164" s="115" t="n">
        <x:f>N164*Beallitasok!$B$4</x:f>
        <x:v>125</x:v>
      </x:c>
      <x:c r="V164" s="113"/>
      <x:c r="W164" s="113" t="str">
        <x:f>IF(V164="","",V164-J164)</x:f>
      </x:c>
      <x:c r="X164" s="19"/>
      <x:c r="Y164" s="113" t="n">
        <x:f>IF(S164="","",J164-S164)</x:f>
        <x:v>-150</x:v>
      </x:c>
      <x:c r="Z164" s="19" t="str">
        <x:f>IF(AA164="IGEN",IF(J164&lt;S164,"GÉPIGÉNY + KRITIKUS: gépdíj nélkül is alacsony a plafon","GÉPIGÉNY: a saját egységár gépdíj nélkül értendő"),IF(J164&lt;S164,"KRITIKUS: alvállalkozói plafon &lt; saját terhelt egységköltség",IF(J164&lt;S164*Beallitasok!$B$6,"SZŰK TARTALÉK: 10% alatti tartalék","OK")))</x:f>
        <x:v>KRITIKUS: alvállalkozói plafon &lt; saját terhelt egységköltség</x:v>
      </x:c>
      <x:c r="AA164" s="19" t="str">
        <x:v>NEM</x:v>
      </x:c>
      <x:c r="AB164" s="19" t="str">
        <x:v>https://joszaki.hu/arak/tetofedes</x:v>
      </x:c>
      <x:c r="AC164" s="19" t="str">
        <x:v>2026 tetőfedési/bádogozási piaci alsó sáv és műszaki bontás</x:v>
      </x:c>
      <x:c r="AD164" s="19" t="str">
        <x:v>Faanyag, fedés, bádoganyag, állvány, daru és biztonsági rendszer külön.</x:v>
      </x:c>
    </x:row>
    <x:row r="165">
      <x:c r="A165" s="19" t="str">
        <x:v>AR-0164</x:v>
      </x:c>
      <x:c r="B165" s="19" t="str">
        <x:v>08 Tető</x:v>
      </x:c>
      <x:c r="C165" s="19" t="str">
        <x:v>Ács, tetőfedő és bádogos munkák</x:v>
      </x:c>
      <x:c r="D165" s="19" t="str">
        <x:v>Mindegyik</x:v>
      </x:c>
      <x:c r="E165" s="19" t="str">
        <x:v>Szeglemezes tetőtartó fogadása és szerelése</x:v>
      </x:c>
      <x:c r="F165" s="19" t="str">
        <x:v>m² tető</x:v>
      </x:c>
      <x:c r="G165" s="113" t="n">
        <x:v>4800</x:v>
      </x:c>
      <x:c r="H165" s="113" t="n">
        <x:v>7000</x:v>
      </x:c>
      <x:c r="I165" s="114" t="n">
        <x:v>0.5</x:v>
      </x:c>
      <x:c r="J165" s="113" t="n">
        <x:f>ROUND(H165*I165/Beallitasok!$B$7,0)*Beallitasok!$B$7</x:f>
        <x:v>3500</x:v>
      </x:c>
      <x:c r="K165" s="19" t="n">
        <x:v>3</x:v>
      </x:c>
      <x:c r="L165" s="19" t="n">
        <x:v>2</x:v>
      </x:c>
      <x:c r="M165" s="113" t="n">
        <x:f>K165*Beallitasok!$B$2+L165*Beallitasok!$B$3</x:f>
        <x:v>155000</x:v>
      </x:c>
      <x:c r="N165" s="115" t="n">
        <x:v>55</x:v>
      </x:c>
      <x:c r="O165" s="113" t="n">
        <x:f>IFERROR(M165/N165,"")</x:f>
        <x:v>2818.181818181818</x:v>
      </x:c>
      <x:c r="P165" s="116" t="n">
        <x:f>Beallitasok!$B$5</x:f>
        <x:v>1.15</x:v>
      </x:c>
      <x:c r="Q165" s="113" t="n">
        <x:f>IFERROR(ROUND(O165*P165/Beallitasok!$B$7,0)*Beallitasok!$B$7,"")</x:f>
        <x:v>3250</x:v>
      </x:c>
      <x:c r="R165" s="113"/>
      <x:c r="S165" s="113" t="n">
        <x:f>IF(Q165="","",Q165+IF(R165="",0,R165))</x:f>
        <x:v>3250</x:v>
      </x:c>
      <x:c r="T165" s="113" t="n">
        <x:f>M165*Beallitasok!$B$4</x:f>
        <x:v>775000</x:v>
      </x:c>
      <x:c r="U165" s="115" t="n">
        <x:f>N165*Beallitasok!$B$4</x:f>
        <x:v>275</x:v>
      </x:c>
      <x:c r="V165" s="113"/>
      <x:c r="W165" s="113" t="str">
        <x:f>IF(V165="","",V165-J165)</x:f>
      </x:c>
      <x:c r="X165" s="19"/>
      <x:c r="Y165" s="113" t="n">
        <x:f>IF(S165="","",J165-S165)</x:f>
        <x:v>250</x:v>
      </x:c>
      <x:c r="Z165" s="19" t="str">
        <x:f>IF(AA165="IGEN",IF(J165&lt;S165,"GÉPIGÉNY + KRITIKUS: gépdíj nélkül is alacsony a plafon","GÉPIGÉNY: a saját egységár gépdíj nélkül értendő"),IF(J165&lt;S165,"KRITIKUS: alvállalkozói plafon &lt; saját terhelt egységköltség",IF(J165&lt;S165*Beallitasok!$B$6,"SZŰK TARTALÉK: 10% alatti tartalék","OK")))</x:f>
        <x:v>SZŰK TARTALÉK: 10% alatti tartalék</x:v>
      </x:c>
      <x:c r="AA165" s="19" t="str">
        <x:v>NEM</x:v>
      </x:c>
      <x:c r="AB165" s="19" t="str">
        <x:v>https://joszaki.hu/arak/badogozas</x:v>
      </x:c>
      <x:c r="AC165" s="19" t="str">
        <x:v>2026 tetőfedési/bádogozási piaci alsó sáv és műszaki bontás</x:v>
      </x:c>
      <x:c r="AD165" s="19" t="str">
        <x:v>Faanyag, fedés, bádoganyag, állvány, daru és biztonsági rendszer külön.</x:v>
      </x:c>
    </x:row>
    <x:row r="166">
      <x:c r="A166" s="19" t="str">
        <x:v>AR-0165</x:v>
      </x:c>
      <x:c r="B166" s="19" t="str">
        <x:v>08 Tető</x:v>
      </x:c>
      <x:c r="C166" s="19" t="str">
        <x:v>Ács, tetőfedő és bádogos munkák</x:v>
      </x:c>
      <x:c r="D166" s="19" t="str">
        <x:v>Mindegyik</x:v>
      </x:c>
      <x:c r="E166" s="19" t="str">
        <x:v>Talpszelemen elhelyezése és lehorgonyzása</x:v>
      </x:c>
      <x:c r="F166" s="19" t="str">
        <x:v>fm</x:v>
      </x:c>
      <x:c r="G166" s="113" t="n">
        <x:v>2800</x:v>
      </x:c>
      <x:c r="H166" s="113" t="n">
        <x:v>4200</x:v>
      </x:c>
      <x:c r="I166" s="114" t="n">
        <x:v>0.5</x:v>
      </x:c>
      <x:c r="J166" s="113" t="n">
        <x:f>ROUND(H166*I166/Beallitasok!$B$7,0)*Beallitasok!$B$7</x:f>
        <x:v>2100</x:v>
      </x:c>
      <x:c r="K166" s="19" t="n">
        <x:v>2</x:v>
      </x:c>
      <x:c r="L166" s="19" t="n">
        <x:v>1</x:v>
      </x:c>
      <x:c r="M166" s="113" t="n">
        <x:f>K166*Beallitasok!$B$2+L166*Beallitasok!$B$3</x:f>
        <x:v>95000</x:v>
      </x:c>
      <x:c r="N166" s="115" t="n">
        <x:v>45</x:v>
      </x:c>
      <x:c r="O166" s="113" t="n">
        <x:f>IFERROR(M166/N166,"")</x:f>
        <x:v>2111.1111111111113</x:v>
      </x:c>
      <x:c r="P166" s="116" t="n">
        <x:f>Beallitasok!$B$5</x:f>
        <x:v>1.15</x:v>
      </x:c>
      <x:c r="Q166" s="113" t="n">
        <x:f>IFERROR(ROUND(O166*P166/Beallitasok!$B$7,0)*Beallitasok!$B$7,"")</x:f>
        <x:v>2450</x:v>
      </x:c>
      <x:c r="R166" s="113"/>
      <x:c r="S166" s="113" t="n">
        <x:f>IF(Q166="","",Q166+IF(R166="",0,R166))</x:f>
        <x:v>2450</x:v>
      </x:c>
      <x:c r="T166" s="113" t="n">
        <x:f>M166*Beallitasok!$B$4</x:f>
        <x:v>475000</x:v>
      </x:c>
      <x:c r="U166" s="115" t="n">
        <x:f>N166*Beallitasok!$B$4</x:f>
        <x:v>225</x:v>
      </x:c>
      <x:c r="V166" s="113"/>
      <x:c r="W166" s="113" t="str">
        <x:f>IF(V166="","",V166-J166)</x:f>
      </x:c>
      <x:c r="X166" s="19"/>
      <x:c r="Y166" s="113" t="n">
        <x:f>IF(S166="","",J166-S166)</x:f>
        <x:v>-350</x:v>
      </x:c>
      <x:c r="Z166" s="19" t="str">
        <x:f>IF(AA166="IGEN",IF(J166&lt;S166,"GÉPIGÉNY + KRITIKUS: gépdíj nélkül is alacsony a plafon","GÉPIGÉNY: a saját egységár gépdíj nélkül értendő"),IF(J166&lt;S166,"KRITIKUS: alvállalkozói plafon &lt; saját terhelt egységköltség",IF(J166&lt;S166*Beallitasok!$B$6,"SZŰK TARTALÉK: 10% alatti tartalék","OK")))</x:f>
        <x:v>KRITIKUS: alvállalkozói plafon &lt; saját terhelt egységköltség</x:v>
      </x:c>
      <x:c r="AA166" s="19" t="str">
        <x:v>NEM</x:v>
      </x:c>
      <x:c r="AB166" s="19" t="str">
        <x:v>https://joszaki.hu/arak/tetofedes</x:v>
      </x:c>
      <x:c r="AC166" s="19" t="str">
        <x:v>2026 tetőfedési/bádogozási piaci alsó sáv és műszaki bontás</x:v>
      </x:c>
      <x:c r="AD166" s="19" t="str">
        <x:v>Faanyag, fedés, bádoganyag, állvány, daru és biztonsági rendszer külön.</x:v>
      </x:c>
    </x:row>
    <x:row r="167">
      <x:c r="A167" s="19" t="str">
        <x:v>AR-0166</x:v>
      </x:c>
      <x:c r="B167" s="19" t="str">
        <x:v>08 Tető</x:v>
      </x:c>
      <x:c r="C167" s="19" t="str">
        <x:v>Ács, tetőfedő és bádogos munkák</x:v>
      </x:c>
      <x:c r="D167" s="19" t="str">
        <x:v>Mindegyik</x:v>
      </x:c>
      <x:c r="E167" s="19" t="str">
        <x:v>Szarufa elhelyezése méretre szabással</x:v>
      </x:c>
      <x:c r="F167" s="19" t="str">
        <x:v>fm</x:v>
      </x:c>
      <x:c r="G167" s="113" t="n">
        <x:v>1900</x:v>
      </x:c>
      <x:c r="H167" s="113" t="n">
        <x:v>2900</x:v>
      </x:c>
      <x:c r="I167" s="114" t="n">
        <x:v>0.5</x:v>
      </x:c>
      <x:c r="J167" s="113" t="n">
        <x:f>ROUND(H167*I167/Beallitasok!$B$7,0)*Beallitasok!$B$7</x:f>
        <x:v>1450</x:v>
      </x:c>
      <x:c r="K167" s="19" t="n">
        <x:v>3</x:v>
      </x:c>
      <x:c r="L167" s="19" t="n">
        <x:v>2</x:v>
      </x:c>
      <x:c r="M167" s="113" t="n">
        <x:f>K167*Beallitasok!$B$2+L167*Beallitasok!$B$3</x:f>
        <x:v>155000</x:v>
      </x:c>
      <x:c r="N167" s="115" t="n">
        <x:v>80</x:v>
      </x:c>
      <x:c r="O167" s="113" t="n">
        <x:f>IFERROR(M167/N167,"")</x:f>
        <x:v>1937.5</x:v>
      </x:c>
      <x:c r="P167" s="116" t="n">
        <x:f>Beallitasok!$B$5</x:f>
        <x:v>1.15</x:v>
      </x:c>
      <x:c r="Q167" s="113" t="n">
        <x:f>IFERROR(ROUND(O167*P167/Beallitasok!$B$7,0)*Beallitasok!$B$7,"")</x:f>
        <x:v>2250</x:v>
      </x:c>
      <x:c r="R167" s="113"/>
      <x:c r="S167" s="113" t="n">
        <x:f>IF(Q167="","",Q167+IF(R167="",0,R167))</x:f>
        <x:v>2250</x:v>
      </x:c>
      <x:c r="T167" s="113" t="n">
        <x:f>M167*Beallitasok!$B$4</x:f>
        <x:v>775000</x:v>
      </x:c>
      <x:c r="U167" s="115" t="n">
        <x:f>N167*Beallitasok!$B$4</x:f>
        <x:v>400</x:v>
      </x:c>
      <x:c r="V167" s="113"/>
      <x:c r="W167" s="113" t="str">
        <x:f>IF(V167="","",V167-J167)</x:f>
      </x:c>
      <x:c r="X167" s="19"/>
      <x:c r="Y167" s="113" t="n">
        <x:f>IF(S167="","",J167-S167)</x:f>
        <x:v>-800</x:v>
      </x:c>
      <x:c r="Z167" s="19" t="str">
        <x:f>IF(AA167="IGEN",IF(J167&lt;S167,"GÉPIGÉNY + KRITIKUS: gépdíj nélkül is alacsony a plafon","GÉPIGÉNY: a saját egységár gépdíj nélkül értendő"),IF(J167&lt;S167,"KRITIKUS: alvállalkozói plafon &lt; saját terhelt egységköltség",IF(J167&lt;S167*Beallitasok!$B$6,"SZŰK TARTALÉK: 10% alatti tartalék","OK")))</x:f>
        <x:v>KRITIKUS: alvállalkozói plafon &lt; saját terhelt egységköltség</x:v>
      </x:c>
      <x:c r="AA167" s="19" t="str">
        <x:v>NEM</x:v>
      </x:c>
      <x:c r="AB167" s="19" t="str">
        <x:v>https://joszaki.hu/arak/tetofedes</x:v>
      </x:c>
      <x:c r="AC167" s="19" t="str">
        <x:v>2026 tetőfedési/bádogozási piaci alsó sáv és műszaki bontás</x:v>
      </x:c>
      <x:c r="AD167" s="19" t="str">
        <x:v>Faanyag, fedés, bádoganyag, állvány, daru és biztonsági rendszer külön.</x:v>
      </x:c>
    </x:row>
    <x:row r="168">
      <x:c r="A168" s="19" t="str">
        <x:v>AR-0167</x:v>
      </x:c>
      <x:c r="B168" s="19" t="str">
        <x:v>08 Tető</x:v>
      </x:c>
      <x:c r="C168" s="19" t="str">
        <x:v>Ács, tetőfedő és bádogos munkák</x:v>
      </x:c>
      <x:c r="D168" s="19" t="str">
        <x:v>Mindegyik</x:v>
      </x:c>
      <x:c r="E168" s="19" t="str">
        <x:v>Tetődeszkázat készítése</x:v>
      </x:c>
      <x:c r="F168" s="19" t="str">
        <x:v>m²</x:v>
      </x:c>
      <x:c r="G168" s="113" t="n">
        <x:v>3500</x:v>
      </x:c>
      <x:c r="H168" s="113" t="n">
        <x:v>5000</x:v>
      </x:c>
      <x:c r="I168" s="114" t="n">
        <x:v>0.5</x:v>
      </x:c>
      <x:c r="J168" s="113" t="n">
        <x:f>ROUND(H168*I168/Beallitasok!$B$7,0)*Beallitasok!$B$7</x:f>
        <x:v>2500</x:v>
      </x:c>
      <x:c r="K168" s="19" t="n">
        <x:v>2</x:v>
      </x:c>
      <x:c r="L168" s="19" t="n">
        <x:v>2</x:v>
      </x:c>
      <x:c r="M168" s="113" t="n">
        <x:f>K168*Beallitasok!$B$2+L168*Beallitasok!$B$3</x:f>
        <x:v>120000</x:v>
      </x:c>
      <x:c r="N168" s="115" t="n">
        <x:v>55</x:v>
      </x:c>
      <x:c r="O168" s="113" t="n">
        <x:f>IFERROR(M168/N168,"")</x:f>
        <x:v>2181.818181818182</x:v>
      </x:c>
      <x:c r="P168" s="116" t="n">
        <x:f>Beallitasok!$B$5</x:f>
        <x:v>1.15</x:v>
      </x:c>
      <x:c r="Q168" s="113" t="n">
        <x:f>IFERROR(ROUND(O168*P168/Beallitasok!$B$7,0)*Beallitasok!$B$7,"")</x:f>
        <x:v>2500</x:v>
      </x:c>
      <x:c r="R168" s="113"/>
      <x:c r="S168" s="113" t="n">
        <x:f>IF(Q168="","",Q168+IF(R168="",0,R168))</x:f>
        <x:v>2500</x:v>
      </x:c>
      <x:c r="T168" s="113" t="n">
        <x:f>M168*Beallitasok!$B$4</x:f>
        <x:v>600000</x:v>
      </x:c>
      <x:c r="U168" s="115" t="n">
        <x:f>N168*Beallitasok!$B$4</x:f>
        <x:v>275</x:v>
      </x:c>
      <x:c r="V168" s="113"/>
      <x:c r="W168" s="113" t="str">
        <x:f>IF(V168="","",V168-J168)</x:f>
      </x:c>
      <x:c r="X168" s="19"/>
      <x:c r="Y168" s="113" t="n">
        <x:f>IF(S168="","",J168-S168)</x:f>
        <x:v>0</x:v>
      </x:c>
      <x:c r="Z168" s="19" t="str">
        <x:f>IF(AA168="IGEN",IF(J168&lt;S168,"GÉPIGÉNY + KRITIKUS: gépdíj nélkül is alacsony a plafon","GÉPIGÉNY: a saját egységár gépdíj nélkül értendő"),IF(J168&lt;S168,"KRITIKUS: alvállalkozói plafon &lt; saját terhelt egységköltség",IF(J168&lt;S168*Beallitasok!$B$6,"SZŰK TARTALÉK: 10% alatti tartalék","OK")))</x:f>
        <x:v>SZŰK TARTALÉK: 10% alatti tartalék</x:v>
      </x:c>
      <x:c r="AA168" s="19" t="str">
        <x:v>NEM</x:v>
      </x:c>
      <x:c r="AB168" s="19" t="str">
        <x:v>https://joszaki.hu/arak/tetofedes</x:v>
      </x:c>
      <x:c r="AC168" s="19" t="str">
        <x:v>2026 tetőfedési/bádogozási piaci alsó sáv és műszaki bontás</x:v>
      </x:c>
      <x:c r="AD168" s="19" t="str">
        <x:v>Faanyag, fedés, bádoganyag, állvány, daru és biztonsági rendszer külön.</x:v>
      </x:c>
    </x:row>
    <x:row r="169">
      <x:c r="A169" s="19" t="str">
        <x:v>AR-0168</x:v>
      </x:c>
      <x:c r="B169" s="19" t="str">
        <x:v>08 Tető</x:v>
      </x:c>
      <x:c r="C169" s="19" t="str">
        <x:v>Ács, tetőfedő és bádogos munkák</x:v>
      </x:c>
      <x:c r="D169" s="19" t="str">
        <x:v>Mindegyik</x:v>
      </x:c>
      <x:c r="E169" s="19" t="str">
        <x:v>Páraáteresztő tetőfólia fektetése</x:v>
      </x:c>
      <x:c r="F169" s="19" t="str">
        <x:v>m²</x:v>
      </x:c>
      <x:c r="G169" s="113" t="n">
        <x:v>600</x:v>
      </x:c>
      <x:c r="H169" s="113" t="n">
        <x:v>1000</x:v>
      </x:c>
      <x:c r="I169" s="114" t="n">
        <x:v>0.55</x:v>
      </x:c>
      <x:c r="J169" s="113" t="n">
        <x:f>ROUND(H169*I169/Beallitasok!$B$7,0)*Beallitasok!$B$7</x:f>
        <x:v>550</x:v>
      </x:c>
      <x:c r="K169" s="19" t="n">
        <x:v>2</x:v>
      </x:c>
      <x:c r="L169" s="19" t="n">
        <x:v>1</x:v>
      </x:c>
      <x:c r="M169" s="113" t="n">
        <x:f>K169*Beallitasok!$B$2+L169*Beallitasok!$B$3</x:f>
        <x:v>95000</x:v>
      </x:c>
      <x:c r="N169" s="115" t="n">
        <x:v>180</x:v>
      </x:c>
      <x:c r="O169" s="113" t="n">
        <x:f>IFERROR(M169/N169,"")</x:f>
        <x:v>527.7777777777778</x:v>
      </x:c>
      <x:c r="P169" s="116" t="n">
        <x:f>Beallitasok!$B$5</x:f>
        <x:v>1.15</x:v>
      </x:c>
      <x:c r="Q169" s="113" t="n">
        <x:f>IFERROR(ROUND(O169*P169/Beallitasok!$B$7,0)*Beallitasok!$B$7,"")</x:f>
        <x:v>600</x:v>
      </x:c>
      <x:c r="R169" s="113"/>
      <x:c r="S169" s="113" t="n">
        <x:f>IF(Q169="","",Q169+IF(R169="",0,R169))</x:f>
        <x:v>600</x:v>
      </x:c>
      <x:c r="T169" s="113" t="n">
        <x:f>M169*Beallitasok!$B$4</x:f>
        <x:v>475000</x:v>
      </x:c>
      <x:c r="U169" s="115" t="n">
        <x:f>N169*Beallitasok!$B$4</x:f>
        <x:v>900</x:v>
      </x:c>
      <x:c r="V169" s="113"/>
      <x:c r="W169" s="113" t="str">
        <x:f>IF(V169="","",V169-J169)</x:f>
      </x:c>
      <x:c r="X169" s="19"/>
      <x:c r="Y169" s="113" t="n">
        <x:f>IF(S169="","",J169-S169)</x:f>
        <x:v>-50</x:v>
      </x:c>
      <x:c r="Z169" s="19" t="str">
        <x:f>IF(AA169="IGEN",IF(J169&lt;S169,"GÉPIGÉNY + KRITIKUS: gépdíj nélkül is alacsony a plafon","GÉPIGÉNY: a saját egységár gépdíj nélkül értendő"),IF(J169&lt;S169,"KRITIKUS: alvállalkozói plafon &lt; saját terhelt egységköltség",IF(J169&lt;S169*Beallitasok!$B$6,"SZŰK TARTALÉK: 10% alatti tartalék","OK")))</x:f>
        <x:v>KRITIKUS: alvállalkozói plafon &lt; saját terhelt egységköltség</x:v>
      </x:c>
      <x:c r="AA169" s="19" t="str">
        <x:v>NEM</x:v>
      </x:c>
      <x:c r="AB169" s="19" t="str">
        <x:v>https://joszaki.hu/arak/tetofedes</x:v>
      </x:c>
      <x:c r="AC169" s="19" t="str">
        <x:v>2026 tetőfedési/bádogozási piaci alsó sáv és műszaki bontás</x:v>
      </x:c>
      <x:c r="AD169" s="19" t="str">
        <x:v>Faanyag, fedés, bádoganyag, állvány, daru és biztonsági rendszer külön.</x:v>
      </x:c>
    </x:row>
    <x:row r="170">
      <x:c r="A170" s="19" t="str">
        <x:v>AR-0169</x:v>
      </x:c>
      <x:c r="B170" s="19" t="str">
        <x:v>08 Tető</x:v>
      </x:c>
      <x:c r="C170" s="19" t="str">
        <x:v>Ács, tetőfedő és bádogos munkák</x:v>
      </x:c>
      <x:c r="D170" s="19" t="str">
        <x:v>Mindegyik</x:v>
      </x:c>
      <x:c r="E170" s="19" t="str">
        <x:v>Ellenlécezés készítése</x:v>
      </x:c>
      <x:c r="F170" s="19" t="str">
        <x:v>m²</x:v>
      </x:c>
      <x:c r="G170" s="113" t="n">
        <x:v>800</x:v>
      </x:c>
      <x:c r="H170" s="113" t="n">
        <x:v>1300</x:v>
      </x:c>
      <x:c r="I170" s="114" t="n">
        <x:v>0.5</x:v>
      </x:c>
      <x:c r="J170" s="113" t="n">
        <x:f>ROUND(H170*I170/Beallitasok!$B$7,0)*Beallitasok!$B$7</x:f>
        <x:v>650</x:v>
      </x:c>
      <x:c r="K170" s="19" t="n">
        <x:v>2</x:v>
      </x:c>
      <x:c r="L170" s="19" t="n">
        <x:v>1</x:v>
      </x:c>
      <x:c r="M170" s="113" t="n">
        <x:f>K170*Beallitasok!$B$2+L170*Beallitasok!$B$3</x:f>
        <x:v>95000</x:v>
      </x:c>
      <x:c r="N170" s="115" t="n">
        <x:v>150</x:v>
      </x:c>
      <x:c r="O170" s="113" t="n">
        <x:f>IFERROR(M170/N170,"")</x:f>
        <x:v>633.3333333333334</x:v>
      </x:c>
      <x:c r="P170" s="116" t="n">
        <x:f>Beallitasok!$B$5</x:f>
        <x:v>1.15</x:v>
      </x:c>
      <x:c r="Q170" s="113" t="n">
        <x:f>IFERROR(ROUND(O170*P170/Beallitasok!$B$7,0)*Beallitasok!$B$7,"")</x:f>
        <x:v>750</x:v>
      </x:c>
      <x:c r="R170" s="113"/>
      <x:c r="S170" s="113" t="n">
        <x:f>IF(Q170="","",Q170+IF(R170="",0,R170))</x:f>
        <x:v>750</x:v>
      </x:c>
      <x:c r="T170" s="113" t="n">
        <x:f>M170*Beallitasok!$B$4</x:f>
        <x:v>475000</x:v>
      </x:c>
      <x:c r="U170" s="115" t="n">
        <x:f>N170*Beallitasok!$B$4</x:f>
        <x:v>750</x:v>
      </x:c>
      <x:c r="V170" s="113"/>
      <x:c r="W170" s="113" t="str">
        <x:f>IF(V170="","",V170-J170)</x:f>
      </x:c>
      <x:c r="X170" s="19"/>
      <x:c r="Y170" s="113" t="n">
        <x:f>IF(S170="","",J170-S170)</x:f>
        <x:v>-100</x:v>
      </x:c>
      <x:c r="Z170" s="19" t="str">
        <x:f>IF(AA170="IGEN",IF(J170&lt;S170,"GÉPIGÉNY + KRITIKUS: gépdíj nélkül is alacsony a plafon","GÉPIGÉNY: a saját egységár gépdíj nélkül értendő"),IF(J170&lt;S170,"KRITIKUS: alvállalkozói plafon &lt; saját terhelt egységköltség",IF(J170&lt;S170*Beallitasok!$B$6,"SZŰK TARTALÉK: 10% alatti tartalék","OK")))</x:f>
        <x:v>KRITIKUS: alvállalkozói plafon &lt; saját terhelt egységköltség</x:v>
      </x:c>
      <x:c r="AA170" s="19" t="str">
        <x:v>NEM</x:v>
      </x:c>
      <x:c r="AB170" s="19" t="str">
        <x:v>https://joszaki.hu/arak/tetofedes</x:v>
      </x:c>
      <x:c r="AC170" s="19" t="str">
        <x:v>2026 tetőfedési/bádogozási piaci alsó sáv és műszaki bontás</x:v>
      </x:c>
      <x:c r="AD170" s="19" t="str">
        <x:v>Faanyag, fedés, bádoganyag, állvány, daru és biztonsági rendszer külön.</x:v>
      </x:c>
    </x:row>
    <x:row r="171">
      <x:c r="A171" s="19" t="str">
        <x:v>AR-0170</x:v>
      </x:c>
      <x:c r="B171" s="19" t="str">
        <x:v>08 Tető</x:v>
      </x:c>
      <x:c r="C171" s="19" t="str">
        <x:v>Ács, tetőfedő és bádogos munkák</x:v>
      </x:c>
      <x:c r="D171" s="19" t="str">
        <x:v>Mindegyik</x:v>
      </x:c>
      <x:c r="E171" s="19" t="str">
        <x:v>Tetőlécezés cserépfedéshez</x:v>
      </x:c>
      <x:c r="F171" s="19" t="str">
        <x:v>m²</x:v>
      </x:c>
      <x:c r="G171" s="113" t="n">
        <x:v>1200</x:v>
      </x:c>
      <x:c r="H171" s="113" t="n">
        <x:v>1800</x:v>
      </x:c>
      <x:c r="I171" s="114" t="n">
        <x:v>0.5</x:v>
      </x:c>
      <x:c r="J171" s="113" t="n">
        <x:f>ROUND(H171*I171/Beallitasok!$B$7,0)*Beallitasok!$B$7</x:f>
        <x:v>900</x:v>
      </x:c>
      <x:c r="K171" s="19" t="n">
        <x:v>2</x:v>
      </x:c>
      <x:c r="L171" s="19" t="n">
        <x:v>1</x:v>
      </x:c>
      <x:c r="M171" s="113" t="n">
        <x:f>K171*Beallitasok!$B$2+L171*Beallitasok!$B$3</x:f>
        <x:v>95000</x:v>
      </x:c>
      <x:c r="N171" s="115" t="n">
        <x:v>120</x:v>
      </x:c>
      <x:c r="O171" s="113" t="n">
        <x:f>IFERROR(M171/N171,"")</x:f>
        <x:v>791.6666666666666</x:v>
      </x:c>
      <x:c r="P171" s="116" t="n">
        <x:f>Beallitasok!$B$5</x:f>
        <x:v>1.15</x:v>
      </x:c>
      <x:c r="Q171" s="113" t="n">
        <x:f>IFERROR(ROUND(O171*P171/Beallitasok!$B$7,0)*Beallitasok!$B$7,"")</x:f>
        <x:v>900</x:v>
      </x:c>
      <x:c r="R171" s="113"/>
      <x:c r="S171" s="113" t="n">
        <x:f>IF(Q171="","",Q171+IF(R171="",0,R171))</x:f>
        <x:v>900</x:v>
      </x:c>
      <x:c r="T171" s="113" t="n">
        <x:f>M171*Beallitasok!$B$4</x:f>
        <x:v>475000</x:v>
      </x:c>
      <x:c r="U171" s="115" t="n">
        <x:f>N171*Beallitasok!$B$4</x:f>
        <x:v>600</x:v>
      </x:c>
      <x:c r="V171" s="113"/>
      <x:c r="W171" s="113" t="str">
        <x:f>IF(V171="","",V171-J171)</x:f>
      </x:c>
      <x:c r="X171" s="19"/>
      <x:c r="Y171" s="113" t="n">
        <x:f>IF(S171="","",J171-S171)</x:f>
        <x:v>0</x:v>
      </x:c>
      <x:c r="Z171" s="19" t="str">
        <x:f>IF(AA171="IGEN",IF(J171&lt;S171,"GÉPIGÉNY + KRITIKUS: gépdíj nélkül is alacsony a plafon","GÉPIGÉNY: a saját egységár gépdíj nélkül értendő"),IF(J171&lt;S171,"KRITIKUS: alvállalkozói plafon &lt; saját terhelt egységköltség",IF(J171&lt;S171*Beallitasok!$B$6,"SZŰK TARTALÉK: 10% alatti tartalék","OK")))</x:f>
        <x:v>SZŰK TARTALÉK: 10% alatti tartalék</x:v>
      </x:c>
      <x:c r="AA171" s="19" t="str">
        <x:v>NEM</x:v>
      </x:c>
      <x:c r="AB171" s="19" t="str">
        <x:v>https://joszaki.hu/arak/tetofedes</x:v>
      </x:c>
      <x:c r="AC171" s="19" t="str">
        <x:v>2026 tetőfedési/bádogozási piaci alsó sáv és műszaki bontás</x:v>
      </x:c>
      <x:c r="AD171" s="19" t="str">
        <x:v>Faanyag, fedés, bádoganyag, állvány, daru és biztonsági rendszer külön.</x:v>
      </x:c>
    </x:row>
    <x:row r="172">
      <x:c r="A172" s="19" t="str">
        <x:v>AR-0171</x:v>
      </x:c>
      <x:c r="B172" s="19" t="str">
        <x:v>08 Tető</x:v>
      </x:c>
      <x:c r="C172" s="19" t="str">
        <x:v>Ács, tetőfedő és bádogos munkák</x:v>
      </x:c>
      <x:c r="D172" s="19" t="str">
        <x:v>Mindegyik</x:v>
      </x:c>
      <x:c r="E172" s="19" t="str">
        <x:v>Betoncserép fedés készítése</x:v>
      </x:c>
      <x:c r="F172" s="19" t="str">
        <x:v>m²</x:v>
      </x:c>
      <x:c r="G172" s="113" t="n">
        <x:v>3400</x:v>
      </x:c>
      <x:c r="H172" s="113" t="n">
        <x:v>5000</x:v>
      </x:c>
      <x:c r="I172" s="114" t="n">
        <x:v>0.55</x:v>
      </x:c>
      <x:c r="J172" s="113" t="n">
        <x:f>ROUND(H172*I172/Beallitasok!$B$7,0)*Beallitasok!$B$7</x:f>
        <x:v>2750</x:v>
      </x:c>
      <x:c r="K172" s="19" t="n">
        <x:v>3</x:v>
      </x:c>
      <x:c r="L172" s="19" t="n">
        <x:v>2</x:v>
      </x:c>
      <x:c r="M172" s="113" t="n">
        <x:f>K172*Beallitasok!$B$2+L172*Beallitasok!$B$3</x:f>
        <x:v>155000</x:v>
      </x:c>
      <x:c r="N172" s="115" t="n">
        <x:v>75</x:v>
      </x:c>
      <x:c r="O172" s="113" t="n">
        <x:f>IFERROR(M172/N172,"")</x:f>
        <x:v>2066.6666666666665</x:v>
      </x:c>
      <x:c r="P172" s="116" t="n">
        <x:f>Beallitasok!$B$5</x:f>
        <x:v>1.15</x:v>
      </x:c>
      <x:c r="Q172" s="113" t="n">
        <x:f>IFERROR(ROUND(O172*P172/Beallitasok!$B$7,0)*Beallitasok!$B$7,"")</x:f>
        <x:v>2400</x:v>
      </x:c>
      <x:c r="R172" s="113"/>
      <x:c r="S172" s="113" t="n">
        <x:f>IF(Q172="","",Q172+IF(R172="",0,R172))</x:f>
        <x:v>2400</x:v>
      </x:c>
      <x:c r="T172" s="113" t="n">
        <x:f>M172*Beallitasok!$B$4</x:f>
        <x:v>775000</x:v>
      </x:c>
      <x:c r="U172" s="115" t="n">
        <x:f>N172*Beallitasok!$B$4</x:f>
        <x:v>375</x:v>
      </x:c>
      <x:c r="V172" s="113"/>
      <x:c r="W172" s="113" t="str">
        <x:f>IF(V172="","",V172-J172)</x:f>
      </x:c>
      <x:c r="X172" s="19"/>
      <x:c r="Y172" s="113" t="n">
        <x:f>IF(S172="","",J172-S172)</x:f>
        <x:v>350</x:v>
      </x:c>
      <x:c r="Z172" s="19" t="str">
        <x:f>IF(AA172="IGEN",IF(J172&lt;S172,"GÉPIGÉNY + KRITIKUS: gépdíj nélkül is alacsony a plafon","GÉPIGÉNY: a saját egységár gépdíj nélkül értendő"),IF(J172&lt;S172,"KRITIKUS: alvállalkozói plafon &lt; saját terhelt egységköltség",IF(J172&lt;S172*Beallitasok!$B$6,"SZŰK TARTALÉK: 10% alatti tartalék","OK")))</x:f>
        <x:v>OK</x:v>
      </x:c>
      <x:c r="AA172" s="19" t="str">
        <x:v>NEM</x:v>
      </x:c>
      <x:c r="AB172" s="19" t="str">
        <x:v>https://joszaki.hu/arak/tetofedes</x:v>
      </x:c>
      <x:c r="AC172" s="19" t="str">
        <x:v>2026 tetőfedési/bádogozási piaci alsó sáv és műszaki bontás</x:v>
      </x:c>
      <x:c r="AD172" s="19" t="str">
        <x:v>Faanyag, fedés, bádoganyag, állvány, daru és biztonsági rendszer külön.</x:v>
      </x:c>
    </x:row>
    <x:row r="173">
      <x:c r="A173" s="19" t="str">
        <x:v>AR-0172</x:v>
      </x:c>
      <x:c r="B173" s="19" t="str">
        <x:v>08 Tető</x:v>
      </x:c>
      <x:c r="C173" s="19" t="str">
        <x:v>Ács, tetőfedő és bádogos munkák</x:v>
      </x:c>
      <x:c r="D173" s="19" t="str">
        <x:v>Mindegyik</x:v>
      </x:c>
      <x:c r="E173" s="19" t="str">
        <x:v>Kerámia cserépfedés készítése</x:v>
      </x:c>
      <x:c r="F173" s="19" t="str">
        <x:v>m²</x:v>
      </x:c>
      <x:c r="G173" s="113" t="n">
        <x:v>4200</x:v>
      </x:c>
      <x:c r="H173" s="113" t="n">
        <x:v>6200</x:v>
      </x:c>
      <x:c r="I173" s="114" t="n">
        <x:v>0.55</x:v>
      </x:c>
      <x:c r="J173" s="113" t="n">
        <x:f>ROUND(H173*I173/Beallitasok!$B$7,0)*Beallitasok!$B$7</x:f>
        <x:v>3400</x:v>
      </x:c>
      <x:c r="K173" s="19" t="n">
        <x:v>3</x:v>
      </x:c>
      <x:c r="L173" s="19" t="n">
        <x:v>2</x:v>
      </x:c>
      <x:c r="M173" s="113" t="n">
        <x:f>K173*Beallitasok!$B$2+L173*Beallitasok!$B$3</x:f>
        <x:v>155000</x:v>
      </x:c>
      <x:c r="N173" s="115" t="n">
        <x:v>62</x:v>
      </x:c>
      <x:c r="O173" s="113" t="n">
        <x:f>IFERROR(M173/N173,"")</x:f>
        <x:v>2500</x:v>
      </x:c>
      <x:c r="P173" s="116" t="n">
        <x:f>Beallitasok!$B$5</x:f>
        <x:v>1.15</x:v>
      </x:c>
      <x:c r="Q173" s="113" t="n">
        <x:f>IFERROR(ROUND(O173*P173/Beallitasok!$B$7,0)*Beallitasok!$B$7,"")</x:f>
        <x:v>2900</x:v>
      </x:c>
      <x:c r="R173" s="113"/>
      <x:c r="S173" s="113" t="n">
        <x:f>IF(Q173="","",Q173+IF(R173="",0,R173))</x:f>
        <x:v>2900</x:v>
      </x:c>
      <x:c r="T173" s="113" t="n">
        <x:f>M173*Beallitasok!$B$4</x:f>
        <x:v>775000</x:v>
      </x:c>
      <x:c r="U173" s="115" t="n">
        <x:f>N173*Beallitasok!$B$4</x:f>
        <x:v>310</x:v>
      </x:c>
      <x:c r="V173" s="113"/>
      <x:c r="W173" s="113" t="str">
        <x:f>IF(V173="","",V173-J173)</x:f>
      </x:c>
      <x:c r="X173" s="19"/>
      <x:c r="Y173" s="113" t="n">
        <x:f>IF(S173="","",J173-S173)</x:f>
        <x:v>500</x:v>
      </x:c>
      <x:c r="Z173" s="19" t="str">
        <x:f>IF(AA173="IGEN",IF(J173&lt;S173,"GÉPIGÉNY + KRITIKUS: gépdíj nélkül is alacsony a plafon","GÉPIGÉNY: a saját egységár gépdíj nélkül értendő"),IF(J173&lt;S173,"KRITIKUS: alvállalkozói plafon &lt; saját terhelt egységköltség",IF(J173&lt;S173*Beallitasok!$B$6,"SZŰK TARTALÉK: 10% alatti tartalék","OK")))</x:f>
        <x:v>OK</x:v>
      </x:c>
      <x:c r="AA173" s="19" t="str">
        <x:v>NEM</x:v>
      </x:c>
      <x:c r="AB173" s="19" t="str">
        <x:v>https://joszaki.hu/arak/tetofedes</x:v>
      </x:c>
      <x:c r="AC173" s="19" t="str">
        <x:v>2026 tetőfedési/bádogozási piaci alsó sáv és műszaki bontás</x:v>
      </x:c>
      <x:c r="AD173" s="19" t="str">
        <x:v>Faanyag, fedés, bádoganyag, állvány, daru és biztonsági rendszer külön.</x:v>
      </x:c>
    </x:row>
    <x:row r="174">
      <x:c r="A174" s="19" t="str">
        <x:v>AR-0173</x:v>
      </x:c>
      <x:c r="B174" s="19" t="str">
        <x:v>08 Tető</x:v>
      </x:c>
      <x:c r="C174" s="19" t="str">
        <x:v>Ács, tetőfedő és bádogos munkák</x:v>
      </x:c>
      <x:c r="D174" s="19" t="str">
        <x:v>Mindegyik</x:v>
      </x:c>
      <x:c r="E174" s="19" t="str">
        <x:v>Cserepeslemez fedés szerelése</x:v>
      </x:c>
      <x:c r="F174" s="19" t="str">
        <x:v>m²</x:v>
      </x:c>
      <x:c r="G174" s="113" t="n">
        <x:v>3200</x:v>
      </x:c>
      <x:c r="H174" s="113" t="n">
        <x:v>4800</x:v>
      </x:c>
      <x:c r="I174" s="114" t="n">
        <x:v>0.55</x:v>
      </x:c>
      <x:c r="J174" s="113" t="n">
        <x:f>ROUND(H174*I174/Beallitasok!$B$7,0)*Beallitasok!$B$7</x:f>
        <x:v>2650</x:v>
      </x:c>
      <x:c r="K174" s="19" t="n">
        <x:v>3</x:v>
      </x:c>
      <x:c r="L174" s="19" t="n">
        <x:v>2</x:v>
      </x:c>
      <x:c r="M174" s="113" t="n">
        <x:f>K174*Beallitasok!$B$2+L174*Beallitasok!$B$3</x:f>
        <x:v>155000</x:v>
      </x:c>
      <x:c r="N174" s="115" t="n">
        <x:v>75</x:v>
      </x:c>
      <x:c r="O174" s="113" t="n">
        <x:f>IFERROR(M174/N174,"")</x:f>
        <x:v>2066.6666666666665</x:v>
      </x:c>
      <x:c r="P174" s="116" t="n">
        <x:f>Beallitasok!$B$5</x:f>
        <x:v>1.15</x:v>
      </x:c>
      <x:c r="Q174" s="113" t="n">
        <x:f>IFERROR(ROUND(O174*P174/Beallitasok!$B$7,0)*Beallitasok!$B$7,"")</x:f>
        <x:v>2400</x:v>
      </x:c>
      <x:c r="R174" s="113"/>
      <x:c r="S174" s="113" t="n">
        <x:f>IF(Q174="","",Q174+IF(R174="",0,R174))</x:f>
        <x:v>2400</x:v>
      </x:c>
      <x:c r="T174" s="113" t="n">
        <x:f>M174*Beallitasok!$B$4</x:f>
        <x:v>775000</x:v>
      </x:c>
      <x:c r="U174" s="115" t="n">
        <x:f>N174*Beallitasok!$B$4</x:f>
        <x:v>375</x:v>
      </x:c>
      <x:c r="V174" s="113"/>
      <x:c r="W174" s="113" t="str">
        <x:f>IF(V174="","",V174-J174)</x:f>
      </x:c>
      <x:c r="X174" s="19"/>
      <x:c r="Y174" s="113" t="n">
        <x:f>IF(S174="","",J174-S174)</x:f>
        <x:v>250</x:v>
      </x:c>
      <x:c r="Z174" s="19" t="str">
        <x:f>IF(AA174="IGEN",IF(J174&lt;S174,"GÉPIGÉNY + KRITIKUS: gépdíj nélkül is alacsony a plafon","GÉPIGÉNY: a saját egységár gépdíj nélkül értendő"),IF(J174&lt;S174,"KRITIKUS: alvállalkozói plafon &lt; saját terhelt egységköltség",IF(J174&lt;S174*Beallitasok!$B$6,"SZŰK TARTALÉK: 10% alatti tartalék","OK")))</x:f>
        <x:v>OK</x:v>
      </x:c>
      <x:c r="AA174" s="19" t="str">
        <x:v>NEM</x:v>
      </x:c>
      <x:c r="AB174" s="19" t="str">
        <x:v>https://joszaki.hu/arak/badogozas</x:v>
      </x:c>
      <x:c r="AC174" s="19" t="str">
        <x:v>2026 tetőfedési/bádogozási piaci alsó sáv és műszaki bontás</x:v>
      </x:c>
      <x:c r="AD174" s="19" t="str">
        <x:v>Faanyag, fedés, bádoganyag, állvány, daru és biztonsági rendszer külön.</x:v>
      </x:c>
    </x:row>
    <x:row r="175">
      <x:c r="A175" s="19" t="str">
        <x:v>AR-0174</x:v>
      </x:c>
      <x:c r="B175" s="19" t="str">
        <x:v>08 Tető</x:v>
      </x:c>
      <x:c r="C175" s="19" t="str">
        <x:v>Ács, tetőfedő és bádogos munkák</x:v>
      </x:c>
      <x:c r="D175" s="19" t="str">
        <x:v>Mindegyik</x:v>
      </x:c>
      <x:c r="E175" s="19" t="str">
        <x:v>Korcolt fémlemez fedés szerelése</x:v>
      </x:c>
      <x:c r="F175" s="19" t="str">
        <x:v>m²</x:v>
      </x:c>
      <x:c r="G175" s="113" t="n">
        <x:v>7500</x:v>
      </x:c>
      <x:c r="H175" s="113" t="n">
        <x:v>11000</x:v>
      </x:c>
      <x:c r="I175" s="114" t="n">
        <x:v>0.6</x:v>
      </x:c>
      <x:c r="J175" s="113" t="n">
        <x:f>ROUND(H175*I175/Beallitasok!$B$7,0)*Beallitasok!$B$7</x:f>
        <x:v>6600</x:v>
      </x:c>
      <x:c r="K175" s="19" t="n">
        <x:v>2</x:v>
      </x:c>
      <x:c r="L175" s="19" t="n">
        <x:v>1</x:v>
      </x:c>
      <x:c r="M175" s="113" t="n">
        <x:f>K175*Beallitasok!$B$2+L175*Beallitasok!$B$3</x:f>
        <x:v>95000</x:v>
      </x:c>
      <x:c r="N175" s="115" t="n">
        <x:v>28</x:v>
      </x:c>
      <x:c r="O175" s="113" t="n">
        <x:f>IFERROR(M175/N175,"")</x:f>
        <x:v>3392.8571428571427</x:v>
      </x:c>
      <x:c r="P175" s="116" t="n">
        <x:f>Beallitasok!$B$5</x:f>
        <x:v>1.15</x:v>
      </x:c>
      <x:c r="Q175" s="113" t="n">
        <x:f>IFERROR(ROUND(O175*P175/Beallitasok!$B$7,0)*Beallitasok!$B$7,"")</x:f>
        <x:v>3900</x:v>
      </x:c>
      <x:c r="R175" s="113"/>
      <x:c r="S175" s="113" t="n">
        <x:f>IF(Q175="","",Q175+IF(R175="",0,R175))</x:f>
        <x:v>3900</x:v>
      </x:c>
      <x:c r="T175" s="113" t="n">
        <x:f>M175*Beallitasok!$B$4</x:f>
        <x:v>475000</x:v>
      </x:c>
      <x:c r="U175" s="115" t="n">
        <x:f>N175*Beallitasok!$B$4</x:f>
        <x:v>140</x:v>
      </x:c>
      <x:c r="V175" s="113"/>
      <x:c r="W175" s="113" t="str">
        <x:f>IF(V175="","",V175-J175)</x:f>
      </x:c>
      <x:c r="X175" s="19"/>
      <x:c r="Y175" s="113" t="n">
        <x:f>IF(S175="","",J175-S175)</x:f>
        <x:v>2700</x:v>
      </x:c>
      <x:c r="Z175" s="19" t="str">
        <x:f>IF(AA175="IGEN",IF(J175&lt;S175,"GÉPIGÉNY + KRITIKUS: gépdíj nélkül is alacsony a plafon","GÉPIGÉNY: a saját egységár gépdíj nélkül értendő"),IF(J175&lt;S175,"KRITIKUS: alvállalkozói plafon &lt; saját terhelt egységköltség",IF(J175&lt;S175*Beallitasok!$B$6,"SZŰK TARTALÉK: 10% alatti tartalék","OK")))</x:f>
        <x:v>OK</x:v>
      </x:c>
      <x:c r="AA175" s="19" t="str">
        <x:v>NEM</x:v>
      </x:c>
      <x:c r="AB175" s="19" t="str">
        <x:v>https://joszaki.hu/arak/badogozas</x:v>
      </x:c>
      <x:c r="AC175" s="19" t="str">
        <x:v>2026 tetőfedési/bádogozási piaci alsó sáv és műszaki bontás</x:v>
      </x:c>
      <x:c r="AD175" s="19" t="str">
        <x:v>Faanyag, fedés, bádoganyag, állvány, daru és biztonsági rendszer külön.</x:v>
      </x:c>
    </x:row>
    <x:row r="176">
      <x:c r="A176" s="19" t="str">
        <x:v>AR-0175</x:v>
      </x:c>
      <x:c r="B176" s="19" t="str">
        <x:v>08 Tető</x:v>
      </x:c>
      <x:c r="C176" s="19" t="str">
        <x:v>Ács, tetőfedő és bádogos munkák</x:v>
      </x:c>
      <x:c r="D176" s="19" t="str">
        <x:v>Mindegyik</x:v>
      </x:c>
      <x:c r="E176" s="19" t="str">
        <x:v>Bitumenes zsindely fedés készítése</x:v>
      </x:c>
      <x:c r="F176" s="19" t="str">
        <x:v>m²</x:v>
      </x:c>
      <x:c r="G176" s="113" t="n">
        <x:v>3500</x:v>
      </x:c>
      <x:c r="H176" s="113" t="n">
        <x:v>5200</x:v>
      </x:c>
      <x:c r="I176" s="114" t="n">
        <x:v>0.55</x:v>
      </x:c>
      <x:c r="J176" s="113" t="n">
        <x:f>ROUND(H176*I176/Beallitasok!$B$7,0)*Beallitasok!$B$7</x:f>
        <x:v>2850</x:v>
      </x:c>
      <x:c r="K176" s="19" t="n">
        <x:v>2</x:v>
      </x:c>
      <x:c r="L176" s="19" t="n">
        <x:v>1</x:v>
      </x:c>
      <x:c r="M176" s="113" t="n">
        <x:f>K176*Beallitasok!$B$2+L176*Beallitasok!$B$3</x:f>
        <x:v>95000</x:v>
      </x:c>
      <x:c r="N176" s="115" t="n">
        <x:v>55</x:v>
      </x:c>
      <x:c r="O176" s="113" t="n">
        <x:f>IFERROR(M176/N176,"")</x:f>
        <x:v>1727.2727272727273</x:v>
      </x:c>
      <x:c r="P176" s="116" t="n">
        <x:f>Beallitasok!$B$5</x:f>
        <x:v>1.15</x:v>
      </x:c>
      <x:c r="Q176" s="113" t="n">
        <x:f>IFERROR(ROUND(O176*P176/Beallitasok!$B$7,0)*Beallitasok!$B$7,"")</x:f>
        <x:v>2000</x:v>
      </x:c>
      <x:c r="R176" s="113"/>
      <x:c r="S176" s="113" t="n">
        <x:f>IF(Q176="","",Q176+IF(R176="",0,R176))</x:f>
        <x:v>2000</x:v>
      </x:c>
      <x:c r="T176" s="113" t="n">
        <x:f>M176*Beallitasok!$B$4</x:f>
        <x:v>475000</x:v>
      </x:c>
      <x:c r="U176" s="115" t="n">
        <x:f>N176*Beallitasok!$B$4</x:f>
        <x:v>275</x:v>
      </x:c>
      <x:c r="V176" s="113"/>
      <x:c r="W176" s="113" t="str">
        <x:f>IF(V176="","",V176-J176)</x:f>
      </x:c>
      <x:c r="X176" s="19"/>
      <x:c r="Y176" s="113" t="n">
        <x:f>IF(S176="","",J176-S176)</x:f>
        <x:v>850</x:v>
      </x:c>
      <x:c r="Z176" s="19" t="str">
        <x:f>IF(AA176="IGEN",IF(J176&lt;S176,"GÉPIGÉNY + KRITIKUS: gépdíj nélkül is alacsony a plafon","GÉPIGÉNY: a saját egységár gépdíj nélkül értendő"),IF(J176&lt;S176,"KRITIKUS: alvállalkozói plafon &lt; saját terhelt egységköltség",IF(J176&lt;S176*Beallitasok!$B$6,"SZŰK TARTALÉK: 10% alatti tartalék","OK")))</x:f>
        <x:v>OK</x:v>
      </x:c>
      <x:c r="AA176" s="19" t="str">
        <x:v>NEM</x:v>
      </x:c>
      <x:c r="AB176" s="19" t="str">
        <x:v>https://joszaki.hu/arak/tetofedes</x:v>
      </x:c>
      <x:c r="AC176" s="19" t="str">
        <x:v>2026 tetőfedési/bádogozási piaci alsó sáv és műszaki bontás</x:v>
      </x:c>
      <x:c r="AD176" s="19" t="str">
        <x:v>Faanyag, fedés, bádoganyag, állvány, daru és biztonsági rendszer külön.</x:v>
      </x:c>
    </x:row>
    <x:row r="177">
      <x:c r="A177" s="19" t="str">
        <x:v>AR-0176</x:v>
      </x:c>
      <x:c r="B177" s="19" t="str">
        <x:v>08 Tető</x:v>
      </x:c>
      <x:c r="C177" s="19" t="str">
        <x:v>Ács, tetőfedő és bádogos munkák</x:v>
      </x:c>
      <x:c r="D177" s="19" t="str">
        <x:v>Mindegyik</x:v>
      </x:c>
      <x:c r="E177" s="19" t="str">
        <x:v>Kúpcserép elhelyezése száraz rendszerben</x:v>
      </x:c>
      <x:c r="F177" s="19" t="str">
        <x:v>fm</x:v>
      </x:c>
      <x:c r="G177" s="113" t="n">
        <x:v>1800</x:v>
      </x:c>
      <x:c r="H177" s="113" t="n">
        <x:v>2700</x:v>
      </x:c>
      <x:c r="I177" s="114" t="n">
        <x:v>0.55</x:v>
      </x:c>
      <x:c r="J177" s="113" t="n">
        <x:f>ROUND(H177*I177/Beallitasok!$B$7,0)*Beallitasok!$B$7</x:f>
        <x:v>1500</x:v>
      </x:c>
      <x:c r="K177" s="19" t="n">
        <x:v>2</x:v>
      </x:c>
      <x:c r="L177" s="19" t="n">
        <x:v>1</x:v>
      </x:c>
      <x:c r="M177" s="113" t="n">
        <x:f>K177*Beallitasok!$B$2+L177*Beallitasok!$B$3</x:f>
        <x:v>95000</x:v>
      </x:c>
      <x:c r="N177" s="115" t="n">
        <x:v>65</x:v>
      </x:c>
      <x:c r="O177" s="113" t="n">
        <x:f>IFERROR(M177/N177,"")</x:f>
        <x:v>1461.5384615384614</x:v>
      </x:c>
      <x:c r="P177" s="116" t="n">
        <x:f>Beallitasok!$B$5</x:f>
        <x:v>1.15</x:v>
      </x:c>
      <x:c r="Q177" s="113" t="n">
        <x:f>IFERROR(ROUND(O177*P177/Beallitasok!$B$7,0)*Beallitasok!$B$7,"")</x:f>
        <x:v>1700</x:v>
      </x:c>
      <x:c r="R177" s="113"/>
      <x:c r="S177" s="113" t="n">
        <x:f>IF(Q177="","",Q177+IF(R177="",0,R177))</x:f>
        <x:v>1700</x:v>
      </x:c>
      <x:c r="T177" s="113" t="n">
        <x:f>M177*Beallitasok!$B$4</x:f>
        <x:v>475000</x:v>
      </x:c>
      <x:c r="U177" s="115" t="n">
        <x:f>N177*Beallitasok!$B$4</x:f>
        <x:v>325</x:v>
      </x:c>
      <x:c r="V177" s="113"/>
      <x:c r="W177" s="113" t="str">
        <x:f>IF(V177="","",V177-J177)</x:f>
      </x:c>
      <x:c r="X177" s="19"/>
      <x:c r="Y177" s="113" t="n">
        <x:f>IF(S177="","",J177-S177)</x:f>
        <x:v>-200</x:v>
      </x:c>
      <x:c r="Z177" s="19" t="str">
        <x:f>IF(AA177="IGEN",IF(J177&lt;S177,"GÉPIGÉNY + KRITIKUS: gépdíj nélkül is alacsony a plafon","GÉPIGÉNY: a saját egységár gépdíj nélkül értendő"),IF(J177&lt;S177,"KRITIKUS: alvállalkozói plafon &lt; saját terhelt egységköltség",IF(J177&lt;S177*Beallitasok!$B$6,"SZŰK TARTALÉK: 10% alatti tartalék","OK")))</x:f>
        <x:v>KRITIKUS: alvállalkozói plafon &lt; saját terhelt egységköltség</x:v>
      </x:c>
      <x:c r="AA177" s="19" t="str">
        <x:v>NEM</x:v>
      </x:c>
      <x:c r="AB177" s="19" t="str">
        <x:v>https://joszaki.hu/arak/tetofedes</x:v>
      </x:c>
      <x:c r="AC177" s="19" t="str">
        <x:v>2026 tetőfedési/bádogozási piaci alsó sáv és műszaki bontás</x:v>
      </x:c>
      <x:c r="AD177" s="19" t="str">
        <x:v>Faanyag, fedés, bádoganyag, állvány, daru és biztonsági rendszer külön.</x:v>
      </x:c>
    </x:row>
    <x:row r="178">
      <x:c r="A178" s="19" t="str">
        <x:v>AR-0177</x:v>
      </x:c>
      <x:c r="B178" s="19" t="str">
        <x:v>08 Tető</x:v>
      </x:c>
      <x:c r="C178" s="19" t="str">
        <x:v>Ács, tetőfedő és bádogos munkák</x:v>
      </x:c>
      <x:c r="D178" s="19" t="str">
        <x:v>Mindegyik</x:v>
      </x:c>
      <x:c r="E178" s="19" t="str">
        <x:v>Vápa kialakítása és fedése</x:v>
      </x:c>
      <x:c r="F178" s="19" t="str">
        <x:v>fm</x:v>
      </x:c>
      <x:c r="G178" s="113" t="n">
        <x:v>4200</x:v>
      </x:c>
      <x:c r="H178" s="113" t="n">
        <x:v>6200</x:v>
      </x:c>
      <x:c r="I178" s="114" t="n">
        <x:v>0.55</x:v>
      </x:c>
      <x:c r="J178" s="113" t="n">
        <x:f>ROUND(H178*I178/Beallitasok!$B$7,0)*Beallitasok!$B$7</x:f>
        <x:v>3400</x:v>
      </x:c>
      <x:c r="K178" s="19" t="n">
        <x:v>2</x:v>
      </x:c>
      <x:c r="L178" s="19" t="n">
        <x:v>1</x:v>
      </x:c>
      <x:c r="M178" s="113" t="n">
        <x:f>K178*Beallitasok!$B$2+L178*Beallitasok!$B$3</x:f>
        <x:v>95000</x:v>
      </x:c>
      <x:c r="N178" s="115" t="n">
        <x:v>25</x:v>
      </x:c>
      <x:c r="O178" s="113" t="n">
        <x:f>IFERROR(M178/N178,"")</x:f>
        <x:v>3800</x:v>
      </x:c>
      <x:c r="P178" s="116" t="n">
        <x:f>Beallitasok!$B$5</x:f>
        <x:v>1.15</x:v>
      </x:c>
      <x:c r="Q178" s="113" t="n">
        <x:f>IFERROR(ROUND(O178*P178/Beallitasok!$B$7,0)*Beallitasok!$B$7,"")</x:f>
        <x:v>4350</x:v>
      </x:c>
      <x:c r="R178" s="113"/>
      <x:c r="S178" s="113" t="n">
        <x:f>IF(Q178="","",Q178+IF(R178="",0,R178))</x:f>
        <x:v>4350</x:v>
      </x:c>
      <x:c r="T178" s="113" t="n">
        <x:f>M178*Beallitasok!$B$4</x:f>
        <x:v>475000</x:v>
      </x:c>
      <x:c r="U178" s="115" t="n">
        <x:f>N178*Beallitasok!$B$4</x:f>
        <x:v>125</x:v>
      </x:c>
      <x:c r="V178" s="113"/>
      <x:c r="W178" s="113" t="str">
        <x:f>IF(V178="","",V178-J178)</x:f>
      </x:c>
      <x:c r="X178" s="19"/>
      <x:c r="Y178" s="113" t="n">
        <x:f>IF(S178="","",J178-S178)</x:f>
        <x:v>-950</x:v>
      </x:c>
      <x:c r="Z178" s="19" t="str">
        <x:f>IF(AA178="IGEN",IF(J178&lt;S178,"GÉPIGÉNY + KRITIKUS: gépdíj nélkül is alacsony a plafon","GÉPIGÉNY: a saját egységár gépdíj nélkül értendő"),IF(J178&lt;S178,"KRITIKUS: alvállalkozói plafon &lt; saját terhelt egységköltség",IF(J178&lt;S178*Beallitasok!$B$6,"SZŰK TARTALÉK: 10% alatti tartalék","OK")))</x:f>
        <x:v>KRITIKUS: alvállalkozói plafon &lt; saját terhelt egységköltség</x:v>
      </x:c>
      <x:c r="AA178" s="19" t="str">
        <x:v>NEM</x:v>
      </x:c>
      <x:c r="AB178" s="19" t="str">
        <x:v>https://joszaki.hu/arak/tetofedes</x:v>
      </x:c>
      <x:c r="AC178" s="19" t="str">
        <x:v>2026 tetőfedési/bádogozási piaci alsó sáv és műszaki bontás</x:v>
      </x:c>
      <x:c r="AD178" s="19" t="str">
        <x:v>Faanyag, fedés, bádoganyag, állvány, daru és biztonsági rendszer külön.</x:v>
      </x:c>
    </x:row>
    <x:row r="179">
      <x:c r="A179" s="19" t="str">
        <x:v>AR-0178</x:v>
      </x:c>
      <x:c r="B179" s="19" t="str">
        <x:v>08 Tető</x:v>
      </x:c>
      <x:c r="C179" s="19" t="str">
        <x:v>Ács, tetőfedő és bádogos munkák</x:v>
      </x:c>
      <x:c r="D179" s="19" t="str">
        <x:v>Mindegyik</x:v>
      </x:c>
      <x:c r="E179" s="19" t="str">
        <x:v>Hófogó elemek szerelése</x:v>
      </x:c>
      <x:c r="F179" s="19" t="str">
        <x:v>db</x:v>
      </x:c>
      <x:c r="G179" s="113" t="n">
        <x:v>900</x:v>
      </x:c>
      <x:c r="H179" s="113" t="n">
        <x:v>1400</x:v>
      </x:c>
      <x:c r="I179" s="114" t="n">
        <x:v>0.55</x:v>
      </x:c>
      <x:c r="J179" s="113" t="n">
        <x:f>ROUND(H179*I179/Beallitasok!$B$7,0)*Beallitasok!$B$7</x:f>
        <x:v>750</x:v>
      </x:c>
      <x:c r="K179" s="19" t="n">
        <x:v>2</x:v>
      </x:c>
      <x:c r="L179" s="19" t="n">
        <x:v>1</x:v>
      </x:c>
      <x:c r="M179" s="113" t="n">
        <x:f>K179*Beallitasok!$B$2+L179*Beallitasok!$B$3</x:f>
        <x:v>95000</x:v>
      </x:c>
      <x:c r="N179" s="115" t="n">
        <x:v>60</x:v>
      </x:c>
      <x:c r="O179" s="113" t="n">
        <x:f>IFERROR(M179/N179,"")</x:f>
        <x:v>1583.3333333333333</x:v>
      </x:c>
      <x:c r="P179" s="116" t="n">
        <x:f>Beallitasok!$B$5</x:f>
        <x:v>1.15</x:v>
      </x:c>
      <x:c r="Q179" s="113" t="n">
        <x:f>IFERROR(ROUND(O179*P179/Beallitasok!$B$7,0)*Beallitasok!$B$7,"")</x:f>
        <x:v>1800</x:v>
      </x:c>
      <x:c r="R179" s="113"/>
      <x:c r="S179" s="113" t="n">
        <x:f>IF(Q179="","",Q179+IF(R179="",0,R179))</x:f>
        <x:v>1800</x:v>
      </x:c>
      <x:c r="T179" s="113" t="n">
        <x:f>M179*Beallitasok!$B$4</x:f>
        <x:v>475000</x:v>
      </x:c>
      <x:c r="U179" s="115" t="n">
        <x:f>N179*Beallitasok!$B$4</x:f>
        <x:v>300</x:v>
      </x:c>
      <x:c r="V179" s="113"/>
      <x:c r="W179" s="113" t="str">
        <x:f>IF(V179="","",V179-J179)</x:f>
      </x:c>
      <x:c r="X179" s="19"/>
      <x:c r="Y179" s="113" t="n">
        <x:f>IF(S179="","",J179-S179)</x:f>
        <x:v>-1050</x:v>
      </x:c>
      <x:c r="Z179" s="19" t="str">
        <x:f>IF(AA179="IGEN",IF(J179&lt;S179,"GÉPIGÉNY + KRITIKUS: gépdíj nélkül is alacsony a plafon","GÉPIGÉNY: a saját egységár gépdíj nélkül értendő"),IF(J179&lt;S179,"KRITIKUS: alvállalkozói plafon &lt; saját terhelt egységköltség",IF(J179&lt;S179*Beallitasok!$B$6,"SZŰK TARTALÉK: 10% alatti tartalék","OK")))</x:f>
        <x:v>KRITIKUS: alvállalkozói plafon &lt; saját terhelt egységköltség</x:v>
      </x:c>
      <x:c r="AA179" s="19" t="str">
        <x:v>NEM</x:v>
      </x:c>
      <x:c r="AB179" s="19" t="str">
        <x:v>https://joszaki.hu/arak/tetofedes</x:v>
      </x:c>
      <x:c r="AC179" s="19" t="str">
        <x:v>2026 tetőfedési/bádogozási piaci alsó sáv és műszaki bontás</x:v>
      </x:c>
      <x:c r="AD179" s="19" t="str">
        <x:v>Faanyag, fedés, bádoganyag, állvány, daru és biztonsági rendszer külön.</x:v>
      </x:c>
    </x:row>
    <x:row r="180">
      <x:c r="A180" s="19" t="str">
        <x:v>AR-0179</x:v>
      </x:c>
      <x:c r="B180" s="19" t="str">
        <x:v>08 Tető</x:v>
      </x:c>
      <x:c r="C180" s="19" t="str">
        <x:v>Ács, tetőfedő és bádogos munkák</x:v>
      </x:c>
      <x:c r="D180" s="19" t="str">
        <x:v>Mindegyik</x:v>
      </x:c>
      <x:c r="E180" s="19" t="str">
        <x:v>Szellőzőcserép elhelyezése</x:v>
      </x:c>
      <x:c r="F180" s="19" t="str">
        <x:v>db</x:v>
      </x:c>
      <x:c r="G180" s="113" t="n">
        <x:v>600</x:v>
      </x:c>
      <x:c r="H180" s="113" t="n">
        <x:v>950</x:v>
      </x:c>
      <x:c r="I180" s="114" t="n">
        <x:v>0.55</x:v>
      </x:c>
      <x:c r="J180" s="113" t="n">
        <x:f>ROUND(H180*I180/Beallitasok!$B$7,0)*Beallitasok!$B$7</x:f>
        <x:v>500</x:v>
      </x:c>
      <x:c r="K180" s="19" t="n">
        <x:v>2</x:v>
      </x:c>
      <x:c r="L180" s="19" t="n">
        <x:v>1</x:v>
      </x:c>
      <x:c r="M180" s="113" t="n">
        <x:f>K180*Beallitasok!$B$2+L180*Beallitasok!$B$3</x:f>
        <x:v>95000</x:v>
      </x:c>
      <x:c r="N180" s="115" t="n">
        <x:v>70</x:v>
      </x:c>
      <x:c r="O180" s="113" t="n">
        <x:f>IFERROR(M180/N180,"")</x:f>
        <x:v>1357.142857142857</x:v>
      </x:c>
      <x:c r="P180" s="116" t="n">
        <x:f>Beallitasok!$B$5</x:f>
        <x:v>1.15</x:v>
      </x:c>
      <x:c r="Q180" s="113" t="n">
        <x:f>IFERROR(ROUND(O180*P180/Beallitasok!$B$7,0)*Beallitasok!$B$7,"")</x:f>
        <x:v>1550</x:v>
      </x:c>
      <x:c r="R180" s="113"/>
      <x:c r="S180" s="113" t="n">
        <x:f>IF(Q180="","",Q180+IF(R180="",0,R180))</x:f>
        <x:v>1550</x:v>
      </x:c>
      <x:c r="T180" s="113" t="n">
        <x:f>M180*Beallitasok!$B$4</x:f>
        <x:v>475000</x:v>
      </x:c>
      <x:c r="U180" s="115" t="n">
        <x:f>N180*Beallitasok!$B$4</x:f>
        <x:v>350</x:v>
      </x:c>
      <x:c r="V180" s="113"/>
      <x:c r="W180" s="113" t="str">
        <x:f>IF(V180="","",V180-J180)</x:f>
      </x:c>
      <x:c r="X180" s="19"/>
      <x:c r="Y180" s="113" t="n">
        <x:f>IF(S180="","",J180-S180)</x:f>
        <x:v>-1050</x:v>
      </x:c>
      <x:c r="Z180" s="19" t="str">
        <x:f>IF(AA180="IGEN",IF(J180&lt;S180,"GÉPIGÉNY + KRITIKUS: gépdíj nélkül is alacsony a plafon","GÉPIGÉNY: a saját egységár gépdíj nélkül értendő"),IF(J180&lt;S180,"KRITIKUS: alvállalkozói plafon &lt; saját terhelt egységköltség",IF(J180&lt;S180*Beallitasok!$B$6,"SZŰK TARTALÉK: 10% alatti tartalék","OK")))</x:f>
        <x:v>KRITIKUS: alvállalkozói plafon &lt; saját terhelt egységköltség</x:v>
      </x:c>
      <x:c r="AA180" s="19" t="str">
        <x:v>NEM</x:v>
      </x:c>
      <x:c r="AB180" s="19" t="str">
        <x:v>https://joszaki.hu/arak/tetofedes</x:v>
      </x:c>
      <x:c r="AC180" s="19" t="str">
        <x:v>2026 tetőfedési/bádogozási piaci alsó sáv és műszaki bontás</x:v>
      </x:c>
      <x:c r="AD180" s="19" t="str">
        <x:v>Faanyag, fedés, bádoganyag, állvány, daru és biztonsági rendszer külön.</x:v>
      </x:c>
    </x:row>
    <x:row r="181">
      <x:c r="A181" s="19" t="str">
        <x:v>AR-0180</x:v>
      </x:c>
      <x:c r="B181" s="19" t="str">
        <x:v>08 Tető</x:v>
      </x:c>
      <x:c r="C181" s="19" t="str">
        <x:v>Ács, tetőfedő és bádogos munkák</x:v>
      </x:c>
      <x:c r="D181" s="19" t="str">
        <x:v>Mindegyik</x:v>
      </x:c>
      <x:c r="E181" s="19" t="str">
        <x:v>Tetőkibúvó beépítése</x:v>
      </x:c>
      <x:c r="F181" s="19" t="str">
        <x:v>db</x:v>
      </x:c>
      <x:c r="G181" s="113" t="n">
        <x:v>15000</x:v>
      </x:c>
      <x:c r="H181" s="113" t="n">
        <x:v>22000</x:v>
      </x:c>
      <x:c r="I181" s="114" t="n">
        <x:v>0.6</x:v>
      </x:c>
      <x:c r="J181" s="113" t="n">
        <x:f>ROUND(H181*I181/Beallitasok!$B$7,0)*Beallitasok!$B$7</x:f>
        <x:v>13200</x:v>
      </x:c>
      <x:c r="K181" s="19" t="n">
        <x:v>2</x:v>
      </x:c>
      <x:c r="L181" s="19" t="n">
        <x:v>1</x:v>
      </x:c>
      <x:c r="M181" s="113" t="n">
        <x:f>K181*Beallitasok!$B$2+L181*Beallitasok!$B$3</x:f>
        <x:v>95000</x:v>
      </x:c>
      <x:c r="N181" s="115" t="n">
        <x:v>4</x:v>
      </x:c>
      <x:c r="O181" s="113" t="n">
        <x:f>IFERROR(M181/N181,"")</x:f>
        <x:v>23750</x:v>
      </x:c>
      <x:c r="P181" s="116" t="n">
        <x:f>Beallitasok!$B$5</x:f>
        <x:v>1.15</x:v>
      </x:c>
      <x:c r="Q181" s="113" t="n">
        <x:f>IFERROR(ROUND(O181*P181/Beallitasok!$B$7,0)*Beallitasok!$B$7,"")</x:f>
        <x:v>27300</x:v>
      </x:c>
      <x:c r="R181" s="113"/>
      <x:c r="S181" s="113" t="n">
        <x:f>IF(Q181="","",Q181+IF(R181="",0,R181))</x:f>
        <x:v>27300</x:v>
      </x:c>
      <x:c r="T181" s="113" t="n">
        <x:f>M181*Beallitasok!$B$4</x:f>
        <x:v>475000</x:v>
      </x:c>
      <x:c r="U181" s="115" t="n">
        <x:f>N181*Beallitasok!$B$4</x:f>
        <x:v>20</x:v>
      </x:c>
      <x:c r="V181" s="113"/>
      <x:c r="W181" s="113" t="str">
        <x:f>IF(V181="","",V181-J181)</x:f>
      </x:c>
      <x:c r="X181" s="19"/>
      <x:c r="Y181" s="113" t="n">
        <x:f>IF(S181="","",J181-S181)</x:f>
        <x:v>-14100</x:v>
      </x:c>
      <x:c r="Z181" s="19" t="str">
        <x:f>IF(AA181="IGEN",IF(J181&lt;S181,"GÉPIGÉNY + KRITIKUS: gépdíj nélkül is alacsony a plafon","GÉPIGÉNY: a saját egységár gépdíj nélkül értendő"),IF(J181&lt;S181,"KRITIKUS: alvállalkozói plafon &lt; saját terhelt egységköltség",IF(J181&lt;S181*Beallitasok!$B$6,"SZŰK TARTALÉK: 10% alatti tartalék","OK")))</x:f>
        <x:v>KRITIKUS: alvállalkozói plafon &lt; saját terhelt egységköltség</x:v>
      </x:c>
      <x:c r="AA181" s="19" t="str">
        <x:v>NEM</x:v>
      </x:c>
      <x:c r="AB181" s="19" t="str">
        <x:v>https://joszaki.hu/arak/tetofedes</x:v>
      </x:c>
      <x:c r="AC181" s="19" t="str">
        <x:v>2026 tetőfedési/bádogozási piaci alsó sáv és műszaki bontás</x:v>
      </x:c>
      <x:c r="AD181" s="19" t="str">
        <x:v>Faanyag, fedés, bádoganyag, állvány, daru és biztonsági rendszer külön.</x:v>
      </x:c>
    </x:row>
    <x:row r="182">
      <x:c r="A182" s="19" t="str">
        <x:v>AR-0181</x:v>
      </x:c>
      <x:c r="B182" s="19" t="str">
        <x:v>08 Tető</x:v>
      </x:c>
      <x:c r="C182" s="19" t="str">
        <x:v>Ács, tetőfedő és bádogos munkák</x:v>
      </x:c>
      <x:c r="D182" s="19" t="str">
        <x:v>Mindegyik</x:v>
      </x:c>
      <x:c r="E182" s="19" t="str">
        <x:v>Tetősík ablak beépítése szerkezetkiváltással</x:v>
      </x:c>
      <x:c r="F182" s="19" t="str">
        <x:v>db</x:v>
      </x:c>
      <x:c r="G182" s="113" t="n">
        <x:v>35000</x:v>
      </x:c>
      <x:c r="H182" s="113" t="n">
        <x:v>52000</x:v>
      </x:c>
      <x:c r="I182" s="114" t="n">
        <x:v>0.6</x:v>
      </x:c>
      <x:c r="J182" s="113" t="n">
        <x:f>ROUND(H182*I182/Beallitasok!$B$7,0)*Beallitasok!$B$7</x:f>
        <x:v>31200</x:v>
      </x:c>
      <x:c r="K182" s="19" t="n">
        <x:v>2</x:v>
      </x:c>
      <x:c r="L182" s="19" t="n">
        <x:v>1</x:v>
      </x:c>
      <x:c r="M182" s="113" t="n">
        <x:f>K182*Beallitasok!$B$2+L182*Beallitasok!$B$3</x:f>
        <x:v>95000</x:v>
      </x:c>
      <x:c r="N182" s="115" t="n">
        <x:v>2.2</x:v>
      </x:c>
      <x:c r="O182" s="113" t="n">
        <x:f>IFERROR(M182/N182,"")</x:f>
        <x:v>43181.81818181818</x:v>
      </x:c>
      <x:c r="P182" s="116" t="n">
        <x:f>Beallitasok!$B$5</x:f>
        <x:v>1.15</x:v>
      </x:c>
      <x:c r="Q182" s="113" t="n">
        <x:f>IFERROR(ROUND(O182*P182/Beallitasok!$B$7,0)*Beallitasok!$B$7,"")</x:f>
        <x:v>49650</x:v>
      </x:c>
      <x:c r="R182" s="113"/>
      <x:c r="S182" s="113" t="n">
        <x:f>IF(Q182="","",Q182+IF(R182="",0,R182))</x:f>
        <x:v>49650</x:v>
      </x:c>
      <x:c r="T182" s="113" t="n">
        <x:f>M182*Beallitasok!$B$4</x:f>
        <x:v>475000</x:v>
      </x:c>
      <x:c r="U182" s="115" t="n">
        <x:f>N182*Beallitasok!$B$4</x:f>
        <x:v>11</x:v>
      </x:c>
      <x:c r="V182" s="113"/>
      <x:c r="W182" s="113" t="str">
        <x:f>IF(V182="","",V182-J182)</x:f>
      </x:c>
      <x:c r="X182" s="19"/>
      <x:c r="Y182" s="113" t="n">
        <x:f>IF(S182="","",J182-S182)</x:f>
        <x:v>-18450</x:v>
      </x:c>
      <x:c r="Z182" s="19" t="str">
        <x:f>IF(AA182="IGEN",IF(J182&lt;S182,"GÉPIGÉNY + KRITIKUS: gépdíj nélkül is alacsony a plafon","GÉPIGÉNY: a saját egységár gépdíj nélkül értendő"),IF(J182&lt;S182,"KRITIKUS: alvállalkozói plafon &lt; saját terhelt egységköltség",IF(J182&lt;S182*Beallitasok!$B$6,"SZŰK TARTALÉK: 10% alatti tartalék","OK")))</x:f>
        <x:v>KRITIKUS: alvállalkozói plafon &lt; saját terhelt egységköltség</x:v>
      </x:c>
      <x:c r="AA182" s="19" t="str">
        <x:v>NEM</x:v>
      </x:c>
      <x:c r="AB182" s="19" t="str">
        <x:v>https://joszaki.hu/arak/tetofedes</x:v>
      </x:c>
      <x:c r="AC182" s="19" t="str">
        <x:v>2026 tetőfedési/bádogozási piaci alsó sáv és műszaki bontás</x:v>
      </x:c>
      <x:c r="AD182" s="19" t="str">
        <x:v>Faanyag, fedés, bádoganyag, állvány, daru és biztonsági rendszer külön.</x:v>
      </x:c>
    </x:row>
    <x:row r="183">
      <x:c r="A183" s="19" t="str">
        <x:v>AR-0182</x:v>
      </x:c>
      <x:c r="B183" s="19" t="str">
        <x:v>08 Tető</x:v>
      </x:c>
      <x:c r="C183" s="19" t="str">
        <x:v>Ács, tetőfedő és bádogos munkák</x:v>
      </x:c>
      <x:c r="D183" s="19" t="str">
        <x:v>Mindegyik</x:v>
      </x:c>
      <x:c r="E183" s="19" t="str">
        <x:v>Ereszcsatorna szerelése</x:v>
      </x:c>
      <x:c r="F183" s="19" t="str">
        <x:v>fm</x:v>
      </x:c>
      <x:c r="G183" s="113" t="n">
        <x:v>1800</x:v>
      </x:c>
      <x:c r="H183" s="113" t="n">
        <x:v>2800</x:v>
      </x:c>
      <x:c r="I183" s="114" t="n">
        <x:v>0.6</x:v>
      </x:c>
      <x:c r="J183" s="113" t="n">
        <x:f>ROUND(H183*I183/Beallitasok!$B$7,0)*Beallitasok!$B$7</x:f>
        <x:v>1700</x:v>
      </x:c>
      <x:c r="K183" s="19" t="n">
        <x:v>2</x:v>
      </x:c>
      <x:c r="L183" s="19" t="n">
        <x:v>1</x:v>
      </x:c>
      <x:c r="M183" s="113" t="n">
        <x:f>K183*Beallitasok!$B$2+L183*Beallitasok!$B$3</x:f>
        <x:v>95000</x:v>
      </x:c>
      <x:c r="N183" s="115" t="n">
        <x:v>48</x:v>
      </x:c>
      <x:c r="O183" s="113" t="n">
        <x:f>IFERROR(M183/N183,"")</x:f>
        <x:v>1979.1666666666667</x:v>
      </x:c>
      <x:c r="P183" s="116" t="n">
        <x:f>Beallitasok!$B$5</x:f>
        <x:v>1.15</x:v>
      </x:c>
      <x:c r="Q183" s="113" t="n">
        <x:f>IFERROR(ROUND(O183*P183/Beallitasok!$B$7,0)*Beallitasok!$B$7,"")</x:f>
        <x:v>2300</x:v>
      </x:c>
      <x:c r="R183" s="113"/>
      <x:c r="S183" s="113" t="n">
        <x:f>IF(Q183="","",Q183+IF(R183="",0,R183))</x:f>
        <x:v>2300</x:v>
      </x:c>
      <x:c r="T183" s="113" t="n">
        <x:f>M183*Beallitasok!$B$4</x:f>
        <x:v>475000</x:v>
      </x:c>
      <x:c r="U183" s="115" t="n">
        <x:f>N183*Beallitasok!$B$4</x:f>
        <x:v>240</x:v>
      </x:c>
      <x:c r="V183" s="113"/>
      <x:c r="W183" s="113" t="str">
        <x:f>IF(V183="","",V183-J183)</x:f>
      </x:c>
      <x:c r="X183" s="19"/>
      <x:c r="Y183" s="113" t="n">
        <x:f>IF(S183="","",J183-S183)</x:f>
        <x:v>-600</x:v>
      </x:c>
      <x:c r="Z183" s="19" t="str">
        <x:f>IF(AA183="IGEN",IF(J183&lt;S183,"GÉPIGÉNY + KRITIKUS: gépdíj nélkül is alacsony a plafon","GÉPIGÉNY: a saját egységár gépdíj nélkül értendő"),IF(J183&lt;S183,"KRITIKUS: alvállalkozói plafon &lt; saját terhelt egységköltség",IF(J183&lt;S183*Beallitasok!$B$6,"SZŰK TARTALÉK: 10% alatti tartalék","OK")))</x:f>
        <x:v>KRITIKUS: alvállalkozói plafon &lt; saját terhelt egységköltség</x:v>
      </x:c>
      <x:c r="AA183" s="19" t="str">
        <x:v>NEM</x:v>
      </x:c>
      <x:c r="AB183" s="19" t="str">
        <x:v>https://joszaki.hu/arak/badogozas</x:v>
      </x:c>
      <x:c r="AC183" s="19" t="str">
        <x:v>2026 tetőfedési/bádogozási piaci alsó sáv és műszaki bontás</x:v>
      </x:c>
      <x:c r="AD183" s="19" t="str">
        <x:v>Faanyag, fedés, bádoganyag, állvány, daru és biztonsági rendszer külön.</x:v>
      </x:c>
    </x:row>
    <x:row r="184">
      <x:c r="A184" s="19" t="str">
        <x:v>AR-0183</x:v>
      </x:c>
      <x:c r="B184" s="19" t="str">
        <x:v>08 Tető</x:v>
      </x:c>
      <x:c r="C184" s="19" t="str">
        <x:v>Ács, tetőfedő és bádogos munkák</x:v>
      </x:c>
      <x:c r="D184" s="19" t="str">
        <x:v>Mindegyik</x:v>
      </x:c>
      <x:c r="E184" s="19" t="str">
        <x:v>Lefolyócső szerelése</x:v>
      </x:c>
      <x:c r="F184" s="19" t="str">
        <x:v>fm</x:v>
      </x:c>
      <x:c r="G184" s="113" t="n">
        <x:v>1500</x:v>
      </x:c>
      <x:c r="H184" s="113" t="n">
        <x:v>2300</x:v>
      </x:c>
      <x:c r="I184" s="114" t="n">
        <x:v>0.6</x:v>
      </x:c>
      <x:c r="J184" s="113" t="n">
        <x:f>ROUND(H184*I184/Beallitasok!$B$7,0)*Beallitasok!$B$7</x:f>
        <x:v>1400</x:v>
      </x:c>
      <x:c r="K184" s="19" t="n">
        <x:v>2</x:v>
      </x:c>
      <x:c r="L184" s="19" t="n">
        <x:v>1</x:v>
      </x:c>
      <x:c r="M184" s="113" t="n">
        <x:f>K184*Beallitasok!$B$2+L184*Beallitasok!$B$3</x:f>
        <x:v>95000</x:v>
      </x:c>
      <x:c r="N184" s="115" t="n">
        <x:v>55</x:v>
      </x:c>
      <x:c r="O184" s="113" t="n">
        <x:f>IFERROR(M184/N184,"")</x:f>
        <x:v>1727.2727272727273</x:v>
      </x:c>
      <x:c r="P184" s="116" t="n">
        <x:f>Beallitasok!$B$5</x:f>
        <x:v>1.15</x:v>
      </x:c>
      <x:c r="Q184" s="113" t="n">
        <x:f>IFERROR(ROUND(O184*P184/Beallitasok!$B$7,0)*Beallitasok!$B$7,"")</x:f>
        <x:v>2000</x:v>
      </x:c>
      <x:c r="R184" s="113"/>
      <x:c r="S184" s="113" t="n">
        <x:f>IF(Q184="","",Q184+IF(R184="",0,R184))</x:f>
        <x:v>2000</x:v>
      </x:c>
      <x:c r="T184" s="113" t="n">
        <x:f>M184*Beallitasok!$B$4</x:f>
        <x:v>475000</x:v>
      </x:c>
      <x:c r="U184" s="115" t="n">
        <x:f>N184*Beallitasok!$B$4</x:f>
        <x:v>275</x:v>
      </x:c>
      <x:c r="V184" s="113"/>
      <x:c r="W184" s="113" t="str">
        <x:f>IF(V184="","",V184-J184)</x:f>
      </x:c>
      <x:c r="X184" s="19"/>
      <x:c r="Y184" s="113" t="n">
        <x:f>IF(S184="","",J184-S184)</x:f>
        <x:v>-600</x:v>
      </x:c>
      <x:c r="Z184" s="19" t="str">
        <x:f>IF(AA184="IGEN",IF(J184&lt;S184,"GÉPIGÉNY + KRITIKUS: gépdíj nélkül is alacsony a plafon","GÉPIGÉNY: a saját egységár gépdíj nélkül értendő"),IF(J184&lt;S184,"KRITIKUS: alvállalkozói plafon &lt; saját terhelt egységköltség",IF(J184&lt;S184*Beallitasok!$B$6,"SZŰK TARTALÉK: 10% alatti tartalék","OK")))</x:f>
        <x:v>KRITIKUS: alvállalkozói plafon &lt; saját terhelt egységköltség</x:v>
      </x:c>
      <x:c r="AA184" s="19" t="str">
        <x:v>NEM</x:v>
      </x:c>
      <x:c r="AB184" s="19" t="str">
        <x:v>https://joszaki.hu/arak/tetofedes</x:v>
      </x:c>
      <x:c r="AC184" s="19" t="str">
        <x:v>2026 tetőfedési/bádogozási piaci alsó sáv és műszaki bontás</x:v>
      </x:c>
      <x:c r="AD184" s="19" t="str">
        <x:v>Faanyag, fedés, bádoganyag, állvány, daru és biztonsági rendszer külön.</x:v>
      </x:c>
    </x:row>
    <x:row r="185">
      <x:c r="A185" s="19" t="str">
        <x:v>AR-0184</x:v>
      </x:c>
      <x:c r="B185" s="19" t="str">
        <x:v>08 Tető</x:v>
      </x:c>
      <x:c r="C185" s="19" t="str">
        <x:v>Ács, tetőfedő és bádogos munkák</x:v>
      </x:c>
      <x:c r="D185" s="19" t="str">
        <x:v>Mindegyik</x:v>
      </x:c>
      <x:c r="E185" s="19" t="str">
        <x:v>Oromszegély lemez szerelése</x:v>
      </x:c>
      <x:c r="F185" s="19" t="str">
        <x:v>fm</x:v>
      </x:c>
      <x:c r="G185" s="113" t="n">
        <x:v>2200</x:v>
      </x:c>
      <x:c r="H185" s="113" t="n">
        <x:v>3300</x:v>
      </x:c>
      <x:c r="I185" s="114" t="n">
        <x:v>0.6</x:v>
      </x:c>
      <x:c r="J185" s="113" t="n">
        <x:f>ROUND(H185*I185/Beallitasok!$B$7,0)*Beallitasok!$B$7</x:f>
        <x:v>2000</x:v>
      </x:c>
      <x:c r="K185" s="19" t="n">
        <x:v>2</x:v>
      </x:c>
      <x:c r="L185" s="19" t="n">
        <x:v>1</x:v>
      </x:c>
      <x:c r="M185" s="113" t="n">
        <x:f>K185*Beallitasok!$B$2+L185*Beallitasok!$B$3</x:f>
        <x:v>95000</x:v>
      </x:c>
      <x:c r="N185" s="115" t="n">
        <x:v>42</x:v>
      </x:c>
      <x:c r="O185" s="113" t="n">
        <x:f>IFERROR(M185/N185,"")</x:f>
        <x:v>2261.904761904762</x:v>
      </x:c>
      <x:c r="P185" s="116" t="n">
        <x:f>Beallitasok!$B$5</x:f>
        <x:v>1.15</x:v>
      </x:c>
      <x:c r="Q185" s="113" t="n">
        <x:f>IFERROR(ROUND(O185*P185/Beallitasok!$B$7,0)*Beallitasok!$B$7,"")</x:f>
        <x:v>2600</x:v>
      </x:c>
      <x:c r="R185" s="113"/>
      <x:c r="S185" s="113" t="n">
        <x:f>IF(Q185="","",Q185+IF(R185="",0,R185))</x:f>
        <x:v>2600</x:v>
      </x:c>
      <x:c r="T185" s="113" t="n">
        <x:f>M185*Beallitasok!$B$4</x:f>
        <x:v>475000</x:v>
      </x:c>
      <x:c r="U185" s="115" t="n">
        <x:f>N185*Beallitasok!$B$4</x:f>
        <x:v>210</x:v>
      </x:c>
      <x:c r="V185" s="113"/>
      <x:c r="W185" s="113" t="str">
        <x:f>IF(V185="","",V185-J185)</x:f>
      </x:c>
      <x:c r="X185" s="19"/>
      <x:c r="Y185" s="113" t="n">
        <x:f>IF(S185="","",J185-S185)</x:f>
        <x:v>-600</x:v>
      </x:c>
      <x:c r="Z185" s="19" t="str">
        <x:f>IF(AA185="IGEN",IF(J185&lt;S185,"GÉPIGÉNY + KRITIKUS: gépdíj nélkül is alacsony a plafon","GÉPIGÉNY: a saját egységár gépdíj nélkül értendő"),IF(J185&lt;S185,"KRITIKUS: alvállalkozói plafon &lt; saját terhelt egységköltség",IF(J185&lt;S185*Beallitasok!$B$6,"SZŰK TARTALÉK: 10% alatti tartalék","OK")))</x:f>
        <x:v>KRITIKUS: alvállalkozói plafon &lt; saját terhelt egységköltség</x:v>
      </x:c>
      <x:c r="AA185" s="19" t="str">
        <x:v>NEM</x:v>
      </x:c>
      <x:c r="AB185" s="19" t="str">
        <x:v>https://joszaki.hu/arak/badogozas</x:v>
      </x:c>
      <x:c r="AC185" s="19" t="str">
        <x:v>2026 tetőfedési/bádogozási piaci alsó sáv és műszaki bontás</x:v>
      </x:c>
      <x:c r="AD185" s="19" t="str">
        <x:v>Faanyag, fedés, bádoganyag, állvány, daru és biztonsági rendszer külön.</x:v>
      </x:c>
    </x:row>
    <x:row r="186">
      <x:c r="A186" s="19" t="str">
        <x:v>AR-0185</x:v>
      </x:c>
      <x:c r="B186" s="19" t="str">
        <x:v>08 Tető</x:v>
      </x:c>
      <x:c r="C186" s="19" t="str">
        <x:v>Ács, tetőfedő és bádogos munkák</x:v>
      </x:c>
      <x:c r="D186" s="19" t="str">
        <x:v>Mindegyik</x:v>
      </x:c>
      <x:c r="E186" s="19" t="str">
        <x:v>Falszegély lemez szerelése</x:v>
      </x:c>
      <x:c r="F186" s="19" t="str">
        <x:v>fm</x:v>
      </x:c>
      <x:c r="G186" s="113" t="n">
        <x:v>2500</x:v>
      </x:c>
      <x:c r="H186" s="113" t="n">
        <x:v>3800</x:v>
      </x:c>
      <x:c r="I186" s="114" t="n">
        <x:v>0.6</x:v>
      </x:c>
      <x:c r="J186" s="113" t="n">
        <x:f>ROUND(H186*I186/Beallitasok!$B$7,0)*Beallitasok!$B$7</x:f>
        <x:v>2300</x:v>
      </x:c>
      <x:c r="K186" s="19" t="n">
        <x:v>2</x:v>
      </x:c>
      <x:c r="L186" s="19" t="n">
        <x:v>1</x:v>
      </x:c>
      <x:c r="M186" s="113" t="n">
        <x:f>K186*Beallitasok!$B$2+L186*Beallitasok!$B$3</x:f>
        <x:v>95000</x:v>
      </x:c>
      <x:c r="N186" s="115" t="n">
        <x:v>35</x:v>
      </x:c>
      <x:c r="O186" s="113" t="n">
        <x:f>IFERROR(M186/N186,"")</x:f>
        <x:v>2714.285714285714</x:v>
      </x:c>
      <x:c r="P186" s="116" t="n">
        <x:f>Beallitasok!$B$5</x:f>
        <x:v>1.15</x:v>
      </x:c>
      <x:c r="Q186" s="113" t="n">
        <x:f>IFERROR(ROUND(O186*P186/Beallitasok!$B$7,0)*Beallitasok!$B$7,"")</x:f>
        <x:v>3100</x:v>
      </x:c>
      <x:c r="R186" s="113"/>
      <x:c r="S186" s="113" t="n">
        <x:f>IF(Q186="","",Q186+IF(R186="",0,R186))</x:f>
        <x:v>3100</x:v>
      </x:c>
      <x:c r="T186" s="113" t="n">
        <x:f>M186*Beallitasok!$B$4</x:f>
        <x:v>475000</x:v>
      </x:c>
      <x:c r="U186" s="115" t="n">
        <x:f>N186*Beallitasok!$B$4</x:f>
        <x:v>175</x:v>
      </x:c>
      <x:c r="V186" s="113"/>
      <x:c r="W186" s="113" t="str">
        <x:f>IF(V186="","",V186-J186)</x:f>
      </x:c>
      <x:c r="X186" s="19"/>
      <x:c r="Y186" s="113" t="n">
        <x:f>IF(S186="","",J186-S186)</x:f>
        <x:v>-800</x:v>
      </x:c>
      <x:c r="Z186" s="19" t="str">
        <x:f>IF(AA186="IGEN",IF(J186&lt;S186,"GÉPIGÉNY + KRITIKUS: gépdíj nélkül is alacsony a plafon","GÉPIGÉNY: a saját egységár gépdíj nélkül értendő"),IF(J186&lt;S186,"KRITIKUS: alvállalkozói plafon &lt; saját terhelt egységköltség",IF(J186&lt;S186*Beallitasok!$B$6,"SZŰK TARTALÉK: 10% alatti tartalék","OK")))</x:f>
        <x:v>KRITIKUS: alvállalkozói plafon &lt; saját terhelt egységköltség</x:v>
      </x:c>
      <x:c r="AA186" s="19" t="str">
        <x:v>NEM</x:v>
      </x:c>
      <x:c r="AB186" s="19" t="str">
        <x:v>https://joszaki.hu/arak/badogozas</x:v>
      </x:c>
      <x:c r="AC186" s="19" t="str">
        <x:v>2026 tetőfedési/bádogozási piaci alsó sáv és műszaki bontás</x:v>
      </x:c>
      <x:c r="AD186" s="19" t="str">
        <x:v>Faanyag, fedés, bádoganyag, állvány, daru és biztonsági rendszer külön.</x:v>
      </x:c>
    </x:row>
    <x:row r="187">
      <x:c r="A187" s="19" t="str">
        <x:v>AR-0186</x:v>
      </x:c>
      <x:c r="B187" s="19" t="str">
        <x:v>08 Tető</x:v>
      </x:c>
      <x:c r="C187" s="19" t="str">
        <x:v>Ács, tetőfedő és bádogos munkák</x:v>
      </x:c>
      <x:c r="D187" s="19" t="str">
        <x:v>Mindegyik</x:v>
      </x:c>
      <x:c r="E187" s="19" t="str">
        <x:v>Cseppentőlemez szerelése</x:v>
      </x:c>
      <x:c r="F187" s="19" t="str">
        <x:v>fm</x:v>
      </x:c>
      <x:c r="G187" s="113" t="n">
        <x:v>1800</x:v>
      </x:c>
      <x:c r="H187" s="113" t="n">
        <x:v>2700</x:v>
      </x:c>
      <x:c r="I187" s="114" t="n">
        <x:v>0.6</x:v>
      </x:c>
      <x:c r="J187" s="113" t="n">
        <x:f>ROUND(H187*I187/Beallitasok!$B$7,0)*Beallitasok!$B$7</x:f>
        <x:v>1600</x:v>
      </x:c>
      <x:c r="K187" s="19" t="n">
        <x:v>2</x:v>
      </x:c>
      <x:c r="L187" s="19" t="n">
        <x:v>1</x:v>
      </x:c>
      <x:c r="M187" s="113" t="n">
        <x:f>K187*Beallitasok!$B$2+L187*Beallitasok!$B$3</x:f>
        <x:v>95000</x:v>
      </x:c>
      <x:c r="N187" s="115" t="n">
        <x:v>50</x:v>
      </x:c>
      <x:c r="O187" s="113" t="n">
        <x:f>IFERROR(M187/N187,"")</x:f>
        <x:v>1900</x:v>
      </x:c>
      <x:c r="P187" s="116" t="n">
        <x:f>Beallitasok!$B$5</x:f>
        <x:v>1.15</x:v>
      </x:c>
      <x:c r="Q187" s="113" t="n">
        <x:f>IFERROR(ROUND(O187*P187/Beallitasok!$B$7,0)*Beallitasok!$B$7,"")</x:f>
        <x:v>2200</x:v>
      </x:c>
      <x:c r="R187" s="113"/>
      <x:c r="S187" s="113" t="n">
        <x:f>IF(Q187="","",Q187+IF(R187="",0,R187))</x:f>
        <x:v>2200</x:v>
      </x:c>
      <x:c r="T187" s="113" t="n">
        <x:f>M187*Beallitasok!$B$4</x:f>
        <x:v>475000</x:v>
      </x:c>
      <x:c r="U187" s="115" t="n">
        <x:f>N187*Beallitasok!$B$4</x:f>
        <x:v>250</x:v>
      </x:c>
      <x:c r="V187" s="113"/>
      <x:c r="W187" s="113" t="str">
        <x:f>IF(V187="","",V187-J187)</x:f>
      </x:c>
      <x:c r="X187" s="19"/>
      <x:c r="Y187" s="113" t="n">
        <x:f>IF(S187="","",J187-S187)</x:f>
        <x:v>-600</x:v>
      </x:c>
      <x:c r="Z187" s="19" t="str">
        <x:f>IF(AA187="IGEN",IF(J187&lt;S187,"GÉPIGÉNY + KRITIKUS: gépdíj nélkül is alacsony a plafon","GÉPIGÉNY: a saját egységár gépdíj nélkül értendő"),IF(J187&lt;S187,"KRITIKUS: alvállalkozói plafon &lt; saját terhelt egységköltség",IF(J187&lt;S187*Beallitasok!$B$6,"SZŰK TARTALÉK: 10% alatti tartalék","OK")))</x:f>
        <x:v>KRITIKUS: alvállalkozói plafon &lt; saját terhelt egységköltség</x:v>
      </x:c>
      <x:c r="AA187" s="19" t="str">
        <x:v>NEM</x:v>
      </x:c>
      <x:c r="AB187" s="19" t="str">
        <x:v>https://joszaki.hu/arak/badogozas</x:v>
      </x:c>
      <x:c r="AC187" s="19" t="str">
        <x:v>2026 tetőfedési/bádogozási piaci alsó sáv és műszaki bontás</x:v>
      </x:c>
      <x:c r="AD187" s="19" t="str">
        <x:v>Faanyag, fedés, bádoganyag, állvány, daru és biztonsági rendszer külön.</x:v>
      </x:c>
    </x:row>
    <x:row r="188">
      <x:c r="A188" s="19" t="str">
        <x:v>AR-0187</x:v>
      </x:c>
      <x:c r="B188" s="19" t="str">
        <x:v>08 Tető</x:v>
      </x:c>
      <x:c r="C188" s="19" t="str">
        <x:v>Ács, tetőfedő és bádogos munkák</x:v>
      </x:c>
      <x:c r="D188" s="19" t="str">
        <x:v>Mindegyik</x:v>
      </x:c>
      <x:c r="E188" s="19" t="str">
        <x:v>Ablakpárkány bádogozása</x:v>
      </x:c>
      <x:c r="F188" s="19" t="str">
        <x:v>fm</x:v>
      </x:c>
      <x:c r="G188" s="113" t="n">
        <x:v>4500</x:v>
      </x:c>
      <x:c r="H188" s="113" t="n">
        <x:v>6500</x:v>
      </x:c>
      <x:c r="I188" s="114" t="n">
        <x:v>0.6</x:v>
      </x:c>
      <x:c r="J188" s="113" t="n">
        <x:f>ROUND(H188*I188/Beallitasok!$B$7,0)*Beallitasok!$B$7</x:f>
        <x:v>3900</x:v>
      </x:c>
      <x:c r="K188" s="19" t="n">
        <x:v>2</x:v>
      </x:c>
      <x:c r="L188" s="19" t="n">
        <x:v>1</x:v>
      </x:c>
      <x:c r="M188" s="113" t="n">
        <x:f>K188*Beallitasok!$B$2+L188*Beallitasok!$B$3</x:f>
        <x:v>95000</x:v>
      </x:c>
      <x:c r="N188" s="115" t="n">
        <x:v>22</x:v>
      </x:c>
      <x:c r="O188" s="113" t="n">
        <x:f>IFERROR(M188/N188,"")</x:f>
        <x:v>4318.181818181818</x:v>
      </x:c>
      <x:c r="P188" s="116" t="n">
        <x:f>Beallitasok!$B$5</x:f>
        <x:v>1.15</x:v>
      </x:c>
      <x:c r="Q188" s="113" t="n">
        <x:f>IFERROR(ROUND(O188*P188/Beallitasok!$B$7,0)*Beallitasok!$B$7,"")</x:f>
        <x:v>4950</x:v>
      </x:c>
      <x:c r="R188" s="113"/>
      <x:c r="S188" s="113" t="n">
        <x:f>IF(Q188="","",Q188+IF(R188="",0,R188))</x:f>
        <x:v>4950</x:v>
      </x:c>
      <x:c r="T188" s="113" t="n">
        <x:f>M188*Beallitasok!$B$4</x:f>
        <x:v>475000</x:v>
      </x:c>
      <x:c r="U188" s="115" t="n">
        <x:f>N188*Beallitasok!$B$4</x:f>
        <x:v>110</x:v>
      </x:c>
      <x:c r="V188" s="113"/>
      <x:c r="W188" s="113" t="str">
        <x:f>IF(V188="","",V188-J188)</x:f>
      </x:c>
      <x:c r="X188" s="19"/>
      <x:c r="Y188" s="113" t="n">
        <x:f>IF(S188="","",J188-S188)</x:f>
        <x:v>-1050</x:v>
      </x:c>
      <x:c r="Z188" s="19" t="str">
        <x:f>IF(AA188="IGEN",IF(J188&lt;S188,"GÉPIGÉNY + KRITIKUS: gépdíj nélkül is alacsony a plafon","GÉPIGÉNY: a saját egységár gépdíj nélkül értendő"),IF(J188&lt;S188,"KRITIKUS: alvállalkozói plafon &lt; saját terhelt egységköltség",IF(J188&lt;S188*Beallitasok!$B$6,"SZŰK TARTALÉK: 10% alatti tartalék","OK")))</x:f>
        <x:v>KRITIKUS: alvállalkozói plafon &lt; saját terhelt egységköltség</x:v>
      </x:c>
      <x:c r="AA188" s="19" t="str">
        <x:v>NEM</x:v>
      </x:c>
      <x:c r="AB188" s="19" t="str">
        <x:v>https://joszaki.hu/arak/badogozas</x:v>
      </x:c>
      <x:c r="AC188" s="19" t="str">
        <x:v>2026 tetőfedési/bádogozási piaci alsó sáv és műszaki bontás</x:v>
      </x:c>
      <x:c r="AD188" s="19" t="str">
        <x:v>Faanyag, fedés, bádoganyag, állvány, daru és biztonsági rendszer külön.</x:v>
      </x:c>
    </x:row>
    <x:row r="189">
      <x:c r="A189" s="19" t="str">
        <x:v>AR-0188</x:v>
      </x:c>
      <x:c r="B189" s="19" t="str">
        <x:v>09 Szigetelés</x:v>
      </x:c>
      <x:c r="C189" s="19" t="str">
        <x:v>Víz-, hő- és hangszigetelés</x:v>
      </x:c>
      <x:c r="D189" s="19" t="str">
        <x:v>Mindegyik</x:v>
      </x:c>
      <x:c r="E189" s="19" t="str">
        <x:v>Talajnedvesség elleni bitumenes lemezszigetelés 1 rétegben</x:v>
      </x:c>
      <x:c r="F189" s="19" t="str">
        <x:v>m²</x:v>
      </x:c>
      <x:c r="G189" s="113" t="n">
        <x:v>1800</x:v>
      </x:c>
      <x:c r="H189" s="113" t="n">
        <x:v>2800</x:v>
      </x:c>
      <x:c r="I189" s="114" t="n">
        <x:v>0.55</x:v>
      </x:c>
      <x:c r="J189" s="113" t="n">
        <x:f>ROUND(H189*I189/Beallitasok!$B$7,0)*Beallitasok!$B$7</x:f>
        <x:v>1550</x:v>
      </x:c>
      <x:c r="K189" s="19" t="n">
        <x:v>2</x:v>
      </x:c>
      <x:c r="L189" s="19" t="n">
        <x:v>1</x:v>
      </x:c>
      <x:c r="M189" s="113" t="n">
        <x:f>K189*Beallitasok!$B$2+L189*Beallitasok!$B$3</x:f>
        <x:v>95000</x:v>
      </x:c>
      <x:c r="N189" s="115" t="n">
        <x:v>85</x:v>
      </x:c>
      <x:c r="O189" s="113" t="n">
        <x:f>IFERROR(M189/N189,"")</x:f>
        <x:v>1117.6470588235295</x:v>
      </x:c>
      <x:c r="P189" s="116" t="n">
        <x:f>Beallitasok!$B$5</x:f>
        <x:v>1.15</x:v>
      </x:c>
      <x:c r="Q189" s="113" t="n">
        <x:f>IFERROR(ROUND(O189*P189/Beallitasok!$B$7,0)*Beallitasok!$B$7,"")</x:f>
        <x:v>1300</x:v>
      </x:c>
      <x:c r="R189" s="113"/>
      <x:c r="S189" s="113" t="n">
        <x:f>IF(Q189="","",Q189+IF(R189="",0,R189))</x:f>
        <x:v>1300</x:v>
      </x:c>
      <x:c r="T189" s="113" t="n">
        <x:f>M189*Beallitasok!$B$4</x:f>
        <x:v>475000</x:v>
      </x:c>
      <x:c r="U189" s="115" t="n">
        <x:f>N189*Beallitasok!$B$4</x:f>
        <x:v>425</x:v>
      </x:c>
      <x:c r="V189" s="113"/>
      <x:c r="W189" s="113" t="str">
        <x:f>IF(V189="","",V189-J189)</x:f>
      </x:c>
      <x:c r="X189" s="19"/>
      <x:c r="Y189" s="113" t="n">
        <x:f>IF(S189="","",J189-S189)</x:f>
        <x:v>250</x:v>
      </x:c>
      <x:c r="Z189" s="19" t="str">
        <x:f>IF(AA189="IGEN",IF(J189&lt;S189,"GÉPIGÉNY + KRITIKUS: gépdíj nélkül is alacsony a plafon","GÉPIGÉNY: a saját egységár gépdíj nélkül értendő"),IF(J189&lt;S189,"KRITIKUS: alvállalkozói plafon &lt; saját terhelt egységköltség",IF(J189&lt;S189*Beallitasok!$B$6,"SZŰK TARTALÉK: 10% alatti tartalék","OK")))</x:f>
        <x:v>OK</x:v>
      </x:c>
      <x:c r="AA189" s="19" t="str">
        <x:v>NEM</x:v>
      </x:c>
      <x:c r="AB189" s="19" t="str">
        <x:v>https://joszaki.hu/arak/vizszigeteles</x:v>
      </x:c>
      <x:c r="AC189" s="19" t="str">
        <x:v>2026 vízszigetelési/hőszigetelési piaci sáv és mérnöki levezetés</x:v>
      </x:c>
      <x:c r="AD189" s="19" t="str"/>
    </x:row>
    <x:row r="190">
      <x:c r="A190" s="19" t="str">
        <x:v>AR-0189</x:v>
      </x:c>
      <x:c r="B190" s="19" t="str">
        <x:v>09 Szigetelés</x:v>
      </x:c>
      <x:c r="C190" s="19" t="str">
        <x:v>Víz-, hő- és hangszigetelés</x:v>
      </x:c>
      <x:c r="D190" s="19" t="str">
        <x:v>Mindegyik</x:v>
      </x:c>
      <x:c r="E190" s="19" t="str">
        <x:v>Talajnedvesség elleni bitumenes lemezszigetelés 2 rétegben</x:v>
      </x:c>
      <x:c r="F190" s="19" t="str">
        <x:v>m²</x:v>
      </x:c>
      <x:c r="G190" s="113" t="n">
        <x:v>3200</x:v>
      </x:c>
      <x:c r="H190" s="113" t="n">
        <x:v>4800</x:v>
      </x:c>
      <x:c r="I190" s="114" t="n">
        <x:v>0.55</x:v>
      </x:c>
      <x:c r="J190" s="113" t="n">
        <x:f>ROUND(H190*I190/Beallitasok!$B$7,0)*Beallitasok!$B$7</x:f>
        <x:v>2650</x:v>
      </x:c>
      <x:c r="K190" s="19" t="n">
        <x:v>2</x:v>
      </x:c>
      <x:c r="L190" s="19" t="n">
        <x:v>1</x:v>
      </x:c>
      <x:c r="M190" s="113" t="n">
        <x:f>K190*Beallitasok!$B$2+L190*Beallitasok!$B$3</x:f>
        <x:v>95000</x:v>
      </x:c>
      <x:c r="N190" s="115" t="n">
        <x:v>52</x:v>
      </x:c>
      <x:c r="O190" s="113" t="n">
        <x:f>IFERROR(M190/N190,"")</x:f>
        <x:v>1826.923076923077</x:v>
      </x:c>
      <x:c r="P190" s="116" t="n">
        <x:f>Beallitasok!$B$5</x:f>
        <x:v>1.15</x:v>
      </x:c>
      <x:c r="Q190" s="113" t="n">
        <x:f>IFERROR(ROUND(O190*P190/Beallitasok!$B$7,0)*Beallitasok!$B$7,"")</x:f>
        <x:v>2100</x:v>
      </x:c>
      <x:c r="R190" s="113"/>
      <x:c r="S190" s="113" t="n">
        <x:f>IF(Q190="","",Q190+IF(R190="",0,R190))</x:f>
        <x:v>2100</x:v>
      </x:c>
      <x:c r="T190" s="113" t="n">
        <x:f>M190*Beallitasok!$B$4</x:f>
        <x:v>475000</x:v>
      </x:c>
      <x:c r="U190" s="115" t="n">
        <x:f>N190*Beallitasok!$B$4</x:f>
        <x:v>260</x:v>
      </x:c>
      <x:c r="V190" s="113"/>
      <x:c r="W190" s="113" t="str">
        <x:f>IF(V190="","",V190-J190)</x:f>
      </x:c>
      <x:c r="X190" s="19"/>
      <x:c r="Y190" s="113" t="n">
        <x:f>IF(S190="","",J190-S190)</x:f>
        <x:v>550</x:v>
      </x:c>
      <x:c r="Z190" s="19" t="str">
        <x:f>IF(AA190="IGEN",IF(J190&lt;S190,"GÉPIGÉNY + KRITIKUS: gépdíj nélkül is alacsony a plafon","GÉPIGÉNY: a saját egységár gépdíj nélkül értendő"),IF(J190&lt;S190,"KRITIKUS: alvállalkozói plafon &lt; saját terhelt egységköltség",IF(J190&lt;S190*Beallitasok!$B$6,"SZŰK TARTALÉK: 10% alatti tartalék","OK")))</x:f>
        <x:v>OK</x:v>
      </x:c>
      <x:c r="AA190" s="19" t="str">
        <x:v>NEM</x:v>
      </x:c>
      <x:c r="AB190" s="19" t="str">
        <x:v>https://joszaki.hu/arak/vizszigeteles</x:v>
      </x:c>
      <x:c r="AC190" s="19" t="str">
        <x:v>2026 vízszigetelési/hőszigetelési piaci sáv és mérnöki levezetés</x:v>
      </x:c>
      <x:c r="AD190" s="19" t="str"/>
    </x:row>
    <x:row r="191">
      <x:c r="A191" s="19" t="str">
        <x:v>AR-0190</x:v>
      </x:c>
      <x:c r="B191" s="19" t="str">
        <x:v>09 Szigetelés</x:v>
      </x:c>
      <x:c r="C191" s="19" t="str">
        <x:v>Víz-, hő- és hangszigetelés</x:v>
      </x:c>
      <x:c r="D191" s="19" t="str">
        <x:v>Mindegyik</x:v>
      </x:c>
      <x:c r="E191" s="19" t="str">
        <x:v>Lábazati függőleges bitumenes kent szigetelés</x:v>
      </x:c>
      <x:c r="F191" s="19" t="str">
        <x:v>m²</x:v>
      </x:c>
      <x:c r="G191" s="113" t="n">
        <x:v>2200</x:v>
      </x:c>
      <x:c r="H191" s="113" t="n">
        <x:v>3400</x:v>
      </x:c>
      <x:c r="I191" s="114" t="n">
        <x:v>0.55</x:v>
      </x:c>
      <x:c r="J191" s="113" t="n">
        <x:f>ROUND(H191*I191/Beallitasok!$B$7,0)*Beallitasok!$B$7</x:f>
        <x:v>1850</x:v>
      </x:c>
      <x:c r="K191" s="19" t="n">
        <x:v>1</x:v>
      </x:c>
      <x:c r="L191" s="19" t="n">
        <x:v>1</x:v>
      </x:c>
      <x:c r="M191" s="113" t="n">
        <x:f>K191*Beallitasok!$B$2+L191*Beallitasok!$B$3</x:f>
        <x:v>60000</x:v>
      </x:c>
      <x:c r="N191" s="115" t="n">
        <x:v>60</x:v>
      </x:c>
      <x:c r="O191" s="113" t="n">
        <x:f>IFERROR(M191/N191,"")</x:f>
        <x:v>1000</x:v>
      </x:c>
      <x:c r="P191" s="116" t="n">
        <x:f>Beallitasok!$B$5</x:f>
        <x:v>1.15</x:v>
      </x:c>
      <x:c r="Q191" s="113" t="n">
        <x:f>IFERROR(ROUND(O191*P191/Beallitasok!$B$7,0)*Beallitasok!$B$7,"")</x:f>
        <x:v>1150</x:v>
      </x:c>
      <x:c r="R191" s="113"/>
      <x:c r="S191" s="113" t="n">
        <x:f>IF(Q191="","",Q191+IF(R191="",0,R191))</x:f>
        <x:v>1150</x:v>
      </x:c>
      <x:c r="T191" s="113" t="n">
        <x:f>M191*Beallitasok!$B$4</x:f>
        <x:v>300000</x:v>
      </x:c>
      <x:c r="U191" s="115" t="n">
        <x:f>N191*Beallitasok!$B$4</x:f>
        <x:v>300</x:v>
      </x:c>
      <x:c r="V191" s="113"/>
      <x:c r="W191" s="113" t="str">
        <x:f>IF(V191="","",V191-J191)</x:f>
      </x:c>
      <x:c r="X191" s="19"/>
      <x:c r="Y191" s="113" t="n">
        <x:f>IF(S191="","",J191-S191)</x:f>
        <x:v>700</x:v>
      </x:c>
      <x:c r="Z191" s="19" t="str">
        <x:f>IF(AA191="IGEN",IF(J191&lt;S191,"GÉPIGÉNY + KRITIKUS: gépdíj nélkül is alacsony a plafon","GÉPIGÉNY: a saját egységár gépdíj nélkül értendő"),IF(J191&lt;S191,"KRITIKUS: alvállalkozói plafon &lt; saját terhelt egységköltség",IF(J191&lt;S191*Beallitasok!$B$6,"SZŰK TARTALÉK: 10% alatti tartalék","OK")))</x:f>
        <x:v>OK</x:v>
      </x:c>
      <x:c r="AA191" s="19" t="str">
        <x:v>NEM</x:v>
      </x:c>
      <x:c r="AB191" s="19" t="str">
        <x:v>https://joszaki.hu/arak/vizszigeteles</x:v>
      </x:c>
      <x:c r="AC191" s="19" t="str">
        <x:v>2026 vízszigetelési/hőszigetelési piaci sáv és mérnöki levezetés</x:v>
      </x:c>
      <x:c r="AD191" s="19" t="str"/>
    </x:row>
    <x:row r="192">
      <x:c r="A192" s="19" t="str">
        <x:v>AR-0191</x:v>
      </x:c>
      <x:c r="B192" s="19" t="str">
        <x:v>09 Szigetelés</x:v>
      </x:c>
      <x:c r="C192" s="19" t="str">
        <x:v>Víz-, hő- és hangszigetelés</x:v>
      </x:c>
      <x:c r="D192" s="19" t="str">
        <x:v>Mindegyik</x:v>
      </x:c>
      <x:c r="E192" s="19" t="str">
        <x:v>Fürdőszobai kenhető vízszigetelés 2 rétegben</x:v>
      </x:c>
      <x:c r="F192" s="19" t="str">
        <x:v>m²</x:v>
      </x:c>
      <x:c r="G192" s="113" t="n">
        <x:v>1800</x:v>
      </x:c>
      <x:c r="H192" s="113" t="n">
        <x:v>2800</x:v>
      </x:c>
      <x:c r="I192" s="114" t="n">
        <x:v>0.55</x:v>
      </x:c>
      <x:c r="J192" s="113" t="n">
        <x:f>ROUND(H192*I192/Beallitasok!$B$7,0)*Beallitasok!$B$7</x:f>
        <x:v>1550</x:v>
      </x:c>
      <x:c r="K192" s="19" t="n">
        <x:v>1</x:v>
      </x:c>
      <x:c r="L192" s="19" t="n">
        <x:v>1</x:v>
      </x:c>
      <x:c r="M192" s="113" t="n">
        <x:f>K192*Beallitasok!$B$2+L192*Beallitasok!$B$3</x:f>
        <x:v>60000</x:v>
      </x:c>
      <x:c r="N192" s="115" t="n">
        <x:v>55</x:v>
      </x:c>
      <x:c r="O192" s="113" t="n">
        <x:f>IFERROR(M192/N192,"")</x:f>
        <x:v>1090.909090909091</x:v>
      </x:c>
      <x:c r="P192" s="116" t="n">
        <x:f>Beallitasok!$B$5</x:f>
        <x:v>1.15</x:v>
      </x:c>
      <x:c r="Q192" s="113" t="n">
        <x:f>IFERROR(ROUND(O192*P192/Beallitasok!$B$7,0)*Beallitasok!$B$7,"")</x:f>
        <x:v>1250</x:v>
      </x:c>
      <x:c r="R192" s="113"/>
      <x:c r="S192" s="113" t="n">
        <x:f>IF(Q192="","",Q192+IF(R192="",0,R192))</x:f>
        <x:v>1250</x:v>
      </x:c>
      <x:c r="T192" s="113" t="n">
        <x:f>M192*Beallitasok!$B$4</x:f>
        <x:v>300000</x:v>
      </x:c>
      <x:c r="U192" s="115" t="n">
        <x:f>N192*Beallitasok!$B$4</x:f>
        <x:v>275</x:v>
      </x:c>
      <x:c r="V192" s="113"/>
      <x:c r="W192" s="113" t="str">
        <x:f>IF(V192="","",V192-J192)</x:f>
      </x:c>
      <x:c r="X192" s="19"/>
      <x:c r="Y192" s="113" t="n">
        <x:f>IF(S192="","",J192-S192)</x:f>
        <x:v>300</x:v>
      </x:c>
      <x:c r="Z192" s="19" t="str">
        <x:f>IF(AA192="IGEN",IF(J192&lt;S192,"GÉPIGÉNY + KRITIKUS: gépdíj nélkül is alacsony a plafon","GÉPIGÉNY: a saját egységár gépdíj nélkül értendő"),IF(J192&lt;S192,"KRITIKUS: alvállalkozói plafon &lt; saját terhelt egységköltség",IF(J192&lt;S192*Beallitasok!$B$6,"SZŰK TARTALÉK: 10% alatti tartalék","OK")))</x:f>
        <x:v>OK</x:v>
      </x:c>
      <x:c r="AA192" s="19" t="str">
        <x:v>NEM</x:v>
      </x:c>
      <x:c r="AB192" s="19" t="str">
        <x:v>https://joszaki.hu/arak/vizszigeteles</x:v>
      </x:c>
      <x:c r="AC192" s="19" t="str">
        <x:v>2026 vízszigetelési/hőszigetelési piaci sáv és mérnöki levezetés</x:v>
      </x:c>
      <x:c r="AD192" s="19" t="str"/>
    </x:row>
    <x:row r="193">
      <x:c r="A193" s="19" t="str">
        <x:v>AR-0192</x:v>
      </x:c>
      <x:c r="B193" s="19" t="str">
        <x:v>09 Szigetelés</x:v>
      </x:c>
      <x:c r="C193" s="19" t="str">
        <x:v>Víz-, hő- és hangszigetelés</x:v>
      </x:c>
      <x:c r="D193" s="19" t="str">
        <x:v>Mindegyik</x:v>
      </x:c>
      <x:c r="E193" s="19" t="str">
        <x:v>Hajlaterősítő szalag beépítése kent szigeteléshez</x:v>
      </x:c>
      <x:c r="F193" s="19" t="str">
        <x:v>fm</x:v>
      </x:c>
      <x:c r="G193" s="113" t="n">
        <x:v>900</x:v>
      </x:c>
      <x:c r="H193" s="113" t="n">
        <x:v>1400</x:v>
      </x:c>
      <x:c r="I193" s="114" t="n">
        <x:v>0.55</x:v>
      </x:c>
      <x:c r="J193" s="113" t="n">
        <x:f>ROUND(H193*I193/Beallitasok!$B$7,0)*Beallitasok!$B$7</x:f>
        <x:v>750</x:v>
      </x:c>
      <x:c r="K193" s="19" t="n">
        <x:v>1</x:v>
      </x:c>
      <x:c r="L193" s="19" t="n">
        <x:v>1</x:v>
      </x:c>
      <x:c r="M193" s="113" t="n">
        <x:f>K193*Beallitasok!$B$2+L193*Beallitasok!$B$3</x:f>
        <x:v>60000</x:v>
      </x:c>
      <x:c r="N193" s="115" t="n">
        <x:v>90</x:v>
      </x:c>
      <x:c r="O193" s="113" t="n">
        <x:f>IFERROR(M193/N193,"")</x:f>
        <x:v>666.6666666666666</x:v>
      </x:c>
      <x:c r="P193" s="116" t="n">
        <x:f>Beallitasok!$B$5</x:f>
        <x:v>1.15</x:v>
      </x:c>
      <x:c r="Q193" s="113" t="n">
        <x:f>IFERROR(ROUND(O193*P193/Beallitasok!$B$7,0)*Beallitasok!$B$7,"")</x:f>
        <x:v>750</x:v>
      </x:c>
      <x:c r="R193" s="113"/>
      <x:c r="S193" s="113" t="n">
        <x:f>IF(Q193="","",Q193+IF(R193="",0,R193))</x:f>
        <x:v>750</x:v>
      </x:c>
      <x:c r="T193" s="113" t="n">
        <x:f>M193*Beallitasok!$B$4</x:f>
        <x:v>300000</x:v>
      </x:c>
      <x:c r="U193" s="115" t="n">
        <x:f>N193*Beallitasok!$B$4</x:f>
        <x:v>450</x:v>
      </x:c>
      <x:c r="V193" s="113"/>
      <x:c r="W193" s="113" t="str">
        <x:f>IF(V193="","",V193-J193)</x:f>
      </x:c>
      <x:c r="X193" s="19"/>
      <x:c r="Y193" s="113" t="n">
        <x:f>IF(S193="","",J193-S193)</x:f>
        <x:v>0</x:v>
      </x:c>
      <x:c r="Z193" s="19" t="str">
        <x:f>IF(AA193="IGEN",IF(J193&lt;S193,"GÉPIGÉNY + KRITIKUS: gépdíj nélkül is alacsony a plafon","GÉPIGÉNY: a saját egységár gépdíj nélkül értendő"),IF(J193&lt;S193,"KRITIKUS: alvállalkozói plafon &lt; saját terhelt egységköltség",IF(J193&lt;S193*Beallitasok!$B$6,"SZŰK TARTALÉK: 10% alatti tartalék","OK")))</x:f>
        <x:v>SZŰK TARTALÉK: 10% alatti tartalék</x:v>
      </x:c>
      <x:c r="AA193" s="19" t="str">
        <x:v>NEM</x:v>
      </x:c>
      <x:c r="AB193" s="19" t="str">
        <x:v>https://joszaki.hu/arak/vizszigeteles</x:v>
      </x:c>
      <x:c r="AC193" s="19" t="str">
        <x:v>2026 vízszigetelési/hőszigetelési piaci sáv és mérnöki levezetés</x:v>
      </x:c>
      <x:c r="AD193" s="19" t="str"/>
    </x:row>
    <x:row r="194">
      <x:c r="A194" s="19" t="str">
        <x:v>AR-0193</x:v>
      </x:c>
      <x:c r="B194" s="19" t="str">
        <x:v>09 Szigetelés</x:v>
      </x:c>
      <x:c r="C194" s="19" t="str">
        <x:v>Víz-, hő- és hangszigetelés</x:v>
      </x:c>
      <x:c r="D194" s="19" t="str">
        <x:v>Mindegyik</x:v>
      </x:c>
      <x:c r="E194" s="19" t="str">
        <x:v>Lapostető párazáró réteg készítése</x:v>
      </x:c>
      <x:c r="F194" s="19" t="str">
        <x:v>m²</x:v>
      </x:c>
      <x:c r="G194" s="113" t="n">
        <x:v>1600</x:v>
      </x:c>
      <x:c r="H194" s="113" t="n">
        <x:v>2500</x:v>
      </x:c>
      <x:c r="I194" s="114" t="n">
        <x:v>0.55</x:v>
      </x:c>
      <x:c r="J194" s="113" t="n">
        <x:f>ROUND(H194*I194/Beallitasok!$B$7,0)*Beallitasok!$B$7</x:f>
        <x:v>1400</x:v>
      </x:c>
      <x:c r="K194" s="19" t="n">
        <x:v>2</x:v>
      </x:c>
      <x:c r="L194" s="19" t="n">
        <x:v>1</x:v>
      </x:c>
      <x:c r="M194" s="113" t="n">
        <x:f>K194*Beallitasok!$B$2+L194*Beallitasok!$B$3</x:f>
        <x:v>95000</x:v>
      </x:c>
      <x:c r="N194" s="115" t="n">
        <x:v>85</x:v>
      </x:c>
      <x:c r="O194" s="113" t="n">
        <x:f>IFERROR(M194/N194,"")</x:f>
        <x:v>1117.6470588235295</x:v>
      </x:c>
      <x:c r="P194" s="116" t="n">
        <x:f>Beallitasok!$B$5</x:f>
        <x:v>1.15</x:v>
      </x:c>
      <x:c r="Q194" s="113" t="n">
        <x:f>IFERROR(ROUND(O194*P194/Beallitasok!$B$7,0)*Beallitasok!$B$7,"")</x:f>
        <x:v>1300</x:v>
      </x:c>
      <x:c r="R194" s="113"/>
      <x:c r="S194" s="113" t="n">
        <x:f>IF(Q194="","",Q194+IF(R194="",0,R194))</x:f>
        <x:v>1300</x:v>
      </x:c>
      <x:c r="T194" s="113" t="n">
        <x:f>M194*Beallitasok!$B$4</x:f>
        <x:v>475000</x:v>
      </x:c>
      <x:c r="U194" s="115" t="n">
        <x:f>N194*Beallitasok!$B$4</x:f>
        <x:v>425</x:v>
      </x:c>
      <x:c r="V194" s="113"/>
      <x:c r="W194" s="113" t="str">
        <x:f>IF(V194="","",V194-J194)</x:f>
      </x:c>
      <x:c r="X194" s="19"/>
      <x:c r="Y194" s="113" t="n">
        <x:f>IF(S194="","",J194-S194)</x:f>
        <x:v>100</x:v>
      </x:c>
      <x:c r="Z194" s="19" t="str">
        <x:f>IF(AA194="IGEN",IF(J194&lt;S194,"GÉPIGÉNY + KRITIKUS: gépdíj nélkül is alacsony a plafon","GÉPIGÉNY: a saját egységár gépdíj nélkül értendő"),IF(J194&lt;S194,"KRITIKUS: alvállalkozói plafon &lt; saját terhelt egységköltség",IF(J194&lt;S194*Beallitasok!$B$6,"SZŰK TARTALÉK: 10% alatti tartalék","OK")))</x:f>
        <x:v>SZŰK TARTALÉK: 10% alatti tartalék</x:v>
      </x:c>
      <x:c r="AA194" s="19" t="str">
        <x:v>NEM</x:v>
      </x:c>
      <x:c r="AB194" s="19" t="str">
        <x:v>https://joszaki.hu/arak/vizszigeteles</x:v>
      </x:c>
      <x:c r="AC194" s="19" t="str">
        <x:v>2026 vízszigetelési/hőszigetelési piaci sáv és mérnöki levezetés</x:v>
      </x:c>
      <x:c r="AD194" s="19" t="str"/>
    </x:row>
    <x:row r="195">
      <x:c r="A195" s="19" t="str">
        <x:v>AR-0194</x:v>
      </x:c>
      <x:c r="B195" s="19" t="str">
        <x:v>09 Szigetelés</x:v>
      </x:c>
      <x:c r="C195" s="19" t="str">
        <x:v>Víz-, hő- és hangszigetelés</x:v>
      </x:c>
      <x:c r="D195" s="19" t="str">
        <x:v>Mindegyik</x:v>
      </x:c>
      <x:c r="E195" s="19" t="str">
        <x:v>Lapostető bitumenes csapadékvíz-szigetelés 2 rétegben</x:v>
      </x:c>
      <x:c r="F195" s="19" t="str">
        <x:v>m²</x:v>
      </x:c>
      <x:c r="G195" s="113" t="n">
        <x:v>4800</x:v>
      </x:c>
      <x:c r="H195" s="113" t="n">
        <x:v>7200</x:v>
      </x:c>
      <x:c r="I195" s="114" t="n">
        <x:v>0.6</x:v>
      </x:c>
      <x:c r="J195" s="113" t="n">
        <x:f>ROUND(H195*I195/Beallitasok!$B$7,0)*Beallitasok!$B$7</x:f>
        <x:v>4300</x:v>
      </x:c>
      <x:c r="K195" s="19" t="n">
        <x:v>2</x:v>
      </x:c>
      <x:c r="L195" s="19" t="n">
        <x:v>1</x:v>
      </x:c>
      <x:c r="M195" s="113" t="n">
        <x:f>K195*Beallitasok!$B$2+L195*Beallitasok!$B$3</x:f>
        <x:v>95000</x:v>
      </x:c>
      <x:c r="N195" s="115" t="n">
        <x:v>42</x:v>
      </x:c>
      <x:c r="O195" s="113" t="n">
        <x:f>IFERROR(M195/N195,"")</x:f>
        <x:v>2261.904761904762</x:v>
      </x:c>
      <x:c r="P195" s="116" t="n">
        <x:f>Beallitasok!$B$5</x:f>
        <x:v>1.15</x:v>
      </x:c>
      <x:c r="Q195" s="113" t="n">
        <x:f>IFERROR(ROUND(O195*P195/Beallitasok!$B$7,0)*Beallitasok!$B$7,"")</x:f>
        <x:v>2600</x:v>
      </x:c>
      <x:c r="R195" s="113"/>
      <x:c r="S195" s="113" t="n">
        <x:f>IF(Q195="","",Q195+IF(R195="",0,R195))</x:f>
        <x:v>2600</x:v>
      </x:c>
      <x:c r="T195" s="113" t="n">
        <x:f>M195*Beallitasok!$B$4</x:f>
        <x:v>475000</x:v>
      </x:c>
      <x:c r="U195" s="115" t="n">
        <x:f>N195*Beallitasok!$B$4</x:f>
        <x:v>210</x:v>
      </x:c>
      <x:c r="V195" s="113"/>
      <x:c r="W195" s="113" t="str">
        <x:f>IF(V195="","",V195-J195)</x:f>
      </x:c>
      <x:c r="X195" s="19"/>
      <x:c r="Y195" s="113" t="n">
        <x:f>IF(S195="","",J195-S195)</x:f>
        <x:v>1700</x:v>
      </x:c>
      <x:c r="Z195" s="19" t="str">
        <x:f>IF(AA195="IGEN",IF(J195&lt;S195,"GÉPIGÉNY + KRITIKUS: gépdíj nélkül is alacsony a plafon","GÉPIGÉNY: a saját egységár gépdíj nélkül értendő"),IF(J195&lt;S195,"KRITIKUS: alvállalkozói plafon &lt; saját terhelt egységköltség",IF(J195&lt;S195*Beallitasok!$B$6,"SZŰK TARTALÉK: 10% alatti tartalék","OK")))</x:f>
        <x:v>OK</x:v>
      </x:c>
      <x:c r="AA195" s="19" t="str">
        <x:v>NEM</x:v>
      </x:c>
      <x:c r="AB195" s="19" t="str">
        <x:v>https://joszaki.hu/arak/vizszigeteles</x:v>
      </x:c>
      <x:c r="AC195" s="19" t="str">
        <x:v>2026 vízszigetelési/hőszigetelési piaci sáv és mérnöki levezetés</x:v>
      </x:c>
      <x:c r="AD195" s="19" t="str"/>
    </x:row>
    <x:row r="196">
      <x:c r="A196" s="19" t="str">
        <x:v>AR-0195</x:v>
      </x:c>
      <x:c r="B196" s="19" t="str">
        <x:v>09 Szigetelés</x:v>
      </x:c>
      <x:c r="C196" s="19" t="str">
        <x:v>Víz-, hő- és hangszigetelés</x:v>
      </x:c>
      <x:c r="D196" s="19" t="str">
        <x:v>Mindegyik</x:v>
      </x:c>
      <x:c r="E196" s="19" t="str">
        <x:v>PVC/TPO lapostető szigetelés mechanikai rögzítéssel</x:v>
      </x:c>
      <x:c r="F196" s="19" t="str">
        <x:v>m²</x:v>
      </x:c>
      <x:c r="G196" s="113" t="n">
        <x:v>5500</x:v>
      </x:c>
      <x:c r="H196" s="113" t="n">
        <x:v>8200</x:v>
      </x:c>
      <x:c r="I196" s="114" t="n">
        <x:v>0.6</x:v>
      </x:c>
      <x:c r="J196" s="113" t="n">
        <x:f>ROUND(H196*I196/Beallitasok!$B$7,0)*Beallitasok!$B$7</x:f>
        <x:v>4900</x:v>
      </x:c>
      <x:c r="K196" s="19" t="n">
        <x:v>2</x:v>
      </x:c>
      <x:c r="L196" s="19" t="n">
        <x:v>1</x:v>
      </x:c>
      <x:c r="M196" s="113" t="n">
        <x:f>K196*Beallitasok!$B$2+L196*Beallitasok!$B$3</x:f>
        <x:v>95000</x:v>
      </x:c>
      <x:c r="N196" s="115" t="n">
        <x:v>38</x:v>
      </x:c>
      <x:c r="O196" s="113" t="n">
        <x:f>IFERROR(M196/N196,"")</x:f>
        <x:v>2500</x:v>
      </x:c>
      <x:c r="P196" s="116" t="n">
        <x:f>Beallitasok!$B$5</x:f>
        <x:v>1.15</x:v>
      </x:c>
      <x:c r="Q196" s="113" t="n">
        <x:f>IFERROR(ROUND(O196*P196/Beallitasok!$B$7,0)*Beallitasok!$B$7,"")</x:f>
        <x:v>2900</x:v>
      </x:c>
      <x:c r="R196" s="113"/>
      <x:c r="S196" s="113" t="n">
        <x:f>IF(Q196="","",Q196+IF(R196="",0,R196))</x:f>
        <x:v>2900</x:v>
      </x:c>
      <x:c r="T196" s="113" t="n">
        <x:f>M196*Beallitasok!$B$4</x:f>
        <x:v>475000</x:v>
      </x:c>
      <x:c r="U196" s="115" t="n">
        <x:f>N196*Beallitasok!$B$4</x:f>
        <x:v>190</x:v>
      </x:c>
      <x:c r="V196" s="113"/>
      <x:c r="W196" s="113" t="str">
        <x:f>IF(V196="","",V196-J196)</x:f>
      </x:c>
      <x:c r="X196" s="19"/>
      <x:c r="Y196" s="113" t="n">
        <x:f>IF(S196="","",J196-S196)</x:f>
        <x:v>2000</x:v>
      </x:c>
      <x:c r="Z196" s="19" t="str">
        <x:f>IF(AA196="IGEN",IF(J196&lt;S196,"GÉPIGÉNY + KRITIKUS: gépdíj nélkül is alacsony a plafon","GÉPIGÉNY: a saját egységár gépdíj nélkül értendő"),IF(J196&lt;S196,"KRITIKUS: alvállalkozói plafon &lt; saját terhelt egységköltség",IF(J196&lt;S196*Beallitasok!$B$6,"SZŰK TARTALÉK: 10% alatti tartalék","OK")))</x:f>
        <x:v>OK</x:v>
      </x:c>
      <x:c r="AA196" s="19" t="str">
        <x:v>NEM</x:v>
      </x:c>
      <x:c r="AB196" s="19" t="str">
        <x:v>https://joszaki.hu/arak/vizszigeteles</x:v>
      </x:c>
      <x:c r="AC196" s="19" t="str">
        <x:v>2026 vízszigetelési/hőszigetelési piaci sáv és mérnöki levezetés</x:v>
      </x:c>
      <x:c r="AD196" s="19" t="str"/>
    </x:row>
    <x:row r="197">
      <x:c r="A197" s="19" t="str">
        <x:v>AR-0196</x:v>
      </x:c>
      <x:c r="B197" s="19" t="str">
        <x:v>09 Szigetelés</x:v>
      </x:c>
      <x:c r="C197" s="19" t="str">
        <x:v>Víz-, hő- és hangszigetelés</x:v>
      </x:c>
      <x:c r="D197" s="19" t="str">
        <x:v>Mindegyik</x:v>
      </x:c>
      <x:c r="E197" s="19" t="str">
        <x:v>XPS peremszigetelés alap mellett</x:v>
      </x:c>
      <x:c r="F197" s="19" t="str">
        <x:v>m²</x:v>
      </x:c>
      <x:c r="G197" s="113" t="n">
        <x:v>1600</x:v>
      </x:c>
      <x:c r="H197" s="113" t="n">
        <x:v>2500</x:v>
      </x:c>
      <x:c r="I197" s="114" t="n">
        <x:v>0.55</x:v>
      </x:c>
      <x:c r="J197" s="113" t="n">
        <x:f>ROUND(H197*I197/Beallitasok!$B$7,0)*Beallitasok!$B$7</x:f>
        <x:v>1400</x:v>
      </x:c>
      <x:c r="K197" s="19" t="n">
        <x:v>1</x:v>
      </x:c>
      <x:c r="L197" s="19" t="n">
        <x:v>1</x:v>
      </x:c>
      <x:c r="M197" s="113" t="n">
        <x:f>K197*Beallitasok!$B$2+L197*Beallitasok!$B$3</x:f>
        <x:v>60000</x:v>
      </x:c>
      <x:c r="N197" s="115" t="n">
        <x:v>80</x:v>
      </x:c>
      <x:c r="O197" s="113" t="n">
        <x:f>IFERROR(M197/N197,"")</x:f>
        <x:v>750</x:v>
      </x:c>
      <x:c r="P197" s="116" t="n">
        <x:f>Beallitasok!$B$5</x:f>
        <x:v>1.15</x:v>
      </x:c>
      <x:c r="Q197" s="113" t="n">
        <x:f>IFERROR(ROUND(O197*P197/Beallitasok!$B$7,0)*Beallitasok!$B$7,"")</x:f>
        <x:v>850</x:v>
      </x:c>
      <x:c r="R197" s="113"/>
      <x:c r="S197" s="113" t="n">
        <x:f>IF(Q197="","",Q197+IF(R197="",0,R197))</x:f>
        <x:v>850</x:v>
      </x:c>
      <x:c r="T197" s="113" t="n">
        <x:f>M197*Beallitasok!$B$4</x:f>
        <x:v>300000</x:v>
      </x:c>
      <x:c r="U197" s="115" t="n">
        <x:f>N197*Beallitasok!$B$4</x:f>
        <x:v>400</x:v>
      </x:c>
      <x:c r="V197" s="113"/>
      <x:c r="W197" s="113" t="str">
        <x:f>IF(V197="","",V197-J197)</x:f>
      </x:c>
      <x:c r="X197" s="19"/>
      <x:c r="Y197" s="113" t="n">
        <x:f>IF(S197="","",J197-S197)</x:f>
        <x:v>550</x:v>
      </x:c>
      <x:c r="Z197" s="19" t="str">
        <x:f>IF(AA197="IGEN",IF(J197&lt;S197,"GÉPIGÉNY + KRITIKUS: gépdíj nélkül is alacsony a plafon","GÉPIGÉNY: a saját egységár gépdíj nélkül értendő"),IF(J197&lt;S197,"KRITIKUS: alvállalkozói plafon &lt; saját terhelt egységköltség",IF(J197&lt;S197*Beallitasok!$B$6,"SZŰK TARTALÉK: 10% alatti tartalék","OK")))</x:f>
        <x:v>OK</x:v>
      </x:c>
      <x:c r="AA197" s="19" t="str">
        <x:v>NEM</x:v>
      </x:c>
      <x:c r="AB197" s="19" t="str">
        <x:v>https://joszaki.hu/arak/vizszigeteles</x:v>
      </x:c>
      <x:c r="AC197" s="19" t="str">
        <x:v>2026 vízszigetelési/hőszigetelési piaci sáv és mérnöki levezetés</x:v>
      </x:c>
      <x:c r="AD197" s="19" t="str"/>
    </x:row>
    <x:row r="198">
      <x:c r="A198" s="19" t="str">
        <x:v>AR-0197</x:v>
      </x:c>
      <x:c r="B198" s="19" t="str">
        <x:v>09 Szigetelés</x:v>
      </x:c>
      <x:c r="C198" s="19" t="str">
        <x:v>Víz-, hő- és hangszigetelés</x:v>
      </x:c>
      <x:c r="D198" s="19" t="str">
        <x:v>Mindegyik</x:v>
      </x:c>
      <x:c r="E198" s="19" t="str">
        <x:v>EPS lépésálló hőszigetelés fektetése padlóban</x:v>
      </x:c>
      <x:c r="F198" s="19" t="str">
        <x:v>m²</x:v>
      </x:c>
      <x:c r="G198" s="113" t="n">
        <x:v>900</x:v>
      </x:c>
      <x:c r="H198" s="113" t="n">
        <x:v>1400</x:v>
      </x:c>
      <x:c r="I198" s="114" t="n">
        <x:v>0.55</x:v>
      </x:c>
      <x:c r="J198" s="113" t="n">
        <x:f>ROUND(H198*I198/Beallitasok!$B$7,0)*Beallitasok!$B$7</x:f>
        <x:v>750</x:v>
      </x:c>
      <x:c r="K198" s="19" t="n">
        <x:v>1</x:v>
      </x:c>
      <x:c r="L198" s="19" t="n">
        <x:v>1</x:v>
      </x:c>
      <x:c r="M198" s="113" t="n">
        <x:f>K198*Beallitasok!$B$2+L198*Beallitasok!$B$3</x:f>
        <x:v>60000</x:v>
      </x:c>
      <x:c r="N198" s="115" t="n">
        <x:v>160</x:v>
      </x:c>
      <x:c r="O198" s="113" t="n">
        <x:f>IFERROR(M198/N198,"")</x:f>
        <x:v>375</x:v>
      </x:c>
      <x:c r="P198" s="116" t="n">
        <x:f>Beallitasok!$B$5</x:f>
        <x:v>1.15</x:v>
      </x:c>
      <x:c r="Q198" s="113" t="n">
        <x:f>IFERROR(ROUND(O198*P198/Beallitasok!$B$7,0)*Beallitasok!$B$7,"")</x:f>
        <x:v>450</x:v>
      </x:c>
      <x:c r="R198" s="113"/>
      <x:c r="S198" s="113" t="n">
        <x:f>IF(Q198="","",Q198+IF(R198="",0,R198))</x:f>
        <x:v>450</x:v>
      </x:c>
      <x:c r="T198" s="113" t="n">
        <x:f>M198*Beallitasok!$B$4</x:f>
        <x:v>300000</x:v>
      </x:c>
      <x:c r="U198" s="115" t="n">
        <x:f>N198*Beallitasok!$B$4</x:f>
        <x:v>800</x:v>
      </x:c>
      <x:c r="V198" s="113"/>
      <x:c r="W198" s="113" t="str">
        <x:f>IF(V198="","",V198-J198)</x:f>
      </x:c>
      <x:c r="X198" s="19"/>
      <x:c r="Y198" s="113" t="n">
        <x:f>IF(S198="","",J198-S198)</x:f>
        <x:v>300</x:v>
      </x:c>
      <x:c r="Z198" s="19" t="str">
        <x:f>IF(AA198="IGEN",IF(J198&lt;S198,"GÉPIGÉNY + KRITIKUS: gépdíj nélkül is alacsony a plafon","GÉPIGÉNY: a saját egységár gépdíj nélkül értendő"),IF(J198&lt;S198,"KRITIKUS: alvállalkozói plafon &lt; saját terhelt egységköltség",IF(J198&lt;S198*Beallitasok!$B$6,"SZŰK TARTALÉK: 10% alatti tartalék","OK")))</x:f>
        <x:v>OK</x:v>
      </x:c>
      <x:c r="AA198" s="19" t="str">
        <x:v>NEM</x:v>
      </x:c>
      <x:c r="AB198" s="19" t="str">
        <x:v>https://joszaki.hu/arak/vizszigeteles</x:v>
      </x:c>
      <x:c r="AC198" s="19" t="str">
        <x:v>2026 vízszigetelési/hőszigetelési piaci sáv és mérnöki levezetés</x:v>
      </x:c>
      <x:c r="AD198" s="19" t="str"/>
    </x:row>
    <x:row r="199">
      <x:c r="A199" s="19" t="str">
        <x:v>AR-0198</x:v>
      </x:c>
      <x:c r="B199" s="19" t="str">
        <x:v>09 Szigetelés</x:v>
      </x:c>
      <x:c r="C199" s="19" t="str">
        <x:v>Víz-, hő- és hangszigetelés</x:v>
      </x:c>
      <x:c r="D199" s="19" t="str">
        <x:v>Mindegyik</x:v>
      </x:c>
      <x:c r="E199" s="19" t="str">
        <x:v>Kőzetgyapot hőszigetelés fektetése padláson</x:v>
      </x:c>
      <x:c r="F199" s="19" t="str">
        <x:v>m²</x:v>
      </x:c>
      <x:c r="G199" s="113" t="n">
        <x:v>1100</x:v>
      </x:c>
      <x:c r="H199" s="113" t="n">
        <x:v>1700</x:v>
      </x:c>
      <x:c r="I199" s="114" t="n">
        <x:v>0.55</x:v>
      </x:c>
      <x:c r="J199" s="113" t="n">
        <x:f>ROUND(H199*I199/Beallitasok!$B$7,0)*Beallitasok!$B$7</x:f>
        <x:v>950</x:v>
      </x:c>
      <x:c r="K199" s="19" t="n">
        <x:v>1</x:v>
      </x:c>
      <x:c r="L199" s="19" t="n">
        <x:v>1</x:v>
      </x:c>
      <x:c r="M199" s="113" t="n">
        <x:f>K199*Beallitasok!$B$2+L199*Beallitasok!$B$3</x:f>
        <x:v>60000</x:v>
      </x:c>
      <x:c r="N199" s="115" t="n">
        <x:v>130</x:v>
      </x:c>
      <x:c r="O199" s="113" t="n">
        <x:f>IFERROR(M199/N199,"")</x:f>
        <x:v>461.53846153846155</x:v>
      </x:c>
      <x:c r="P199" s="116" t="n">
        <x:f>Beallitasok!$B$5</x:f>
        <x:v>1.15</x:v>
      </x:c>
      <x:c r="Q199" s="113" t="n">
        <x:f>IFERROR(ROUND(O199*P199/Beallitasok!$B$7,0)*Beallitasok!$B$7,"")</x:f>
        <x:v>550</x:v>
      </x:c>
      <x:c r="R199" s="113"/>
      <x:c r="S199" s="113" t="n">
        <x:f>IF(Q199="","",Q199+IF(R199="",0,R199))</x:f>
        <x:v>550</x:v>
      </x:c>
      <x:c r="T199" s="113" t="n">
        <x:f>M199*Beallitasok!$B$4</x:f>
        <x:v>300000</x:v>
      </x:c>
      <x:c r="U199" s="115" t="n">
        <x:f>N199*Beallitasok!$B$4</x:f>
        <x:v>650</x:v>
      </x:c>
      <x:c r="V199" s="113"/>
      <x:c r="W199" s="113" t="str">
        <x:f>IF(V199="","",V199-J199)</x:f>
      </x:c>
      <x:c r="X199" s="19"/>
      <x:c r="Y199" s="113" t="n">
        <x:f>IF(S199="","",J199-S199)</x:f>
        <x:v>400</x:v>
      </x:c>
      <x:c r="Z199" s="19" t="str">
        <x:f>IF(AA199="IGEN",IF(J199&lt;S199,"GÉPIGÉNY + KRITIKUS: gépdíj nélkül is alacsony a plafon","GÉPIGÉNY: a saját egységár gépdíj nélkül értendő"),IF(J199&lt;S199,"KRITIKUS: alvállalkozói plafon &lt; saját terhelt egységköltség",IF(J199&lt;S199*Beallitasok!$B$6,"SZŰK TARTALÉK: 10% alatti tartalék","OK")))</x:f>
        <x:v>OK</x:v>
      </x:c>
      <x:c r="AA199" s="19" t="str">
        <x:v>NEM</x:v>
      </x:c>
      <x:c r="AB199" s="19" t="str">
        <x:v>https://joszaki.hu/arak/vizszigeteles</x:v>
      </x:c>
      <x:c r="AC199" s="19" t="str">
        <x:v>2026 vízszigetelési/hőszigetelési piaci sáv és mérnöki levezetés</x:v>
      </x:c>
      <x:c r="AD199" s="19" t="str"/>
    </x:row>
    <x:row r="200">
      <x:c r="A200" s="19" t="str">
        <x:v>AR-0199</x:v>
      </x:c>
      <x:c r="B200" s="19" t="str">
        <x:v>09 Szigetelés</x:v>
      </x:c>
      <x:c r="C200" s="19" t="str">
        <x:v>Víz-, hő- és hangszigetelés</x:v>
      </x:c>
      <x:c r="D200" s="19" t="str">
        <x:v>Mindegyik</x:v>
      </x:c>
      <x:c r="E200" s="19" t="str">
        <x:v>Kőzetgyapot szigetelés beépítése tetősíkba</x:v>
      </x:c>
      <x:c r="F200" s="19" t="str">
        <x:v>m²</x:v>
      </x:c>
      <x:c r="G200" s="113" t="n">
        <x:v>1800</x:v>
      </x:c>
      <x:c r="H200" s="113" t="n">
        <x:v>2700</x:v>
      </x:c>
      <x:c r="I200" s="114" t="n">
        <x:v>0.55</x:v>
      </x:c>
      <x:c r="J200" s="113" t="n">
        <x:f>ROUND(H200*I200/Beallitasok!$B$7,0)*Beallitasok!$B$7</x:f>
        <x:v>1500</x:v>
      </x:c>
      <x:c r="K200" s="19" t="n">
        <x:v>2</x:v>
      </x:c>
      <x:c r="L200" s="19" t="n">
        <x:v>1</x:v>
      </x:c>
      <x:c r="M200" s="113" t="n">
        <x:f>K200*Beallitasok!$B$2+L200*Beallitasok!$B$3</x:f>
        <x:v>95000</x:v>
      </x:c>
      <x:c r="N200" s="115" t="n">
        <x:v>75</x:v>
      </x:c>
      <x:c r="O200" s="113" t="n">
        <x:f>IFERROR(M200/N200,"")</x:f>
        <x:v>1266.6666666666667</x:v>
      </x:c>
      <x:c r="P200" s="116" t="n">
        <x:f>Beallitasok!$B$5</x:f>
        <x:v>1.15</x:v>
      </x:c>
      <x:c r="Q200" s="113" t="n">
        <x:f>IFERROR(ROUND(O200*P200/Beallitasok!$B$7,0)*Beallitasok!$B$7,"")</x:f>
        <x:v>1450</x:v>
      </x:c>
      <x:c r="R200" s="113"/>
      <x:c r="S200" s="113" t="n">
        <x:f>IF(Q200="","",Q200+IF(R200="",0,R200))</x:f>
        <x:v>1450</x:v>
      </x:c>
      <x:c r="T200" s="113" t="n">
        <x:f>M200*Beallitasok!$B$4</x:f>
        <x:v>475000</x:v>
      </x:c>
      <x:c r="U200" s="115" t="n">
        <x:f>N200*Beallitasok!$B$4</x:f>
        <x:v>375</x:v>
      </x:c>
      <x:c r="V200" s="113"/>
      <x:c r="W200" s="113" t="str">
        <x:f>IF(V200="","",V200-J200)</x:f>
      </x:c>
      <x:c r="X200" s="19"/>
      <x:c r="Y200" s="113" t="n">
        <x:f>IF(S200="","",J200-S200)</x:f>
        <x:v>50</x:v>
      </x:c>
      <x:c r="Z200" s="19" t="str">
        <x:f>IF(AA200="IGEN",IF(J200&lt;S200,"GÉPIGÉNY + KRITIKUS: gépdíj nélkül is alacsony a plafon","GÉPIGÉNY: a saját egységár gépdíj nélkül értendő"),IF(J200&lt;S200,"KRITIKUS: alvállalkozói plafon &lt; saját terhelt egységköltség",IF(J200&lt;S200*Beallitasok!$B$6,"SZŰK TARTALÉK: 10% alatti tartalék","OK")))</x:f>
        <x:v>SZŰK TARTALÉK: 10% alatti tartalék</x:v>
      </x:c>
      <x:c r="AA200" s="19" t="str">
        <x:v>NEM</x:v>
      </x:c>
      <x:c r="AB200" s="19" t="str">
        <x:v>https://joszaki.hu/arak/vizszigeteles</x:v>
      </x:c>
      <x:c r="AC200" s="19" t="str">
        <x:v>2026 vízszigetelési/hőszigetelési piaci sáv és mérnöki levezetés</x:v>
      </x:c>
      <x:c r="AD200" s="19" t="str"/>
    </x:row>
    <x:row r="201">
      <x:c r="A201" s="19" t="str">
        <x:v>AR-0200</x:v>
      </x:c>
      <x:c r="B201" s="19" t="str">
        <x:v>09 Szigetelés</x:v>
      </x:c>
      <x:c r="C201" s="19" t="str">
        <x:v>Víz-, hő- és hangszigetelés</x:v>
      </x:c>
      <x:c r="D201" s="19" t="str">
        <x:v>Mindegyik</x:v>
      </x:c>
      <x:c r="E201" s="19" t="str">
        <x:v>Második réteg tetősík hőszigetelés keresztirányban</x:v>
      </x:c>
      <x:c r="F201" s="19" t="str">
        <x:v>m²</x:v>
      </x:c>
      <x:c r="G201" s="113" t="n">
        <x:v>1400</x:v>
      </x:c>
      <x:c r="H201" s="113" t="n">
        <x:v>2100</x:v>
      </x:c>
      <x:c r="I201" s="114" t="n">
        <x:v>0.55</x:v>
      </x:c>
      <x:c r="J201" s="113" t="n">
        <x:f>ROUND(H201*I201/Beallitasok!$B$7,0)*Beallitasok!$B$7</x:f>
        <x:v>1150</x:v>
      </x:c>
      <x:c r="K201" s="19" t="n">
        <x:v>2</x:v>
      </x:c>
      <x:c r="L201" s="19" t="n">
        <x:v>1</x:v>
      </x:c>
      <x:c r="M201" s="113" t="n">
        <x:f>K201*Beallitasok!$B$2+L201*Beallitasok!$B$3</x:f>
        <x:v>95000</x:v>
      </x:c>
      <x:c r="N201" s="115" t="n">
        <x:v>90</x:v>
      </x:c>
      <x:c r="O201" s="113" t="n">
        <x:f>IFERROR(M201/N201,"")</x:f>
        <x:v>1055.5555555555557</x:v>
      </x:c>
      <x:c r="P201" s="116" t="n">
        <x:f>Beallitasok!$B$5</x:f>
        <x:v>1.15</x:v>
      </x:c>
      <x:c r="Q201" s="113" t="n">
        <x:f>IFERROR(ROUND(O201*P201/Beallitasok!$B$7,0)*Beallitasok!$B$7,"")</x:f>
        <x:v>1200</x:v>
      </x:c>
      <x:c r="R201" s="113"/>
      <x:c r="S201" s="113" t="n">
        <x:f>IF(Q201="","",Q201+IF(R201="",0,R201))</x:f>
        <x:v>1200</x:v>
      </x:c>
      <x:c r="T201" s="113" t="n">
        <x:f>M201*Beallitasok!$B$4</x:f>
        <x:v>475000</x:v>
      </x:c>
      <x:c r="U201" s="115" t="n">
        <x:f>N201*Beallitasok!$B$4</x:f>
        <x:v>450</x:v>
      </x:c>
      <x:c r="V201" s="113"/>
      <x:c r="W201" s="113" t="str">
        <x:f>IF(V201="","",V201-J201)</x:f>
      </x:c>
      <x:c r="X201" s="19"/>
      <x:c r="Y201" s="113" t="n">
        <x:f>IF(S201="","",J201-S201)</x:f>
        <x:v>-50</x:v>
      </x:c>
      <x:c r="Z201" s="19" t="str">
        <x:f>IF(AA201="IGEN",IF(J201&lt;S201,"GÉPIGÉNY + KRITIKUS: gépdíj nélkül is alacsony a plafon","GÉPIGÉNY: a saját egységár gépdíj nélkül értendő"),IF(J201&lt;S201,"KRITIKUS: alvállalkozói plafon &lt; saját terhelt egységköltség",IF(J201&lt;S201*Beallitasok!$B$6,"SZŰK TARTALÉK: 10% alatti tartalék","OK")))</x:f>
        <x:v>KRITIKUS: alvállalkozói plafon &lt; saját terhelt egységköltség</x:v>
      </x:c>
      <x:c r="AA201" s="19" t="str">
        <x:v>NEM</x:v>
      </x:c>
      <x:c r="AB201" s="19" t="str">
        <x:v>https://joszaki.hu/arak/vizszigeteles</x:v>
      </x:c>
      <x:c r="AC201" s="19" t="str">
        <x:v>2026 vízszigetelési/hőszigetelési piaci sáv és mérnöki levezetés</x:v>
      </x:c>
      <x:c r="AD201" s="19" t="str"/>
    </x:row>
    <x:row r="202">
      <x:c r="A202" s="19" t="str">
        <x:v>AR-0201</x:v>
      </x:c>
      <x:c r="B202" s="19" t="str">
        <x:v>09 Szigetelés</x:v>
      </x:c>
      <x:c r="C202" s="19" t="str">
        <x:v>Víz-, hő- és hangszigetelés</x:v>
      </x:c>
      <x:c r="D202" s="19" t="str">
        <x:v>Mindegyik</x:v>
      </x:c>
      <x:c r="E202" s="19" t="str">
        <x:v>Födém úsztatóréteg hangszigetelésének fektetése</x:v>
      </x:c>
      <x:c r="F202" s="19" t="str">
        <x:v>m²</x:v>
      </x:c>
      <x:c r="G202" s="113" t="n">
        <x:v>900</x:v>
      </x:c>
      <x:c r="H202" s="113" t="n">
        <x:v>1400</x:v>
      </x:c>
      <x:c r="I202" s="114" t="n">
        <x:v>0.55</x:v>
      </x:c>
      <x:c r="J202" s="113" t="n">
        <x:f>ROUND(H202*I202/Beallitasok!$B$7,0)*Beallitasok!$B$7</x:f>
        <x:v>750</x:v>
      </x:c>
      <x:c r="K202" s="19" t="n">
        <x:v>1</x:v>
      </x:c>
      <x:c r="L202" s="19" t="n">
        <x:v>1</x:v>
      </x:c>
      <x:c r="M202" s="113" t="n">
        <x:f>K202*Beallitasok!$B$2+L202*Beallitasok!$B$3</x:f>
        <x:v>60000</x:v>
      </x:c>
      <x:c r="N202" s="115" t="n">
        <x:v>150</x:v>
      </x:c>
      <x:c r="O202" s="113" t="n">
        <x:f>IFERROR(M202/N202,"")</x:f>
        <x:v>400</x:v>
      </x:c>
      <x:c r="P202" s="116" t="n">
        <x:f>Beallitasok!$B$5</x:f>
        <x:v>1.15</x:v>
      </x:c>
      <x:c r="Q202" s="113" t="n">
        <x:f>IFERROR(ROUND(O202*P202/Beallitasok!$B$7,0)*Beallitasok!$B$7,"")</x:f>
        <x:v>450</x:v>
      </x:c>
      <x:c r="R202" s="113"/>
      <x:c r="S202" s="113" t="n">
        <x:f>IF(Q202="","",Q202+IF(R202="",0,R202))</x:f>
        <x:v>450</x:v>
      </x:c>
      <x:c r="T202" s="113" t="n">
        <x:f>M202*Beallitasok!$B$4</x:f>
        <x:v>300000</x:v>
      </x:c>
      <x:c r="U202" s="115" t="n">
        <x:f>N202*Beallitasok!$B$4</x:f>
        <x:v>750</x:v>
      </x:c>
      <x:c r="V202" s="113"/>
      <x:c r="W202" s="113" t="str">
        <x:f>IF(V202="","",V202-J202)</x:f>
      </x:c>
      <x:c r="X202" s="19"/>
      <x:c r="Y202" s="113" t="n">
        <x:f>IF(S202="","",J202-S202)</x:f>
        <x:v>300</x:v>
      </x:c>
      <x:c r="Z202" s="19" t="str">
        <x:f>IF(AA202="IGEN",IF(J202&lt;S202,"GÉPIGÉNY + KRITIKUS: gépdíj nélkül is alacsony a plafon","GÉPIGÉNY: a saját egységár gépdíj nélkül értendő"),IF(J202&lt;S202,"KRITIKUS: alvállalkozói plafon &lt; saját terhelt egységköltség",IF(J202&lt;S202*Beallitasok!$B$6,"SZŰK TARTALÉK: 10% alatti tartalék","OK")))</x:f>
        <x:v>OK</x:v>
      </x:c>
      <x:c r="AA202" s="19" t="str">
        <x:v>NEM</x:v>
      </x:c>
      <x:c r="AB202" s="19" t="str">
        <x:v>https://joszaki.hu/arak/vizszigeteles</x:v>
      </x:c>
      <x:c r="AC202" s="19" t="str">
        <x:v>2026 vízszigetelési/hőszigetelési piaci sáv és mérnöki levezetés</x:v>
      </x:c>
      <x:c r="AD202" s="19" t="str"/>
    </x:row>
    <x:row r="203">
      <x:c r="A203" s="19" t="str">
        <x:v>AR-0202</x:v>
      </x:c>
      <x:c r="B203" s="19" t="str">
        <x:v>09 Szigetelés</x:v>
      </x:c>
      <x:c r="C203" s="19" t="str">
        <x:v>Víz-, hő- és hangszigetelés</x:v>
      </x:c>
      <x:c r="D203" s="19" t="str">
        <x:v>Mindegyik</x:v>
      </x:c>
      <x:c r="E203" s="19" t="str">
        <x:v>Gépészeti csővezeték hőszigetelése</x:v>
      </x:c>
      <x:c r="F203" s="19" t="str">
        <x:v>fm</x:v>
      </x:c>
      <x:c r="G203" s="113" t="n">
        <x:v>1200</x:v>
      </x:c>
      <x:c r="H203" s="113" t="n">
        <x:v>1800</x:v>
      </x:c>
      <x:c r="I203" s="114" t="n">
        <x:v>0.6</x:v>
      </x:c>
      <x:c r="J203" s="113" t="n">
        <x:f>ROUND(H203*I203/Beallitasok!$B$7,0)*Beallitasok!$B$7</x:f>
        <x:v>1100</x:v>
      </x:c>
      <x:c r="K203" s="19" t="n">
        <x:v>1</x:v>
      </x:c>
      <x:c r="L203" s="19" t="n">
        <x:v>1</x:v>
      </x:c>
      <x:c r="M203" s="113" t="n">
        <x:f>K203*Beallitasok!$B$2+L203*Beallitasok!$B$3</x:f>
        <x:v>60000</x:v>
      </x:c>
      <x:c r="N203" s="115" t="n">
        <x:v>65</x:v>
      </x:c>
      <x:c r="O203" s="113" t="n">
        <x:f>IFERROR(M203/N203,"")</x:f>
        <x:v>923.0769230769231</x:v>
      </x:c>
      <x:c r="P203" s="116" t="n">
        <x:f>Beallitasok!$B$5</x:f>
        <x:v>1.15</x:v>
      </x:c>
      <x:c r="Q203" s="113" t="n">
        <x:f>IFERROR(ROUND(O203*P203/Beallitasok!$B$7,0)*Beallitasok!$B$7,"")</x:f>
        <x:v>1050</x:v>
      </x:c>
      <x:c r="R203" s="113"/>
      <x:c r="S203" s="113" t="n">
        <x:f>IF(Q203="","",Q203+IF(R203="",0,R203))</x:f>
        <x:v>1050</x:v>
      </x:c>
      <x:c r="T203" s="113" t="n">
        <x:f>M203*Beallitasok!$B$4</x:f>
        <x:v>300000</x:v>
      </x:c>
      <x:c r="U203" s="115" t="n">
        <x:f>N203*Beallitasok!$B$4</x:f>
        <x:v>325</x:v>
      </x:c>
      <x:c r="V203" s="113"/>
      <x:c r="W203" s="113" t="str">
        <x:f>IF(V203="","",V203-J203)</x:f>
      </x:c>
      <x:c r="X203" s="19"/>
      <x:c r="Y203" s="113" t="n">
        <x:f>IF(S203="","",J203-S203)</x:f>
        <x:v>50</x:v>
      </x:c>
      <x:c r="Z203" s="19" t="str">
        <x:f>IF(AA203="IGEN",IF(J203&lt;S203,"GÉPIGÉNY + KRITIKUS: gépdíj nélkül is alacsony a plafon","GÉPIGÉNY: a saját egységár gépdíj nélkül értendő"),IF(J203&lt;S203,"KRITIKUS: alvállalkozói plafon &lt; saját terhelt egységköltség",IF(J203&lt;S203*Beallitasok!$B$6,"SZŰK TARTALÉK: 10% alatti tartalék","OK")))</x:f>
        <x:v>SZŰK TARTALÉK: 10% alatti tartalék</x:v>
      </x:c>
      <x:c r="AA203" s="19" t="str">
        <x:v>NEM</x:v>
      </x:c>
      <x:c r="AB203" s="19" t="str">
        <x:v>https://joszaki.hu/arak/vizszigeteles</x:v>
      </x:c>
      <x:c r="AC203" s="19" t="str">
        <x:v>2026 vízszigetelési/hőszigetelési piaci sáv és mérnöki levezetés</x:v>
      </x:c>
      <x:c r="AD203" s="19" t="str"/>
    </x:row>
    <x:row r="204">
      <x:c r="A204" s="19" t="str">
        <x:v>AR-0203</x:v>
      </x:c>
      <x:c r="B204" s="19" t="str">
        <x:v>09 Szigetelés</x:v>
      </x:c>
      <x:c r="C204" s="19" t="str">
        <x:v>Víz-, hő- és hangszigetelés</x:v>
      </x:c>
      <x:c r="D204" s="19" t="str">
        <x:v>Mindegyik</x:v>
      </x:c>
      <x:c r="E204" s="19" t="str">
        <x:v>Légcsatorna hő- és párazáró szigetelése</x:v>
      </x:c>
      <x:c r="F204" s="19" t="str">
        <x:v>m² felület</x:v>
      </x:c>
      <x:c r="G204" s="113" t="n">
        <x:v>2800</x:v>
      </x:c>
      <x:c r="H204" s="113" t="n">
        <x:v>4200</x:v>
      </x:c>
      <x:c r="I204" s="114" t="n">
        <x:v>0.6</x:v>
      </x:c>
      <x:c r="J204" s="113" t="n">
        <x:f>ROUND(H204*I204/Beallitasok!$B$7,0)*Beallitasok!$B$7</x:f>
        <x:v>2500</x:v>
      </x:c>
      <x:c r="K204" s="19" t="n">
        <x:v>2</x:v>
      </x:c>
      <x:c r="L204" s="19" t="n">
        <x:v>1</x:v>
      </x:c>
      <x:c r="M204" s="113" t="n">
        <x:f>K204*Beallitasok!$B$2+L204*Beallitasok!$B$3</x:f>
        <x:v>95000</x:v>
      </x:c>
      <x:c r="N204" s="115" t="n">
        <x:v>32</x:v>
      </x:c>
      <x:c r="O204" s="113" t="n">
        <x:f>IFERROR(M204/N204,"")</x:f>
        <x:v>2968.75</x:v>
      </x:c>
      <x:c r="P204" s="116" t="n">
        <x:f>Beallitasok!$B$5</x:f>
        <x:v>1.15</x:v>
      </x:c>
      <x:c r="Q204" s="113" t="n">
        <x:f>IFERROR(ROUND(O204*P204/Beallitasok!$B$7,0)*Beallitasok!$B$7,"")</x:f>
        <x:v>3400</x:v>
      </x:c>
      <x:c r="R204" s="113"/>
      <x:c r="S204" s="113" t="n">
        <x:f>IF(Q204="","",Q204+IF(R204="",0,R204))</x:f>
        <x:v>3400</x:v>
      </x:c>
      <x:c r="T204" s="113" t="n">
        <x:f>M204*Beallitasok!$B$4</x:f>
        <x:v>475000</x:v>
      </x:c>
      <x:c r="U204" s="115" t="n">
        <x:f>N204*Beallitasok!$B$4</x:f>
        <x:v>160</x:v>
      </x:c>
      <x:c r="V204" s="113"/>
      <x:c r="W204" s="113" t="str">
        <x:f>IF(V204="","",V204-J204)</x:f>
      </x:c>
      <x:c r="X204" s="19"/>
      <x:c r="Y204" s="113" t="n">
        <x:f>IF(S204="","",J204-S204)</x:f>
        <x:v>-900</x:v>
      </x:c>
      <x:c r="Z204" s="19" t="str">
        <x:f>IF(AA204="IGEN",IF(J204&lt;S204,"GÉPIGÉNY + KRITIKUS: gépdíj nélkül is alacsony a plafon","GÉPIGÉNY: a saját egységár gépdíj nélkül értendő"),IF(J204&lt;S204,"KRITIKUS: alvállalkozói plafon &lt; saját terhelt egységköltség",IF(J204&lt;S204*Beallitasok!$B$6,"SZŰK TARTALÉK: 10% alatti tartalék","OK")))</x:f>
        <x:v>KRITIKUS: alvállalkozói plafon &lt; saját terhelt egységköltség</x:v>
      </x:c>
      <x:c r="AA204" s="19" t="str">
        <x:v>NEM</x:v>
      </x:c>
      <x:c r="AB204" s="19" t="str">
        <x:v>https://joszaki.hu/arak/vizszigeteles</x:v>
      </x:c>
      <x:c r="AC204" s="19" t="str">
        <x:v>2026 vízszigetelési/hőszigetelési piaci sáv és mérnöki levezetés</x:v>
      </x:c>
      <x:c r="AD204" s="19" t="str"/>
    </x:row>
    <x:row r="205">
      <x:c r="A205" s="19" t="str">
        <x:v>AR-0204</x:v>
      </x:c>
      <x:c r="B205" s="19" t="str">
        <x:v>10 Homlokzat</x:v>
      </x:c>
      <x:c r="C205" s="19" t="str">
        <x:v>Hőszigetelő rendszer és burkolatok</x:v>
      </x:c>
      <x:c r="D205" s="19" t="str">
        <x:v>Mindegyik</x:v>
      </x:c>
      <x:c r="E205" s="19" t="str">
        <x:v>EPS homlokzati lap ragasztása</x:v>
      </x:c>
      <x:c r="F205" s="19" t="str">
        <x:v>m²</x:v>
      </x:c>
      <x:c r="G205" s="113" t="n">
        <x:v>3200</x:v>
      </x:c>
      <x:c r="H205" s="113" t="n">
        <x:v>4800</x:v>
      </x:c>
      <x:c r="I205" s="114" t="n">
        <x:v>0.55</x:v>
      </x:c>
      <x:c r="J205" s="113" t="n">
        <x:f>ROUND(H205*I205/Beallitasok!$B$7,0)*Beallitasok!$B$7</x:f>
        <x:v>2650</x:v>
      </x:c>
      <x:c r="K205" s="19" t="n">
        <x:v>2</x:v>
      </x:c>
      <x:c r="L205" s="19" t="n">
        <x:v>2</x:v>
      </x:c>
      <x:c r="M205" s="113" t="n">
        <x:f>K205*Beallitasok!$B$2+L205*Beallitasok!$B$3</x:f>
        <x:v>120000</x:v>
      </x:c>
      <x:c r="N205" s="115" t="n">
        <x:v>55</x:v>
      </x:c>
      <x:c r="O205" s="113" t="n">
        <x:f>IFERROR(M205/N205,"")</x:f>
        <x:v>2181.818181818182</x:v>
      </x:c>
      <x:c r="P205" s="116" t="n">
        <x:f>Beallitasok!$B$5</x:f>
        <x:v>1.15</x:v>
      </x:c>
      <x:c r="Q205" s="113" t="n">
        <x:f>IFERROR(ROUND(O205*P205/Beallitasok!$B$7,0)*Beallitasok!$B$7,"")</x:f>
        <x:v>2500</x:v>
      </x:c>
      <x:c r="R205" s="113"/>
      <x:c r="S205" s="113" t="n">
        <x:f>IF(Q205="","",Q205+IF(R205="",0,R205))</x:f>
        <x:v>2500</x:v>
      </x:c>
      <x:c r="T205" s="113" t="n">
        <x:f>M205*Beallitasok!$B$4</x:f>
        <x:v>600000</x:v>
      </x:c>
      <x:c r="U205" s="115" t="n">
        <x:f>N205*Beallitasok!$B$4</x:f>
        <x:v>275</x:v>
      </x:c>
      <x:c r="V205" s="113"/>
      <x:c r="W205" s="113" t="str">
        <x:f>IF(V205="","",V205-J205)</x:f>
      </x:c>
      <x:c r="X205" s="19"/>
      <x:c r="Y205" s="113" t="n">
        <x:f>IF(S205="","",J205-S205)</x:f>
        <x:v>150</x:v>
      </x:c>
      <x:c r="Z205" s="19" t="str">
        <x:f>IF(AA205="IGEN",IF(J205&lt;S205,"GÉPIGÉNY + KRITIKUS: gépdíj nélkül is alacsony a plafon","GÉPIGÉNY: a saját egységár gépdíj nélkül értendő"),IF(J205&lt;S205,"KRITIKUS: alvállalkozói plafon &lt; saját terhelt egységköltség",IF(J205&lt;S205*Beallitasok!$B$6,"SZŰK TARTALÉK: 10% alatti tartalék","OK")))</x:f>
        <x:v>SZŰK TARTALÉK: 10% alatti tartalék</x:v>
      </x:c>
      <x:c r="AA205" s="19" t="str">
        <x:v>NEM</x:v>
      </x:c>
      <x:c r="AB205" s="19" t="str">
        <x:v>https://joszaki.hu/arak/homlokzati-hoszigeteles</x:v>
      </x:c>
      <x:c r="AC205" s="19" t="str">
        <x:v>2026 homlokzati piaci alsó sáv és részfolyamatokra bontás</x:v>
      </x:c>
      <x:c r="AD205" s="19" t="str">
        <x:v>Állvány bérleti napidíja külön; burkolóanyag és segédanyag nincs benne.</x:v>
      </x:c>
    </x:row>
    <x:row r="206">
      <x:c r="A206" s="19" t="str">
        <x:v>AR-0205</x:v>
      </x:c>
      <x:c r="B206" s="19" t="str">
        <x:v>10 Homlokzat</x:v>
      </x:c>
      <x:c r="C206" s="19" t="str">
        <x:v>Hőszigetelő rendszer és burkolatok</x:v>
      </x:c>
      <x:c r="D206" s="19" t="str">
        <x:v>Mindegyik</x:v>
      </x:c>
      <x:c r="E206" s="19" t="str">
        <x:v>Grafitos EPS homlokzati lap ragasztása</x:v>
      </x:c>
      <x:c r="F206" s="19" t="str">
        <x:v>m²</x:v>
      </x:c>
      <x:c r="G206" s="113" t="n">
        <x:v>3400</x:v>
      </x:c>
      <x:c r="H206" s="113" t="n">
        <x:v>5200</x:v>
      </x:c>
      <x:c r="I206" s="114" t="n">
        <x:v>0.55</x:v>
      </x:c>
      <x:c r="J206" s="113" t="n">
        <x:f>ROUND(H206*I206/Beallitasok!$B$7,0)*Beallitasok!$B$7</x:f>
        <x:v>2850</x:v>
      </x:c>
      <x:c r="K206" s="19" t="n">
        <x:v>2</x:v>
      </x:c>
      <x:c r="L206" s="19" t="n">
        <x:v>2</x:v>
      </x:c>
      <x:c r="M206" s="113" t="n">
        <x:f>K206*Beallitasok!$B$2+L206*Beallitasok!$B$3</x:f>
        <x:v>120000</x:v>
      </x:c>
      <x:c r="N206" s="115" t="n">
        <x:v>50</x:v>
      </x:c>
      <x:c r="O206" s="113" t="n">
        <x:f>IFERROR(M206/N206,"")</x:f>
        <x:v>2400</x:v>
      </x:c>
      <x:c r="P206" s="116" t="n">
        <x:f>Beallitasok!$B$5</x:f>
        <x:v>1.15</x:v>
      </x:c>
      <x:c r="Q206" s="113" t="n">
        <x:f>IFERROR(ROUND(O206*P206/Beallitasok!$B$7,0)*Beallitasok!$B$7,"")</x:f>
        <x:v>2750</x:v>
      </x:c>
      <x:c r="R206" s="113"/>
      <x:c r="S206" s="113" t="n">
        <x:f>IF(Q206="","",Q206+IF(R206="",0,R206))</x:f>
        <x:v>2750</x:v>
      </x:c>
      <x:c r="T206" s="113" t="n">
        <x:f>M206*Beallitasok!$B$4</x:f>
        <x:v>600000</x:v>
      </x:c>
      <x:c r="U206" s="115" t="n">
        <x:f>N206*Beallitasok!$B$4</x:f>
        <x:v>250</x:v>
      </x:c>
      <x:c r="V206" s="113"/>
      <x:c r="W206" s="113" t="str">
        <x:f>IF(V206="","",V206-J206)</x:f>
      </x:c>
      <x:c r="X206" s="19"/>
      <x:c r="Y206" s="113" t="n">
        <x:f>IF(S206="","",J206-S206)</x:f>
        <x:v>100</x:v>
      </x:c>
      <x:c r="Z206" s="19" t="str">
        <x:f>IF(AA206="IGEN",IF(J206&lt;S206,"GÉPIGÉNY + KRITIKUS: gépdíj nélkül is alacsony a plafon","GÉPIGÉNY: a saját egységár gépdíj nélkül értendő"),IF(J206&lt;S206,"KRITIKUS: alvállalkozói plafon &lt; saját terhelt egységköltség",IF(J206&lt;S206*Beallitasok!$B$6,"SZŰK TARTALÉK: 10% alatti tartalék","OK")))</x:f>
        <x:v>SZŰK TARTALÉK: 10% alatti tartalék</x:v>
      </x:c>
      <x:c r="AA206" s="19" t="str">
        <x:v>NEM</x:v>
      </x:c>
      <x:c r="AB206" s="19" t="str">
        <x:v>https://joszaki.hu/arak/homlokzati-hoszigeteles</x:v>
      </x:c>
      <x:c r="AC206" s="19" t="str">
        <x:v>2026 homlokzati piaci alsó sáv és részfolyamatokra bontás</x:v>
      </x:c>
      <x:c r="AD206" s="19" t="str">
        <x:v>Állvány bérleti napidíja külön; burkolóanyag és segédanyag nincs benne.</x:v>
      </x:c>
    </x:row>
    <x:row r="207">
      <x:c r="A207" s="19" t="str">
        <x:v>AR-0206</x:v>
      </x:c>
      <x:c r="B207" s="19" t="str">
        <x:v>10 Homlokzat</x:v>
      </x:c>
      <x:c r="C207" s="19" t="str">
        <x:v>Hőszigetelő rendszer és burkolatok</x:v>
      </x:c>
      <x:c r="D207" s="19" t="str">
        <x:v>Mindegyik</x:v>
      </x:c>
      <x:c r="E207" s="19" t="str">
        <x:v>Kőzetgyapot homlokzati lap ragasztása</x:v>
      </x:c>
      <x:c r="F207" s="19" t="str">
        <x:v>m²</x:v>
      </x:c>
      <x:c r="G207" s="113" t="n">
        <x:v>4500</x:v>
      </x:c>
      <x:c r="H207" s="113" t="n">
        <x:v>6800</x:v>
      </x:c>
      <x:c r="I207" s="114" t="n">
        <x:v>0.55</x:v>
      </x:c>
      <x:c r="J207" s="113" t="n">
        <x:f>ROUND(H207*I207/Beallitasok!$B$7,0)*Beallitasok!$B$7</x:f>
        <x:v>3750</x:v>
      </x:c>
      <x:c r="K207" s="19" t="n">
        <x:v>2</x:v>
      </x:c>
      <x:c r="L207" s="19" t="n">
        <x:v>2</x:v>
      </x:c>
      <x:c r="M207" s="113" t="n">
        <x:f>K207*Beallitasok!$B$2+L207*Beallitasok!$B$3</x:f>
        <x:v>120000</x:v>
      </x:c>
      <x:c r="N207" s="115" t="n">
        <x:v>38</x:v>
      </x:c>
      <x:c r="O207" s="113" t="n">
        <x:f>IFERROR(M207/N207,"")</x:f>
        <x:v>3157.8947368421054</x:v>
      </x:c>
      <x:c r="P207" s="116" t="n">
        <x:f>Beallitasok!$B$5</x:f>
        <x:v>1.15</x:v>
      </x:c>
      <x:c r="Q207" s="113" t="n">
        <x:f>IFERROR(ROUND(O207*P207/Beallitasok!$B$7,0)*Beallitasok!$B$7,"")</x:f>
        <x:v>3650</x:v>
      </x:c>
      <x:c r="R207" s="113"/>
      <x:c r="S207" s="113" t="n">
        <x:f>IF(Q207="","",Q207+IF(R207="",0,R207))</x:f>
        <x:v>3650</x:v>
      </x:c>
      <x:c r="T207" s="113" t="n">
        <x:f>M207*Beallitasok!$B$4</x:f>
        <x:v>600000</x:v>
      </x:c>
      <x:c r="U207" s="115" t="n">
        <x:f>N207*Beallitasok!$B$4</x:f>
        <x:v>190</x:v>
      </x:c>
      <x:c r="V207" s="113"/>
      <x:c r="W207" s="113" t="str">
        <x:f>IF(V207="","",V207-J207)</x:f>
      </x:c>
      <x:c r="X207" s="19"/>
      <x:c r="Y207" s="113" t="n">
        <x:f>IF(S207="","",J207-S207)</x:f>
        <x:v>100</x:v>
      </x:c>
      <x:c r="Z207" s="19" t="str">
        <x:f>IF(AA207="IGEN",IF(J207&lt;S207,"GÉPIGÉNY + KRITIKUS: gépdíj nélkül is alacsony a plafon","GÉPIGÉNY: a saját egységár gépdíj nélkül értendő"),IF(J207&lt;S207,"KRITIKUS: alvállalkozói plafon &lt; saját terhelt egységköltség",IF(J207&lt;S207*Beallitasok!$B$6,"SZŰK TARTALÉK: 10% alatti tartalék","OK")))</x:f>
        <x:v>SZŰK TARTALÉK: 10% alatti tartalék</x:v>
      </x:c>
      <x:c r="AA207" s="19" t="str">
        <x:v>NEM</x:v>
      </x:c>
      <x:c r="AB207" s="19" t="str">
        <x:v>https://joszaki.hu/arak/homlokzati-hoszigeteles</x:v>
      </x:c>
      <x:c r="AC207" s="19" t="str">
        <x:v>2026 homlokzati piaci alsó sáv és részfolyamatokra bontás</x:v>
      </x:c>
      <x:c r="AD207" s="19" t="str">
        <x:v>Állvány bérleti napidíja külön; burkolóanyag és segédanyag nincs benne.</x:v>
      </x:c>
    </x:row>
    <x:row r="208">
      <x:c r="A208" s="19" t="str">
        <x:v>AR-0207</x:v>
      </x:c>
      <x:c r="B208" s="19" t="str">
        <x:v>10 Homlokzat</x:v>
      </x:c>
      <x:c r="C208" s="19" t="str">
        <x:v>Hőszigetelő rendszer és burkolatok</x:v>
      </x:c>
      <x:c r="D208" s="19" t="str">
        <x:v>Mindegyik</x:v>
      </x:c>
      <x:c r="E208" s="19" t="str">
        <x:v>Homlokzati hőszigetelés dübelezése</x:v>
      </x:c>
      <x:c r="F208" s="19" t="str">
        <x:v>m²</x:v>
      </x:c>
      <x:c r="G208" s="113" t="n">
        <x:v>1100</x:v>
      </x:c>
      <x:c r="H208" s="113" t="n">
        <x:v>1700</x:v>
      </x:c>
      <x:c r="I208" s="114" t="n">
        <x:v>0.55</x:v>
      </x:c>
      <x:c r="J208" s="113" t="n">
        <x:f>ROUND(H208*I208/Beallitasok!$B$7,0)*Beallitasok!$B$7</x:f>
        <x:v>950</x:v>
      </x:c>
      <x:c r="K208" s="19" t="n">
        <x:v>2</x:v>
      </x:c>
      <x:c r="L208" s="19" t="n">
        <x:v>1</x:v>
      </x:c>
      <x:c r="M208" s="113" t="n">
        <x:f>K208*Beallitasok!$B$2+L208*Beallitasok!$B$3</x:f>
        <x:v>95000</x:v>
      </x:c>
      <x:c r="N208" s="115" t="n">
        <x:v>110</x:v>
      </x:c>
      <x:c r="O208" s="113" t="n">
        <x:f>IFERROR(M208/N208,"")</x:f>
        <x:v>863.6363636363636</x:v>
      </x:c>
      <x:c r="P208" s="116" t="n">
        <x:f>Beallitasok!$B$5</x:f>
        <x:v>1.15</x:v>
      </x:c>
      <x:c r="Q208" s="113" t="n">
        <x:f>IFERROR(ROUND(O208*P208/Beallitasok!$B$7,0)*Beallitasok!$B$7,"")</x:f>
        <x:v>1000</x:v>
      </x:c>
      <x:c r="R208" s="113"/>
      <x:c r="S208" s="113" t="n">
        <x:f>IF(Q208="","",Q208+IF(R208="",0,R208))</x:f>
        <x:v>1000</x:v>
      </x:c>
      <x:c r="T208" s="113" t="n">
        <x:f>M208*Beallitasok!$B$4</x:f>
        <x:v>475000</x:v>
      </x:c>
      <x:c r="U208" s="115" t="n">
        <x:f>N208*Beallitasok!$B$4</x:f>
        <x:v>550</x:v>
      </x:c>
      <x:c r="V208" s="113"/>
      <x:c r="W208" s="113" t="str">
        <x:f>IF(V208="","",V208-J208)</x:f>
      </x:c>
      <x:c r="X208" s="19"/>
      <x:c r="Y208" s="113" t="n">
        <x:f>IF(S208="","",J208-S208)</x:f>
        <x:v>-50</x:v>
      </x:c>
      <x:c r="Z208" s="19" t="str">
        <x:f>IF(AA208="IGEN",IF(J208&lt;S208,"GÉPIGÉNY + KRITIKUS: gépdíj nélkül is alacsony a plafon","GÉPIGÉNY: a saját egységár gépdíj nélkül értendő"),IF(J208&lt;S208,"KRITIKUS: alvállalkozói plafon &lt; saját terhelt egységköltség",IF(J208&lt;S208*Beallitasok!$B$6,"SZŰK TARTALÉK: 10% alatti tartalék","OK")))</x:f>
        <x:v>KRITIKUS: alvállalkozói plafon &lt; saját terhelt egységköltség</x:v>
      </x:c>
      <x:c r="AA208" s="19" t="str">
        <x:v>NEM</x:v>
      </x:c>
      <x:c r="AB208" s="19" t="str">
        <x:v>https://joszaki.hu/arak/homlokzati-hoszigeteles</x:v>
      </x:c>
      <x:c r="AC208" s="19" t="str">
        <x:v>2026 homlokzati piaci alsó sáv és részfolyamatokra bontás</x:v>
      </x:c>
      <x:c r="AD208" s="19" t="str">
        <x:v>Állvány bérleti napidíja külön; burkolóanyag és segédanyag nincs benne.</x:v>
      </x:c>
    </x:row>
    <x:row r="209">
      <x:c r="A209" s="19" t="str">
        <x:v>AR-0208</x:v>
      </x:c>
      <x:c r="B209" s="19" t="str">
        <x:v>10 Homlokzat</x:v>
      </x:c>
      <x:c r="C209" s="19" t="str">
        <x:v>Hőszigetelő rendszer és burkolatok</x:v>
      </x:c>
      <x:c r="D209" s="19" t="str">
        <x:v>Mindegyik</x:v>
      </x:c>
      <x:c r="E209" s="19" t="str">
        <x:v>Üvegszövet háló ágyazása alaprétegbe</x:v>
      </x:c>
      <x:c r="F209" s="19" t="str">
        <x:v>m²</x:v>
      </x:c>
      <x:c r="G209" s="113" t="n">
        <x:v>2600</x:v>
      </x:c>
      <x:c r="H209" s="113" t="n">
        <x:v>3900</x:v>
      </x:c>
      <x:c r="I209" s="114" t="n">
        <x:v>0.55</x:v>
      </x:c>
      <x:c r="J209" s="113" t="n">
        <x:f>ROUND(H209*I209/Beallitasok!$B$7,0)*Beallitasok!$B$7</x:f>
        <x:v>2150</x:v>
      </x:c>
      <x:c r="K209" s="19" t="n">
        <x:v>2</x:v>
      </x:c>
      <x:c r="L209" s="19" t="n">
        <x:v>2</x:v>
      </x:c>
      <x:c r="M209" s="113" t="n">
        <x:f>K209*Beallitasok!$B$2+L209*Beallitasok!$B$3</x:f>
        <x:v>120000</x:v>
      </x:c>
      <x:c r="N209" s="115" t="n">
        <x:v>58</x:v>
      </x:c>
      <x:c r="O209" s="113" t="n">
        <x:f>IFERROR(M209/N209,"")</x:f>
        <x:v>2068.9655172413795</x:v>
      </x:c>
      <x:c r="P209" s="116" t="n">
        <x:f>Beallitasok!$B$5</x:f>
        <x:v>1.15</x:v>
      </x:c>
      <x:c r="Q209" s="113" t="n">
        <x:f>IFERROR(ROUND(O209*P209/Beallitasok!$B$7,0)*Beallitasok!$B$7,"")</x:f>
        <x:v>2400</x:v>
      </x:c>
      <x:c r="R209" s="113"/>
      <x:c r="S209" s="113" t="n">
        <x:f>IF(Q209="","",Q209+IF(R209="",0,R209))</x:f>
        <x:v>2400</x:v>
      </x:c>
      <x:c r="T209" s="113" t="n">
        <x:f>M209*Beallitasok!$B$4</x:f>
        <x:v>600000</x:v>
      </x:c>
      <x:c r="U209" s="115" t="n">
        <x:f>N209*Beallitasok!$B$4</x:f>
        <x:v>290</x:v>
      </x:c>
      <x:c r="V209" s="113"/>
      <x:c r="W209" s="113" t="str">
        <x:f>IF(V209="","",V209-J209)</x:f>
      </x:c>
      <x:c r="X209" s="19"/>
      <x:c r="Y209" s="113" t="n">
        <x:f>IF(S209="","",J209-S209)</x:f>
        <x:v>-250</x:v>
      </x:c>
      <x:c r="Z209" s="19" t="str">
        <x:f>IF(AA209="IGEN",IF(J209&lt;S209,"GÉPIGÉNY + KRITIKUS: gépdíj nélkül is alacsony a plafon","GÉPIGÉNY: a saját egységár gépdíj nélkül értendő"),IF(J209&lt;S209,"KRITIKUS: alvállalkozói plafon &lt; saját terhelt egységköltség",IF(J209&lt;S209*Beallitasok!$B$6,"SZŰK TARTALÉK: 10% alatti tartalék","OK")))</x:f>
        <x:v>KRITIKUS: alvállalkozói plafon &lt; saját terhelt egységköltség</x:v>
      </x:c>
      <x:c r="AA209" s="19" t="str">
        <x:v>NEM</x:v>
      </x:c>
      <x:c r="AB209" s="19" t="str">
        <x:v>https://joszaki.hu/arak/homlokzati-hoszigeteles</x:v>
      </x:c>
      <x:c r="AC209" s="19" t="str">
        <x:v>2026 homlokzati piaci alsó sáv és részfolyamatokra bontás</x:v>
      </x:c>
      <x:c r="AD209" s="19" t="str">
        <x:v>Állvány bérleti napidíja külön; burkolóanyag és segédanyag nincs benne.</x:v>
      </x:c>
    </x:row>
    <x:row r="210">
      <x:c r="A210" s="19" t="str">
        <x:v>AR-0209</x:v>
      </x:c>
      <x:c r="B210" s="19" t="str">
        <x:v>10 Homlokzat</x:v>
      </x:c>
      <x:c r="C210" s="19" t="str">
        <x:v>Hőszigetelő rendszer és burkolatok</x:v>
      </x:c>
      <x:c r="D210" s="19" t="str">
        <x:v>Mindegyik</x:v>
      </x:c>
      <x:c r="E210" s="19" t="str">
        <x:v>Második kiegyenlítő glett homlokzaton</x:v>
      </x:c>
      <x:c r="F210" s="19" t="str">
        <x:v>m²</x:v>
      </x:c>
      <x:c r="G210" s="113" t="n">
        <x:v>1400</x:v>
      </x:c>
      <x:c r="H210" s="113" t="n">
        <x:v>2200</x:v>
      </x:c>
      <x:c r="I210" s="114" t="n">
        <x:v>0.55</x:v>
      </x:c>
      <x:c r="J210" s="113" t="n">
        <x:f>ROUND(H210*I210/Beallitasok!$B$7,0)*Beallitasok!$B$7</x:f>
        <x:v>1200</x:v>
      </x:c>
      <x:c r="K210" s="19" t="n">
        <x:v>2</x:v>
      </x:c>
      <x:c r="L210" s="19" t="n">
        <x:v>1</x:v>
      </x:c>
      <x:c r="M210" s="113" t="n">
        <x:f>K210*Beallitasok!$B$2+L210*Beallitasok!$B$3</x:f>
        <x:v>95000</x:v>
      </x:c>
      <x:c r="N210" s="115" t="n">
        <x:v>80</x:v>
      </x:c>
      <x:c r="O210" s="113" t="n">
        <x:f>IFERROR(M210/N210,"")</x:f>
        <x:v>1187.5</x:v>
      </x:c>
      <x:c r="P210" s="116" t="n">
        <x:f>Beallitasok!$B$5</x:f>
        <x:v>1.15</x:v>
      </x:c>
      <x:c r="Q210" s="113" t="n">
        <x:f>IFERROR(ROUND(O210*P210/Beallitasok!$B$7,0)*Beallitasok!$B$7,"")</x:f>
        <x:v>1350</x:v>
      </x:c>
      <x:c r="R210" s="113"/>
      <x:c r="S210" s="113" t="n">
        <x:f>IF(Q210="","",Q210+IF(R210="",0,R210))</x:f>
        <x:v>1350</x:v>
      </x:c>
      <x:c r="T210" s="113" t="n">
        <x:f>M210*Beallitasok!$B$4</x:f>
        <x:v>475000</x:v>
      </x:c>
      <x:c r="U210" s="115" t="n">
        <x:f>N210*Beallitasok!$B$4</x:f>
        <x:v>400</x:v>
      </x:c>
      <x:c r="V210" s="113"/>
      <x:c r="W210" s="113" t="str">
        <x:f>IF(V210="","",V210-J210)</x:f>
      </x:c>
      <x:c r="X210" s="19"/>
      <x:c r="Y210" s="113" t="n">
        <x:f>IF(S210="","",J210-S210)</x:f>
        <x:v>-150</x:v>
      </x:c>
      <x:c r="Z210" s="19" t="str">
        <x:f>IF(AA210="IGEN",IF(J210&lt;S210,"GÉPIGÉNY + KRITIKUS: gépdíj nélkül is alacsony a plafon","GÉPIGÉNY: a saját egységár gépdíj nélkül értendő"),IF(J210&lt;S210,"KRITIKUS: alvállalkozói plafon &lt; saját terhelt egységköltség",IF(J210&lt;S210*Beallitasok!$B$6,"SZŰK TARTALÉK: 10% alatti tartalék","OK")))</x:f>
        <x:v>KRITIKUS: alvállalkozói plafon &lt; saját terhelt egységköltség</x:v>
      </x:c>
      <x:c r="AA210" s="19" t="str">
        <x:v>NEM</x:v>
      </x:c>
      <x:c r="AB210" s="19" t="str">
        <x:v>https://joszaki.hu/arak/homlokzati-hoszigeteles</x:v>
      </x:c>
      <x:c r="AC210" s="19" t="str">
        <x:v>2026 homlokzati piaci alsó sáv és részfolyamatokra bontás</x:v>
      </x:c>
      <x:c r="AD210" s="19" t="str">
        <x:v>Állvány bérleti napidíja külön; burkolóanyag és segédanyag nincs benne.</x:v>
      </x:c>
    </x:row>
    <x:row r="211">
      <x:c r="A211" s="19" t="str">
        <x:v>AR-0210</x:v>
      </x:c>
      <x:c r="B211" s="19" t="str">
        <x:v>10 Homlokzat</x:v>
      </x:c>
      <x:c r="C211" s="19" t="str">
        <x:v>Hőszigetelő rendszer és burkolatok</x:v>
      </x:c>
      <x:c r="D211" s="19" t="str">
        <x:v>Mindegyik</x:v>
      </x:c>
      <x:c r="E211" s="19" t="str">
        <x:v>Vékonyvakolat alapozása</x:v>
      </x:c>
      <x:c r="F211" s="19" t="str">
        <x:v>m²</x:v>
      </x:c>
      <x:c r="G211" s="113" t="n">
        <x:v>450</x:v>
      </x:c>
      <x:c r="H211" s="113" t="n">
        <x:v>700</x:v>
      </x:c>
      <x:c r="I211" s="114" t="n">
        <x:v>0.55</x:v>
      </x:c>
      <x:c r="J211" s="113" t="n">
        <x:f>ROUND(H211*I211/Beallitasok!$B$7,0)*Beallitasok!$B$7</x:f>
        <x:v>400</x:v>
      </x:c>
      <x:c r="K211" s="19" t="n">
        <x:v>1</x:v>
      </x:c>
      <x:c r="L211" s="19" t="n">
        <x:v>1</x:v>
      </x:c>
      <x:c r="M211" s="113" t="n">
        <x:f>K211*Beallitasok!$B$2+L211*Beallitasok!$B$3</x:f>
        <x:v>60000</x:v>
      </x:c>
      <x:c r="N211" s="115" t="n">
        <x:v>220</x:v>
      </x:c>
      <x:c r="O211" s="113" t="n">
        <x:f>IFERROR(M211/N211,"")</x:f>
        <x:v>272.72727272727275</x:v>
      </x:c>
      <x:c r="P211" s="116" t="n">
        <x:f>Beallitasok!$B$5</x:f>
        <x:v>1.15</x:v>
      </x:c>
      <x:c r="Q211" s="113" t="n">
        <x:f>IFERROR(ROUND(O211*P211/Beallitasok!$B$7,0)*Beallitasok!$B$7,"")</x:f>
        <x:v>300</x:v>
      </x:c>
      <x:c r="R211" s="113"/>
      <x:c r="S211" s="113" t="n">
        <x:f>IF(Q211="","",Q211+IF(R211="",0,R211))</x:f>
        <x:v>300</x:v>
      </x:c>
      <x:c r="T211" s="113" t="n">
        <x:f>M211*Beallitasok!$B$4</x:f>
        <x:v>300000</x:v>
      </x:c>
      <x:c r="U211" s="115" t="n">
        <x:f>N211*Beallitasok!$B$4</x:f>
        <x:v>1100</x:v>
      </x:c>
      <x:c r="V211" s="113"/>
      <x:c r="W211" s="113" t="str">
        <x:f>IF(V211="","",V211-J211)</x:f>
      </x:c>
      <x:c r="X211" s="19"/>
      <x:c r="Y211" s="113" t="n">
        <x:f>IF(S211="","",J211-S211)</x:f>
        <x:v>100</x:v>
      </x:c>
      <x:c r="Z211" s="19" t="str">
        <x:f>IF(AA211="IGEN",IF(J211&lt;S211,"GÉPIGÉNY + KRITIKUS: gépdíj nélkül is alacsony a plafon","GÉPIGÉNY: a saját egységár gépdíj nélkül értendő"),IF(J211&lt;S211,"KRITIKUS: alvállalkozói plafon &lt; saját terhelt egységköltség",IF(J211&lt;S211*Beallitasok!$B$6,"SZŰK TARTALÉK: 10% alatti tartalék","OK")))</x:f>
        <x:v>OK</x:v>
      </x:c>
      <x:c r="AA211" s="19" t="str">
        <x:v>NEM</x:v>
      </x:c>
      <x:c r="AB211" s="19" t="str">
        <x:v>https://joszaki.hu/arak/homlokzati-hoszigeteles</x:v>
      </x:c>
      <x:c r="AC211" s="19" t="str">
        <x:v>2026 homlokzati piaci alsó sáv és részfolyamatokra bontás</x:v>
      </x:c>
      <x:c r="AD211" s="19" t="str">
        <x:v>Állvány bérleti napidíja külön; burkolóanyag és segédanyag nincs benne.</x:v>
      </x:c>
    </x:row>
    <x:row r="212">
      <x:c r="A212" s="19" t="str">
        <x:v>AR-0211</x:v>
      </x:c>
      <x:c r="B212" s="19" t="str">
        <x:v>10 Homlokzat</x:v>
      </x:c>
      <x:c r="C212" s="19" t="str">
        <x:v>Hőszigetelő rendszer és burkolatok</x:v>
      </x:c>
      <x:c r="D212" s="19" t="str">
        <x:v>Mindegyik</x:v>
      </x:c>
      <x:c r="E212" s="19" t="str">
        <x:v>Vékonyvakolat felhordása és dörzsölése</x:v>
      </x:c>
      <x:c r="F212" s="19" t="str">
        <x:v>m²</x:v>
      </x:c>
      <x:c r="G212" s="113" t="n">
        <x:v>2600</x:v>
      </x:c>
      <x:c r="H212" s="113" t="n">
        <x:v>3900</x:v>
      </x:c>
      <x:c r="I212" s="114" t="n">
        <x:v>0.55</x:v>
      </x:c>
      <x:c r="J212" s="113" t="n">
        <x:f>ROUND(H212*I212/Beallitasok!$B$7,0)*Beallitasok!$B$7</x:f>
        <x:v>2150</x:v>
      </x:c>
      <x:c r="K212" s="19" t="n">
        <x:v>3</x:v>
      </x:c>
      <x:c r="L212" s="19" t="n">
        <x:v>1</x:v>
      </x:c>
      <x:c r="M212" s="113" t="n">
        <x:f>K212*Beallitasok!$B$2+L212*Beallitasok!$B$3</x:f>
        <x:v>130000</x:v>
      </x:c>
      <x:c r="N212" s="115" t="n">
        <x:v>85</x:v>
      </x:c>
      <x:c r="O212" s="113" t="n">
        <x:f>IFERROR(M212/N212,"")</x:f>
        <x:v>1529.4117647058824</x:v>
      </x:c>
      <x:c r="P212" s="116" t="n">
        <x:f>Beallitasok!$B$5</x:f>
        <x:v>1.15</x:v>
      </x:c>
      <x:c r="Q212" s="113" t="n">
        <x:f>IFERROR(ROUND(O212*P212/Beallitasok!$B$7,0)*Beallitasok!$B$7,"")</x:f>
        <x:v>1750</x:v>
      </x:c>
      <x:c r="R212" s="113"/>
      <x:c r="S212" s="113" t="n">
        <x:f>IF(Q212="","",Q212+IF(R212="",0,R212))</x:f>
        <x:v>1750</x:v>
      </x:c>
      <x:c r="T212" s="113" t="n">
        <x:f>M212*Beallitasok!$B$4</x:f>
        <x:v>650000</x:v>
      </x:c>
      <x:c r="U212" s="115" t="n">
        <x:f>N212*Beallitasok!$B$4</x:f>
        <x:v>425</x:v>
      </x:c>
      <x:c r="V212" s="113"/>
      <x:c r="W212" s="113" t="str">
        <x:f>IF(V212="","",V212-J212)</x:f>
      </x:c>
      <x:c r="X212" s="19"/>
      <x:c r="Y212" s="113" t="n">
        <x:f>IF(S212="","",J212-S212)</x:f>
        <x:v>400</x:v>
      </x:c>
      <x:c r="Z212" s="19" t="str">
        <x:f>IF(AA212="IGEN",IF(J212&lt;S212,"GÉPIGÉNY + KRITIKUS: gépdíj nélkül is alacsony a plafon","GÉPIGÉNY: a saját egységár gépdíj nélkül értendő"),IF(J212&lt;S212,"KRITIKUS: alvállalkozói plafon &lt; saját terhelt egységköltség",IF(J212&lt;S212*Beallitasok!$B$6,"SZŰK TARTALÉK: 10% alatti tartalék","OK")))</x:f>
        <x:v>OK</x:v>
      </x:c>
      <x:c r="AA212" s="19" t="str">
        <x:v>NEM</x:v>
      </x:c>
      <x:c r="AB212" s="19" t="str">
        <x:v>https://joszaki.hu/arak/homlokzati-hoszigeteles</x:v>
      </x:c>
      <x:c r="AC212" s="19" t="str">
        <x:v>2026 homlokzati piaci alsó sáv és részfolyamatokra bontás</x:v>
      </x:c>
      <x:c r="AD212" s="19" t="str">
        <x:v>Állvány bérleti napidíja külön; burkolóanyag és segédanyag nincs benne.</x:v>
      </x:c>
    </x:row>
    <x:row r="213">
      <x:c r="A213" s="19" t="str">
        <x:v>AR-0212</x:v>
      </x:c>
      <x:c r="B213" s="19" t="str">
        <x:v>10 Homlokzat</x:v>
      </x:c>
      <x:c r="C213" s="19" t="str">
        <x:v>Hőszigetelő rendszer és burkolatok</x:v>
      </x:c>
      <x:c r="D213" s="19" t="str">
        <x:v>Mindegyik</x:v>
      </x:c>
      <x:c r="E213" s="19" t="str">
        <x:v>Lábazati XPS ragasztása és dübelezése</x:v>
      </x:c>
      <x:c r="F213" s="19" t="str">
        <x:v>m²</x:v>
      </x:c>
      <x:c r="G213" s="113" t="n">
        <x:v>4200</x:v>
      </x:c>
      <x:c r="H213" s="113" t="n">
        <x:v>6300</x:v>
      </x:c>
      <x:c r="I213" s="114" t="n">
        <x:v>0.55</x:v>
      </x:c>
      <x:c r="J213" s="113" t="n">
        <x:f>ROUND(H213*I213/Beallitasok!$B$7,0)*Beallitasok!$B$7</x:f>
        <x:v>3450</x:v>
      </x:c>
      <x:c r="K213" s="19" t="n">
        <x:v>2</x:v>
      </x:c>
      <x:c r="L213" s="19" t="n">
        <x:v>1</x:v>
      </x:c>
      <x:c r="M213" s="113" t="n">
        <x:f>K213*Beallitasok!$B$2+L213*Beallitasok!$B$3</x:f>
        <x:v>95000</x:v>
      </x:c>
      <x:c r="N213" s="115" t="n">
        <x:v>38</x:v>
      </x:c>
      <x:c r="O213" s="113" t="n">
        <x:f>IFERROR(M213/N213,"")</x:f>
        <x:v>2500</x:v>
      </x:c>
      <x:c r="P213" s="116" t="n">
        <x:f>Beallitasok!$B$5</x:f>
        <x:v>1.15</x:v>
      </x:c>
      <x:c r="Q213" s="113" t="n">
        <x:f>IFERROR(ROUND(O213*P213/Beallitasok!$B$7,0)*Beallitasok!$B$7,"")</x:f>
        <x:v>2900</x:v>
      </x:c>
      <x:c r="R213" s="113"/>
      <x:c r="S213" s="113" t="n">
        <x:f>IF(Q213="","",Q213+IF(R213="",0,R213))</x:f>
        <x:v>2900</x:v>
      </x:c>
      <x:c r="T213" s="113" t="n">
        <x:f>M213*Beallitasok!$B$4</x:f>
        <x:v>475000</x:v>
      </x:c>
      <x:c r="U213" s="115" t="n">
        <x:f>N213*Beallitasok!$B$4</x:f>
        <x:v>190</x:v>
      </x:c>
      <x:c r="V213" s="113"/>
      <x:c r="W213" s="113" t="str">
        <x:f>IF(V213="","",V213-J213)</x:f>
      </x:c>
      <x:c r="X213" s="19"/>
      <x:c r="Y213" s="113" t="n">
        <x:f>IF(S213="","",J213-S213)</x:f>
        <x:v>550</x:v>
      </x:c>
      <x:c r="Z213" s="19" t="str">
        <x:f>IF(AA213="IGEN",IF(J213&lt;S213,"GÉPIGÉNY + KRITIKUS: gépdíj nélkül is alacsony a plafon","GÉPIGÉNY: a saját egységár gépdíj nélkül értendő"),IF(J213&lt;S213,"KRITIKUS: alvállalkozói plafon &lt; saját terhelt egységköltség",IF(J213&lt;S213*Beallitasok!$B$6,"SZŰK TARTALÉK: 10% alatti tartalék","OK")))</x:f>
        <x:v>OK</x:v>
      </x:c>
      <x:c r="AA213" s="19" t="str">
        <x:v>NEM</x:v>
      </x:c>
      <x:c r="AB213" s="19" t="str">
        <x:v>https://joszaki.hu/arak/homlokzati-hoszigeteles</x:v>
      </x:c>
      <x:c r="AC213" s="19" t="str">
        <x:v>2026 homlokzati piaci alsó sáv és részfolyamatokra bontás</x:v>
      </x:c>
      <x:c r="AD213" s="19" t="str">
        <x:v>Állvány bérleti napidíja külön; burkolóanyag és segédanyag nincs benne.</x:v>
      </x:c>
    </x:row>
    <x:row r="214">
      <x:c r="A214" s="19" t="str">
        <x:v>AR-0213</x:v>
      </x:c>
      <x:c r="B214" s="19" t="str">
        <x:v>10 Homlokzat</x:v>
      </x:c>
      <x:c r="C214" s="19" t="str">
        <x:v>Hőszigetelő rendszer és burkolatok</x:v>
      </x:c>
      <x:c r="D214" s="19" t="str">
        <x:v>Mindegyik</x:v>
      </x:c>
      <x:c r="E214" s="19" t="str">
        <x:v>Mozaik lábazati vakolat készítése</x:v>
      </x:c>
      <x:c r="F214" s="19" t="str">
        <x:v>m²</x:v>
      </x:c>
      <x:c r="G214" s="113" t="n">
        <x:v>3200</x:v>
      </x:c>
      <x:c r="H214" s="113" t="n">
        <x:v>4800</x:v>
      </x:c>
      <x:c r="I214" s="114" t="n">
        <x:v>0.55</x:v>
      </x:c>
      <x:c r="J214" s="113" t="n">
        <x:f>ROUND(H214*I214/Beallitasok!$B$7,0)*Beallitasok!$B$7</x:f>
        <x:v>2650</x:v>
      </x:c>
      <x:c r="K214" s="19" t="n">
        <x:v>2</x:v>
      </x:c>
      <x:c r="L214" s="19" t="n">
        <x:v>1</x:v>
      </x:c>
      <x:c r="M214" s="113" t="n">
        <x:f>K214*Beallitasok!$B$2+L214*Beallitasok!$B$3</x:f>
        <x:v>95000</x:v>
      </x:c>
      <x:c r="N214" s="115" t="n">
        <x:v>35</x:v>
      </x:c>
      <x:c r="O214" s="113" t="n">
        <x:f>IFERROR(M214/N214,"")</x:f>
        <x:v>2714.285714285714</x:v>
      </x:c>
      <x:c r="P214" s="116" t="n">
        <x:f>Beallitasok!$B$5</x:f>
        <x:v>1.15</x:v>
      </x:c>
      <x:c r="Q214" s="113" t="n">
        <x:f>IFERROR(ROUND(O214*P214/Beallitasok!$B$7,0)*Beallitasok!$B$7,"")</x:f>
        <x:v>3100</x:v>
      </x:c>
      <x:c r="R214" s="113"/>
      <x:c r="S214" s="113" t="n">
        <x:f>IF(Q214="","",Q214+IF(R214="",0,R214))</x:f>
        <x:v>3100</x:v>
      </x:c>
      <x:c r="T214" s="113" t="n">
        <x:f>M214*Beallitasok!$B$4</x:f>
        <x:v>475000</x:v>
      </x:c>
      <x:c r="U214" s="115" t="n">
        <x:f>N214*Beallitasok!$B$4</x:f>
        <x:v>175</x:v>
      </x:c>
      <x:c r="V214" s="113"/>
      <x:c r="W214" s="113" t="str">
        <x:f>IF(V214="","",V214-J214)</x:f>
      </x:c>
      <x:c r="X214" s="19"/>
      <x:c r="Y214" s="113" t="n">
        <x:f>IF(S214="","",J214-S214)</x:f>
        <x:v>-450</x:v>
      </x:c>
      <x:c r="Z214" s="19" t="str">
        <x:f>IF(AA214="IGEN",IF(J214&lt;S214,"GÉPIGÉNY + KRITIKUS: gépdíj nélkül is alacsony a plafon","GÉPIGÉNY: a saját egységár gépdíj nélkül értendő"),IF(J214&lt;S214,"KRITIKUS: alvállalkozói plafon &lt; saját terhelt egységköltség",IF(J214&lt;S214*Beallitasok!$B$6,"SZŰK TARTALÉK: 10% alatti tartalék","OK")))</x:f>
        <x:v>KRITIKUS: alvállalkozói plafon &lt; saját terhelt egységköltség</x:v>
      </x:c>
      <x:c r="AA214" s="19" t="str">
        <x:v>NEM</x:v>
      </x:c>
      <x:c r="AB214" s="19" t="str">
        <x:v>https://joszaki.hu/arak/homlokzati-hoszigeteles</x:v>
      </x:c>
      <x:c r="AC214" s="19" t="str">
        <x:v>2026 homlokzati piaci alsó sáv és részfolyamatokra bontás</x:v>
      </x:c>
      <x:c r="AD214" s="19" t="str">
        <x:v>Állvány bérleti napidíja külön; burkolóanyag és segédanyag nincs benne.</x:v>
      </x:c>
    </x:row>
    <x:row r="215">
      <x:c r="A215" s="19" t="str">
        <x:v>AR-0214</x:v>
      </x:c>
      <x:c r="B215" s="19" t="str">
        <x:v>10 Homlokzat</x:v>
      </x:c>
      <x:c r="C215" s="19" t="str">
        <x:v>Hőszigetelő rendszer és burkolatok</x:v>
      </x:c>
      <x:c r="D215" s="19" t="str">
        <x:v>Mindegyik</x:v>
      </x:c>
      <x:c r="E215" s="19" t="str">
        <x:v>Élvédő profil beépítése homlokzaton</x:v>
      </x:c>
      <x:c r="F215" s="19" t="str">
        <x:v>fm</x:v>
      </x:c>
      <x:c r="G215" s="113" t="n">
        <x:v>900</x:v>
      </x:c>
      <x:c r="H215" s="113" t="n">
        <x:v>1400</x:v>
      </x:c>
      <x:c r="I215" s="114" t="n">
        <x:v>0.55</x:v>
      </x:c>
      <x:c r="J215" s="113" t="n">
        <x:f>ROUND(H215*I215/Beallitasok!$B$7,0)*Beallitasok!$B$7</x:f>
        <x:v>750</x:v>
      </x:c>
      <x:c r="K215" s="19" t="n">
        <x:v>1</x:v>
      </x:c>
      <x:c r="L215" s="19" t="n">
        <x:v>1</x:v>
      </x:c>
      <x:c r="M215" s="113" t="n">
        <x:f>K215*Beallitasok!$B$2+L215*Beallitasok!$B$3</x:f>
        <x:v>60000</x:v>
      </x:c>
      <x:c r="N215" s="115" t="n">
        <x:v>90</x:v>
      </x:c>
      <x:c r="O215" s="113" t="n">
        <x:f>IFERROR(M215/N215,"")</x:f>
        <x:v>666.6666666666666</x:v>
      </x:c>
      <x:c r="P215" s="116" t="n">
        <x:f>Beallitasok!$B$5</x:f>
        <x:v>1.15</x:v>
      </x:c>
      <x:c r="Q215" s="113" t="n">
        <x:f>IFERROR(ROUND(O215*P215/Beallitasok!$B$7,0)*Beallitasok!$B$7,"")</x:f>
        <x:v>750</x:v>
      </x:c>
      <x:c r="R215" s="113"/>
      <x:c r="S215" s="113" t="n">
        <x:f>IF(Q215="","",Q215+IF(R215="",0,R215))</x:f>
        <x:v>750</x:v>
      </x:c>
      <x:c r="T215" s="113" t="n">
        <x:f>M215*Beallitasok!$B$4</x:f>
        <x:v>300000</x:v>
      </x:c>
      <x:c r="U215" s="115" t="n">
        <x:f>N215*Beallitasok!$B$4</x:f>
        <x:v>450</x:v>
      </x:c>
      <x:c r="V215" s="113"/>
      <x:c r="W215" s="113" t="str">
        <x:f>IF(V215="","",V215-J215)</x:f>
      </x:c>
      <x:c r="X215" s="19"/>
      <x:c r="Y215" s="113" t="n">
        <x:f>IF(S215="","",J215-S215)</x:f>
        <x:v>0</x:v>
      </x:c>
      <x:c r="Z215" s="19" t="str">
        <x:f>IF(AA215="IGEN",IF(J215&lt;S215,"GÉPIGÉNY + KRITIKUS: gépdíj nélkül is alacsony a plafon","GÉPIGÉNY: a saját egységár gépdíj nélkül értendő"),IF(J215&lt;S215,"KRITIKUS: alvállalkozói plafon &lt; saját terhelt egységköltség",IF(J215&lt;S215*Beallitasok!$B$6,"SZŰK TARTALÉK: 10% alatti tartalék","OK")))</x:f>
        <x:v>SZŰK TARTALÉK: 10% alatti tartalék</x:v>
      </x:c>
      <x:c r="AA215" s="19" t="str">
        <x:v>NEM</x:v>
      </x:c>
      <x:c r="AB215" s="19" t="str">
        <x:v>https://joszaki.hu/arak/homlokzati-hoszigeteles</x:v>
      </x:c>
      <x:c r="AC215" s="19" t="str">
        <x:v>2026 homlokzati piaci alsó sáv és részfolyamatokra bontás</x:v>
      </x:c>
      <x:c r="AD215" s="19" t="str">
        <x:v>Állvány bérleti napidíja külön; burkolóanyag és segédanyag nincs benne.</x:v>
      </x:c>
    </x:row>
    <x:row r="216">
      <x:c r="A216" s="19" t="str">
        <x:v>AR-0215</x:v>
      </x:c>
      <x:c r="B216" s="19" t="str">
        <x:v>10 Homlokzat</x:v>
      </x:c>
      <x:c r="C216" s="19" t="str">
        <x:v>Hőszigetelő rendszer és burkolatok</x:v>
      </x:c>
      <x:c r="D216" s="19" t="str">
        <x:v>Mindegyik</x:v>
      </x:c>
      <x:c r="E216" s="19" t="str">
        <x:v>Ablakkáva hőszigetelése és hálózása</x:v>
      </x:c>
      <x:c r="F216" s="19" t="str">
        <x:v>fm</x:v>
      </x:c>
      <x:c r="G216" s="113" t="n">
        <x:v>2400</x:v>
      </x:c>
      <x:c r="H216" s="113" t="n">
        <x:v>3600</x:v>
      </x:c>
      <x:c r="I216" s="114" t="n">
        <x:v>0.55</x:v>
      </x:c>
      <x:c r="J216" s="113" t="n">
        <x:f>ROUND(H216*I216/Beallitasok!$B$7,0)*Beallitasok!$B$7</x:f>
        <x:v>2000</x:v>
      </x:c>
      <x:c r="K216" s="19" t="n">
        <x:v>2</x:v>
      </x:c>
      <x:c r="L216" s="19" t="n">
        <x:v>1</x:v>
      </x:c>
      <x:c r="M216" s="113" t="n">
        <x:f>K216*Beallitasok!$B$2+L216*Beallitasok!$B$3</x:f>
        <x:v>95000</x:v>
      </x:c>
      <x:c r="N216" s="115" t="n">
        <x:v>38</x:v>
      </x:c>
      <x:c r="O216" s="113" t="n">
        <x:f>IFERROR(M216/N216,"")</x:f>
        <x:v>2500</x:v>
      </x:c>
      <x:c r="P216" s="116" t="n">
        <x:f>Beallitasok!$B$5</x:f>
        <x:v>1.15</x:v>
      </x:c>
      <x:c r="Q216" s="113" t="n">
        <x:f>IFERROR(ROUND(O216*P216/Beallitasok!$B$7,0)*Beallitasok!$B$7,"")</x:f>
        <x:v>2900</x:v>
      </x:c>
      <x:c r="R216" s="113"/>
      <x:c r="S216" s="113" t="n">
        <x:f>IF(Q216="","",Q216+IF(R216="",0,R216))</x:f>
        <x:v>2900</x:v>
      </x:c>
      <x:c r="T216" s="113" t="n">
        <x:f>M216*Beallitasok!$B$4</x:f>
        <x:v>475000</x:v>
      </x:c>
      <x:c r="U216" s="115" t="n">
        <x:f>N216*Beallitasok!$B$4</x:f>
        <x:v>190</x:v>
      </x:c>
      <x:c r="V216" s="113"/>
      <x:c r="W216" s="113" t="str">
        <x:f>IF(V216="","",V216-J216)</x:f>
      </x:c>
      <x:c r="X216" s="19"/>
      <x:c r="Y216" s="113" t="n">
        <x:f>IF(S216="","",J216-S216)</x:f>
        <x:v>-900</x:v>
      </x:c>
      <x:c r="Z216" s="19" t="str">
        <x:f>IF(AA216="IGEN",IF(J216&lt;S216,"GÉPIGÉNY + KRITIKUS: gépdíj nélkül is alacsony a plafon","GÉPIGÉNY: a saját egységár gépdíj nélkül értendő"),IF(J216&lt;S216,"KRITIKUS: alvállalkozói plafon &lt; saját terhelt egységköltség",IF(J216&lt;S216*Beallitasok!$B$6,"SZŰK TARTALÉK: 10% alatti tartalék","OK")))</x:f>
        <x:v>KRITIKUS: alvállalkozói plafon &lt; saját terhelt egységköltség</x:v>
      </x:c>
      <x:c r="AA216" s="19" t="str">
        <x:v>NEM</x:v>
      </x:c>
      <x:c r="AB216" s="19" t="str">
        <x:v>https://joszaki.hu/arak/homlokzati-hoszigeteles</x:v>
      </x:c>
      <x:c r="AC216" s="19" t="str">
        <x:v>2026 homlokzati piaci alsó sáv és részfolyamatokra bontás</x:v>
      </x:c>
      <x:c r="AD216" s="19" t="str">
        <x:v>Állvány bérleti napidíja külön; burkolóanyag és segédanyag nincs benne.</x:v>
      </x:c>
    </x:row>
    <x:row r="217">
      <x:c r="A217" s="19" t="str">
        <x:v>AR-0216</x:v>
      </x:c>
      <x:c r="B217" s="19" t="str">
        <x:v>10 Homlokzat</x:v>
      </x:c>
      <x:c r="C217" s="19" t="str">
        <x:v>Hőszigetelő rendszer és burkolatok</x:v>
      </x:c>
      <x:c r="D217" s="19" t="str">
        <x:v>Mindegyik</x:v>
      </x:c>
      <x:c r="E217" s="19" t="str">
        <x:v>Indítóprofil elhelyezése</x:v>
      </x:c>
      <x:c r="F217" s="19" t="str">
        <x:v>fm</x:v>
      </x:c>
      <x:c r="G217" s="113" t="n">
        <x:v>900</x:v>
      </x:c>
      <x:c r="H217" s="113" t="n">
        <x:v>1400</x:v>
      </x:c>
      <x:c r="I217" s="114" t="n">
        <x:v>0.55</x:v>
      </x:c>
      <x:c r="J217" s="113" t="n">
        <x:f>ROUND(H217*I217/Beallitasok!$B$7,0)*Beallitasok!$B$7</x:f>
        <x:v>750</x:v>
      </x:c>
      <x:c r="K217" s="19" t="n">
        <x:v>2</x:v>
      </x:c>
      <x:c r="L217" s="19" t="n">
        <x:v>1</x:v>
      </x:c>
      <x:c r="M217" s="113" t="n">
        <x:f>K217*Beallitasok!$B$2+L217*Beallitasok!$B$3</x:f>
        <x:v>95000</x:v>
      </x:c>
      <x:c r="N217" s="115" t="n">
        <x:v>80</x:v>
      </x:c>
      <x:c r="O217" s="113" t="n">
        <x:f>IFERROR(M217/N217,"")</x:f>
        <x:v>1187.5</x:v>
      </x:c>
      <x:c r="P217" s="116" t="n">
        <x:f>Beallitasok!$B$5</x:f>
        <x:v>1.15</x:v>
      </x:c>
      <x:c r="Q217" s="113" t="n">
        <x:f>IFERROR(ROUND(O217*P217/Beallitasok!$B$7,0)*Beallitasok!$B$7,"")</x:f>
        <x:v>1350</x:v>
      </x:c>
      <x:c r="R217" s="113"/>
      <x:c r="S217" s="113" t="n">
        <x:f>IF(Q217="","",Q217+IF(R217="",0,R217))</x:f>
        <x:v>1350</x:v>
      </x:c>
      <x:c r="T217" s="113" t="n">
        <x:f>M217*Beallitasok!$B$4</x:f>
        <x:v>475000</x:v>
      </x:c>
      <x:c r="U217" s="115" t="n">
        <x:f>N217*Beallitasok!$B$4</x:f>
        <x:v>400</x:v>
      </x:c>
      <x:c r="V217" s="113"/>
      <x:c r="W217" s="113" t="str">
        <x:f>IF(V217="","",V217-J217)</x:f>
      </x:c>
      <x:c r="X217" s="19"/>
      <x:c r="Y217" s="113" t="n">
        <x:f>IF(S217="","",J217-S217)</x:f>
        <x:v>-600</x:v>
      </x:c>
      <x:c r="Z217" s="19" t="str">
        <x:f>IF(AA217="IGEN",IF(J217&lt;S217,"GÉPIGÉNY + KRITIKUS: gépdíj nélkül is alacsony a plafon","GÉPIGÉNY: a saját egységár gépdíj nélkül értendő"),IF(J217&lt;S217,"KRITIKUS: alvállalkozói plafon &lt; saját terhelt egységköltség",IF(J217&lt;S217*Beallitasok!$B$6,"SZŰK TARTALÉK: 10% alatti tartalék","OK")))</x:f>
        <x:v>KRITIKUS: alvállalkozói plafon &lt; saját terhelt egységköltség</x:v>
      </x:c>
      <x:c r="AA217" s="19" t="str">
        <x:v>NEM</x:v>
      </x:c>
      <x:c r="AB217" s="19" t="str">
        <x:v>https://joszaki.hu/arak/homlokzati-hoszigeteles</x:v>
      </x:c>
      <x:c r="AC217" s="19" t="str">
        <x:v>2026 homlokzati piaci alsó sáv és részfolyamatokra bontás</x:v>
      </x:c>
      <x:c r="AD217" s="19" t="str">
        <x:v>Állvány bérleti napidíja külön; burkolóanyag és segédanyag nincs benne.</x:v>
      </x:c>
    </x:row>
    <x:row r="218">
      <x:c r="A218" s="19" t="str">
        <x:v>AR-0217</x:v>
      </x:c>
      <x:c r="B218" s="19" t="str">
        <x:v>10 Homlokzat</x:v>
      </x:c>
      <x:c r="C218" s="19" t="str">
        <x:v>Hőszigetelő rendszer és burkolatok</x:v>
      </x:c>
      <x:c r="D218" s="19" t="str">
        <x:v>Mindegyik</x:v>
      </x:c>
      <x:c r="E218" s="19" t="str">
        <x:v>Tűzvédelmi kőzetgyapot sáv kialakítása</x:v>
      </x:c>
      <x:c r="F218" s="19" t="str">
        <x:v>fm</x:v>
      </x:c>
      <x:c r="G218" s="113" t="n">
        <x:v>3200</x:v>
      </x:c>
      <x:c r="H218" s="113" t="n">
        <x:v>4800</x:v>
      </x:c>
      <x:c r="I218" s="114" t="n">
        <x:v>0.55</x:v>
      </x:c>
      <x:c r="J218" s="113" t="n">
        <x:f>ROUND(H218*I218/Beallitasok!$B$7,0)*Beallitasok!$B$7</x:f>
        <x:v>2650</x:v>
      </x:c>
      <x:c r="K218" s="19" t="n">
        <x:v>2</x:v>
      </x:c>
      <x:c r="L218" s="19" t="n">
        <x:v>1</x:v>
      </x:c>
      <x:c r="M218" s="113" t="n">
        <x:f>K218*Beallitasok!$B$2+L218*Beallitasok!$B$3</x:f>
        <x:v>95000</x:v>
      </x:c>
      <x:c r="N218" s="115" t="n">
        <x:v>32</x:v>
      </x:c>
      <x:c r="O218" s="113" t="n">
        <x:f>IFERROR(M218/N218,"")</x:f>
        <x:v>2968.75</x:v>
      </x:c>
      <x:c r="P218" s="116" t="n">
        <x:f>Beallitasok!$B$5</x:f>
        <x:v>1.15</x:v>
      </x:c>
      <x:c r="Q218" s="113" t="n">
        <x:f>IFERROR(ROUND(O218*P218/Beallitasok!$B$7,0)*Beallitasok!$B$7,"")</x:f>
        <x:v>3400</x:v>
      </x:c>
      <x:c r="R218" s="113"/>
      <x:c r="S218" s="113" t="n">
        <x:f>IF(Q218="","",Q218+IF(R218="",0,R218))</x:f>
        <x:v>3400</x:v>
      </x:c>
      <x:c r="T218" s="113" t="n">
        <x:f>M218*Beallitasok!$B$4</x:f>
        <x:v>475000</x:v>
      </x:c>
      <x:c r="U218" s="115" t="n">
        <x:f>N218*Beallitasok!$B$4</x:f>
        <x:v>160</x:v>
      </x:c>
      <x:c r="V218" s="113"/>
      <x:c r="W218" s="113" t="str">
        <x:f>IF(V218="","",V218-J218)</x:f>
      </x:c>
      <x:c r="X218" s="19"/>
      <x:c r="Y218" s="113" t="n">
        <x:f>IF(S218="","",J218-S218)</x:f>
        <x:v>-750</x:v>
      </x:c>
      <x:c r="Z218" s="19" t="str">
        <x:f>IF(AA218="IGEN",IF(J218&lt;S218,"GÉPIGÉNY + KRITIKUS: gépdíj nélkül is alacsony a plafon","GÉPIGÉNY: a saját egységár gépdíj nélkül értendő"),IF(J218&lt;S218,"KRITIKUS: alvállalkozói plafon &lt; saját terhelt egységköltség",IF(J218&lt;S218*Beallitasok!$B$6,"SZŰK TARTALÉK: 10% alatti tartalék","OK")))</x:f>
        <x:v>KRITIKUS: alvállalkozói plafon &lt; saját terhelt egységköltség</x:v>
      </x:c>
      <x:c r="AA218" s="19" t="str">
        <x:v>NEM</x:v>
      </x:c>
      <x:c r="AB218" s="19" t="str">
        <x:v>https://joszaki.hu/arak/homlokzati-hoszigeteles</x:v>
      </x:c>
      <x:c r="AC218" s="19" t="str">
        <x:v>2026 homlokzati piaci alsó sáv és részfolyamatokra bontás</x:v>
      </x:c>
      <x:c r="AD218" s="19" t="str">
        <x:v>Állvány bérleti napidíja külön; burkolóanyag és segédanyag nincs benne.</x:v>
      </x:c>
    </x:row>
    <x:row r="219">
      <x:c r="A219" s="19" t="str">
        <x:v>AR-0218</x:v>
      </x:c>
      <x:c r="B219" s="19" t="str">
        <x:v>10 Homlokzat</x:v>
      </x:c>
      <x:c r="C219" s="19" t="str">
        <x:v>Hőszigetelő rendszer és burkolatok</x:v>
      </x:c>
      <x:c r="D219" s="19" t="str">
        <x:v>Mindegyik</x:v>
      </x:c>
      <x:c r="E219" s="19" t="str">
        <x:v>Szellőztetett homlokzat tartóváz szerelése</x:v>
      </x:c>
      <x:c r="F219" s="19" t="str">
        <x:v>m²</x:v>
      </x:c>
      <x:c r="G219" s="113" t="n">
        <x:v>6500</x:v>
      </x:c>
      <x:c r="H219" s="113" t="n">
        <x:v>9500</x:v>
      </x:c>
      <x:c r="I219" s="114" t="n">
        <x:v>0.6</x:v>
      </x:c>
      <x:c r="J219" s="113" t="n">
        <x:f>ROUND(H219*I219/Beallitasok!$B$7,0)*Beallitasok!$B$7</x:f>
        <x:v>5700</x:v>
      </x:c>
      <x:c r="K219" s="19" t="n">
        <x:v>2</x:v>
      </x:c>
      <x:c r="L219" s="19" t="n">
        <x:v>1</x:v>
      </x:c>
      <x:c r="M219" s="113" t="n">
        <x:f>K219*Beallitasok!$B$2+L219*Beallitasok!$B$3</x:f>
        <x:v>95000</x:v>
      </x:c>
      <x:c r="N219" s="115" t="n">
        <x:v>25</x:v>
      </x:c>
      <x:c r="O219" s="113" t="n">
        <x:f>IFERROR(M219/N219,"")</x:f>
        <x:v>3800</x:v>
      </x:c>
      <x:c r="P219" s="116" t="n">
        <x:f>Beallitasok!$B$5</x:f>
        <x:v>1.15</x:v>
      </x:c>
      <x:c r="Q219" s="113" t="n">
        <x:f>IFERROR(ROUND(O219*P219/Beallitasok!$B$7,0)*Beallitasok!$B$7,"")</x:f>
        <x:v>4350</x:v>
      </x:c>
      <x:c r="R219" s="113"/>
      <x:c r="S219" s="113" t="n">
        <x:f>IF(Q219="","",Q219+IF(R219="",0,R219))</x:f>
        <x:v>4350</x:v>
      </x:c>
      <x:c r="T219" s="113" t="n">
        <x:f>M219*Beallitasok!$B$4</x:f>
        <x:v>475000</x:v>
      </x:c>
      <x:c r="U219" s="115" t="n">
        <x:f>N219*Beallitasok!$B$4</x:f>
        <x:v>125</x:v>
      </x:c>
      <x:c r="V219" s="113"/>
      <x:c r="W219" s="113" t="str">
        <x:f>IF(V219="","",V219-J219)</x:f>
      </x:c>
      <x:c r="X219" s="19"/>
      <x:c r="Y219" s="113" t="n">
        <x:f>IF(S219="","",J219-S219)</x:f>
        <x:v>1350</x:v>
      </x:c>
      <x:c r="Z219" s="19" t="str">
        <x:f>IF(AA219="IGEN",IF(J219&lt;S219,"GÉPIGÉNY + KRITIKUS: gépdíj nélkül is alacsony a plafon","GÉPIGÉNY: a saját egységár gépdíj nélkül értendő"),IF(J219&lt;S219,"KRITIKUS: alvállalkozói plafon &lt; saját terhelt egységköltség",IF(J219&lt;S219*Beallitasok!$B$6,"SZŰK TARTALÉK: 10% alatti tartalék","OK")))</x:f>
        <x:v>OK</x:v>
      </x:c>
      <x:c r="AA219" s="19" t="str">
        <x:v>NEM</x:v>
      </x:c>
      <x:c r="AB219" s="19" t="str">
        <x:v>https://joszaki.hu/arak/homlokzati-hoszigeteles</x:v>
      </x:c>
      <x:c r="AC219" s="19" t="str">
        <x:v>2026 homlokzati piaci alsó sáv és részfolyamatokra bontás</x:v>
      </x:c>
      <x:c r="AD219" s="19" t="str">
        <x:v>Állvány bérleti napidíja külön; burkolóanyag és segédanyag nincs benne.</x:v>
      </x:c>
    </x:row>
    <x:row r="220">
      <x:c r="A220" s="19" t="str">
        <x:v>AR-0219</x:v>
      </x:c>
      <x:c r="B220" s="19" t="str">
        <x:v>10 Homlokzat</x:v>
      </x:c>
      <x:c r="C220" s="19" t="str">
        <x:v>Hőszigetelő rendszer és burkolatok</x:v>
      </x:c>
      <x:c r="D220" s="19" t="str">
        <x:v>Mindegyik</x:v>
      </x:c>
      <x:c r="E220" s="19" t="str">
        <x:v>Fa homlokzatburkolat szerelése</x:v>
      </x:c>
      <x:c r="F220" s="19" t="str">
        <x:v>m²</x:v>
      </x:c>
      <x:c r="G220" s="113" t="n">
        <x:v>5500</x:v>
      </x:c>
      <x:c r="H220" s="113" t="n">
        <x:v>8200</x:v>
      </x:c>
      <x:c r="I220" s="114" t="n">
        <x:v>0.6</x:v>
      </x:c>
      <x:c r="J220" s="113" t="n">
        <x:f>ROUND(H220*I220/Beallitasok!$B$7,0)*Beallitasok!$B$7</x:f>
        <x:v>4900</x:v>
      </x:c>
      <x:c r="K220" s="19" t="n">
        <x:v>2</x:v>
      </x:c>
      <x:c r="L220" s="19" t="n">
        <x:v>1</x:v>
      </x:c>
      <x:c r="M220" s="113" t="n">
        <x:f>K220*Beallitasok!$B$2+L220*Beallitasok!$B$3</x:f>
        <x:v>95000</x:v>
      </x:c>
      <x:c r="N220" s="115" t="n">
        <x:v>28</x:v>
      </x:c>
      <x:c r="O220" s="113" t="n">
        <x:f>IFERROR(M220/N220,"")</x:f>
        <x:v>3392.8571428571427</x:v>
      </x:c>
      <x:c r="P220" s="116" t="n">
        <x:f>Beallitasok!$B$5</x:f>
        <x:v>1.15</x:v>
      </x:c>
      <x:c r="Q220" s="113" t="n">
        <x:f>IFERROR(ROUND(O220*P220/Beallitasok!$B$7,0)*Beallitasok!$B$7,"")</x:f>
        <x:v>3900</x:v>
      </x:c>
      <x:c r="R220" s="113"/>
      <x:c r="S220" s="113" t="n">
        <x:f>IF(Q220="","",Q220+IF(R220="",0,R220))</x:f>
        <x:v>3900</x:v>
      </x:c>
      <x:c r="T220" s="113" t="n">
        <x:f>M220*Beallitasok!$B$4</x:f>
        <x:v>475000</x:v>
      </x:c>
      <x:c r="U220" s="115" t="n">
        <x:f>N220*Beallitasok!$B$4</x:f>
        <x:v>140</x:v>
      </x:c>
      <x:c r="V220" s="113"/>
      <x:c r="W220" s="113" t="str">
        <x:f>IF(V220="","",V220-J220)</x:f>
      </x:c>
      <x:c r="X220" s="19"/>
      <x:c r="Y220" s="113" t="n">
        <x:f>IF(S220="","",J220-S220)</x:f>
        <x:v>1000</x:v>
      </x:c>
      <x:c r="Z220" s="19" t="str">
        <x:f>IF(AA220="IGEN",IF(J220&lt;S220,"GÉPIGÉNY + KRITIKUS: gépdíj nélkül is alacsony a plafon","GÉPIGÉNY: a saját egységár gépdíj nélkül értendő"),IF(J220&lt;S220,"KRITIKUS: alvállalkozói plafon &lt; saját terhelt egységköltség",IF(J220&lt;S220*Beallitasok!$B$6,"SZŰK TARTALÉK: 10% alatti tartalék","OK")))</x:f>
        <x:v>OK</x:v>
      </x:c>
      <x:c r="AA220" s="19" t="str">
        <x:v>NEM</x:v>
      </x:c>
      <x:c r="AB220" s="19" t="str">
        <x:v>https://joszaki.hu/arak/homlokzati-hoszigeteles</x:v>
      </x:c>
      <x:c r="AC220" s="19" t="str">
        <x:v>2026 homlokzati piaci alsó sáv és részfolyamatokra bontás</x:v>
      </x:c>
      <x:c r="AD220" s="19" t="str">
        <x:v>Állvány bérleti napidíja külön; burkolóanyag és segédanyag nincs benne.</x:v>
      </x:c>
    </x:row>
    <x:row r="221">
      <x:c r="A221" s="19" t="str">
        <x:v>AR-0220</x:v>
      </x:c>
      <x:c r="B221" s="19" t="str">
        <x:v>10 Homlokzat</x:v>
      </x:c>
      <x:c r="C221" s="19" t="str">
        <x:v>Hőszigetelő rendszer és burkolatok</x:v>
      </x:c>
      <x:c r="D221" s="19" t="str">
        <x:v>Mindegyik</x:v>
      </x:c>
      <x:c r="E221" s="19" t="str">
        <x:v>Szálcement homlokzatburkolat szerelése</x:v>
      </x:c>
      <x:c r="F221" s="19" t="str">
        <x:v>m²</x:v>
      </x:c>
      <x:c r="G221" s="113" t="n">
        <x:v>7000</x:v>
      </x:c>
      <x:c r="H221" s="113" t="n">
        <x:v>10500</x:v>
      </x:c>
      <x:c r="I221" s="114" t="n">
        <x:v>0.6</x:v>
      </x:c>
      <x:c r="J221" s="113" t="n">
        <x:f>ROUND(H221*I221/Beallitasok!$B$7,0)*Beallitasok!$B$7</x:f>
        <x:v>6300</x:v>
      </x:c>
      <x:c r="K221" s="19" t="n">
        <x:v>2</x:v>
      </x:c>
      <x:c r="L221" s="19" t="n">
        <x:v>1</x:v>
      </x:c>
      <x:c r="M221" s="113" t="n">
        <x:f>K221*Beallitasok!$B$2+L221*Beallitasok!$B$3</x:f>
        <x:v>95000</x:v>
      </x:c>
      <x:c r="N221" s="115" t="n">
        <x:v>22</x:v>
      </x:c>
      <x:c r="O221" s="113" t="n">
        <x:f>IFERROR(M221/N221,"")</x:f>
        <x:v>4318.181818181818</x:v>
      </x:c>
      <x:c r="P221" s="116" t="n">
        <x:f>Beallitasok!$B$5</x:f>
        <x:v>1.15</x:v>
      </x:c>
      <x:c r="Q221" s="113" t="n">
        <x:f>IFERROR(ROUND(O221*P221/Beallitasok!$B$7,0)*Beallitasok!$B$7,"")</x:f>
        <x:v>4950</x:v>
      </x:c>
      <x:c r="R221" s="113"/>
      <x:c r="S221" s="113" t="n">
        <x:f>IF(Q221="","",Q221+IF(R221="",0,R221))</x:f>
        <x:v>4950</x:v>
      </x:c>
      <x:c r="T221" s="113" t="n">
        <x:f>M221*Beallitasok!$B$4</x:f>
        <x:v>475000</x:v>
      </x:c>
      <x:c r="U221" s="115" t="n">
        <x:f>N221*Beallitasok!$B$4</x:f>
        <x:v>110</x:v>
      </x:c>
      <x:c r="V221" s="113"/>
      <x:c r="W221" s="113" t="str">
        <x:f>IF(V221="","",V221-J221)</x:f>
      </x:c>
      <x:c r="X221" s="19"/>
      <x:c r="Y221" s="113" t="n">
        <x:f>IF(S221="","",J221-S221)</x:f>
        <x:v>1350</x:v>
      </x:c>
      <x:c r="Z221" s="19" t="str">
        <x:f>IF(AA221="IGEN",IF(J221&lt;S221,"GÉPIGÉNY + KRITIKUS: gépdíj nélkül is alacsony a plafon","GÉPIGÉNY: a saját egységár gépdíj nélkül értendő"),IF(J221&lt;S221,"KRITIKUS: alvállalkozói plafon &lt; saját terhelt egységköltség",IF(J221&lt;S221*Beallitasok!$B$6,"SZŰK TARTALÉK: 10% alatti tartalék","OK")))</x:f>
        <x:v>OK</x:v>
      </x:c>
      <x:c r="AA221" s="19" t="str">
        <x:v>NEM</x:v>
      </x:c>
      <x:c r="AB221" s="19" t="str">
        <x:v>https://joszaki.hu/arak/homlokzati-hoszigeteles</x:v>
      </x:c>
      <x:c r="AC221" s="19" t="str">
        <x:v>2026 homlokzati piaci alsó sáv és részfolyamatokra bontás</x:v>
      </x:c>
      <x:c r="AD221" s="19" t="str">
        <x:v>Állvány bérleti napidíja külön; burkolóanyag és segédanyag nincs benne.</x:v>
      </x:c>
    </x:row>
    <x:row r="222">
      <x:c r="A222" s="19" t="str">
        <x:v>AR-0221</x:v>
      </x:c>
      <x:c r="B222" s="19" t="str">
        <x:v>10 Homlokzat</x:v>
      </x:c>
      <x:c r="C222" s="19" t="str">
        <x:v>Hőszigetelő rendszer és burkolatok</x:v>
      </x:c>
      <x:c r="D222" s="19" t="str">
        <x:v>Mindegyik</x:v>
      </x:c>
      <x:c r="E222" s="19" t="str">
        <x:v>Klinkertégla homlokzatburkolat falazása</x:v>
      </x:c>
      <x:c r="F222" s="19" t="str">
        <x:v>m²</x:v>
      </x:c>
      <x:c r="G222" s="113" t="n">
        <x:v>11000</x:v>
      </x:c>
      <x:c r="H222" s="113" t="n">
        <x:v>16000</x:v>
      </x:c>
      <x:c r="I222" s="114" t="n">
        <x:v>0.6</x:v>
      </x:c>
      <x:c r="J222" s="113" t="n">
        <x:f>ROUND(H222*I222/Beallitasok!$B$7,0)*Beallitasok!$B$7</x:f>
        <x:v>9600</x:v>
      </x:c>
      <x:c r="K222" s="19" t="n">
        <x:v>2</x:v>
      </x:c>
      <x:c r="L222" s="19" t="n">
        <x:v>1</x:v>
      </x:c>
      <x:c r="M222" s="113" t="n">
        <x:f>K222*Beallitasok!$B$2+L222*Beallitasok!$B$3</x:f>
        <x:v>95000</x:v>
      </x:c>
      <x:c r="N222" s="115" t="n">
        <x:v>14</x:v>
      </x:c>
      <x:c r="O222" s="113" t="n">
        <x:f>IFERROR(M222/N222,"")</x:f>
        <x:v>6785.714285714285</x:v>
      </x:c>
      <x:c r="P222" s="116" t="n">
        <x:f>Beallitasok!$B$5</x:f>
        <x:v>1.15</x:v>
      </x:c>
      <x:c r="Q222" s="113" t="n">
        <x:f>IFERROR(ROUND(O222*P222/Beallitasok!$B$7,0)*Beallitasok!$B$7,"")</x:f>
        <x:v>7800</x:v>
      </x:c>
      <x:c r="R222" s="113"/>
      <x:c r="S222" s="113" t="n">
        <x:f>IF(Q222="","",Q222+IF(R222="",0,R222))</x:f>
        <x:v>7800</x:v>
      </x:c>
      <x:c r="T222" s="113" t="n">
        <x:f>M222*Beallitasok!$B$4</x:f>
        <x:v>475000</x:v>
      </x:c>
      <x:c r="U222" s="115" t="n">
        <x:f>N222*Beallitasok!$B$4</x:f>
        <x:v>70</x:v>
      </x:c>
      <x:c r="V222" s="113"/>
      <x:c r="W222" s="113" t="str">
        <x:f>IF(V222="","",V222-J222)</x:f>
      </x:c>
      <x:c r="X222" s="19"/>
      <x:c r="Y222" s="113" t="n">
        <x:f>IF(S222="","",J222-S222)</x:f>
        <x:v>1800</x:v>
      </x:c>
      <x:c r="Z222" s="19" t="str">
        <x:f>IF(AA222="IGEN",IF(J222&lt;S222,"GÉPIGÉNY + KRITIKUS: gépdíj nélkül is alacsony a plafon","GÉPIGÉNY: a saját egységár gépdíj nélkül értendő"),IF(J222&lt;S222,"KRITIKUS: alvállalkozói plafon &lt; saját terhelt egységköltség",IF(J222&lt;S222*Beallitasok!$B$6,"SZŰK TARTALÉK: 10% alatti tartalék","OK")))</x:f>
        <x:v>OK</x:v>
      </x:c>
      <x:c r="AA222" s="19" t="str">
        <x:v>NEM</x:v>
      </x:c>
      <x:c r="AB222" s="19" t="str">
        <x:v>https://joszaki.hu/arak/homlokzati-hoszigeteles</x:v>
      </x:c>
      <x:c r="AC222" s="19" t="str">
        <x:v>2026 homlokzati piaci alsó sáv és részfolyamatokra bontás</x:v>
      </x:c>
      <x:c r="AD222" s="19" t="str">
        <x:v>Állvány bérleti napidíja külön; burkolóanyag és segédanyag nincs benne.</x:v>
      </x:c>
    </x:row>
    <x:row r="223">
      <x:c r="A223" s="19" t="str">
        <x:v>AR-0222</x:v>
      </x:c>
      <x:c r="B223" s="19" t="str">
        <x:v>10 Homlokzat</x:v>
      </x:c>
      <x:c r="C223" s="19" t="str">
        <x:v>Hőszigetelő rendszer és burkolatok</x:v>
      </x:c>
      <x:c r="D223" s="19" t="str">
        <x:v>Mindegyik</x:v>
      </x:c>
      <x:c r="E223" s="19" t="str">
        <x:v>Homlokzati állvány építése és bontása</x:v>
      </x:c>
      <x:c r="F223" s="19" t="str">
        <x:v>m² állvány</x:v>
      </x:c>
      <x:c r="G223" s="113" t="n">
        <x:v>1500</x:v>
      </x:c>
      <x:c r="H223" s="113" t="n">
        <x:v>2200</x:v>
      </x:c>
      <x:c r="I223" s="114" t="n">
        <x:v>0.6</x:v>
      </x:c>
      <x:c r="J223" s="113" t="n">
        <x:f>ROUND(H223*I223/Beallitasok!$B$7,0)*Beallitasok!$B$7</x:f>
        <x:v>1300</x:v>
      </x:c>
      <x:c r="K223" s="19" t="n">
        <x:v>3</x:v>
      </x:c>
      <x:c r="L223" s="19" t="n">
        <x:v>3</x:v>
      </x:c>
      <x:c r="M223" s="113" t="n">
        <x:f>K223*Beallitasok!$B$2+L223*Beallitasok!$B$3</x:f>
        <x:v>180000</x:v>
      </x:c>
      <x:c r="N223" s="115" t="n">
        <x:v>120</x:v>
      </x:c>
      <x:c r="O223" s="113" t="n">
        <x:f>IFERROR(M223/N223,"")</x:f>
        <x:v>1500</x:v>
      </x:c>
      <x:c r="P223" s="116" t="n">
        <x:f>Beallitasok!$B$5</x:f>
        <x:v>1.15</x:v>
      </x:c>
      <x:c r="Q223" s="113" t="n">
        <x:f>IFERROR(ROUND(O223*P223/Beallitasok!$B$7,0)*Beallitasok!$B$7,"")</x:f>
        <x:v>1700</x:v>
      </x:c>
      <x:c r="R223" s="113"/>
      <x:c r="S223" s="113" t="n">
        <x:f>IF(Q223="","",Q223+IF(R223="",0,R223))</x:f>
        <x:v>1700</x:v>
      </x:c>
      <x:c r="T223" s="113" t="n">
        <x:f>M223*Beallitasok!$B$4</x:f>
        <x:v>900000</x:v>
      </x:c>
      <x:c r="U223" s="115" t="n">
        <x:f>N223*Beallitasok!$B$4</x:f>
        <x:v>600</x:v>
      </x:c>
      <x:c r="V223" s="113"/>
      <x:c r="W223" s="113" t="str">
        <x:f>IF(V223="","",V223-J223)</x:f>
      </x:c>
      <x:c r="X223" s="19"/>
      <x:c r="Y223" s="113" t="n">
        <x:f>IF(S223="","",J223-S223)</x:f>
        <x:v>-400</x:v>
      </x:c>
      <x:c r="Z223" s="19" t="str">
        <x:f>IF(AA223="IGEN",IF(J223&lt;S223,"GÉPIGÉNY + KRITIKUS: gépdíj nélkül is alacsony a plafon","GÉPIGÉNY: a saját egységár gépdíj nélkül értendő"),IF(J223&lt;S223,"KRITIKUS: alvállalkozói plafon &lt; saját terhelt egységköltség",IF(J223&lt;S223*Beallitasok!$B$6,"SZŰK TARTALÉK: 10% alatti tartalék","OK")))</x:f>
        <x:v>KRITIKUS: alvállalkozói plafon &lt; saját terhelt egységköltség</x:v>
      </x:c>
      <x:c r="AA223" s="19" t="str">
        <x:v>NEM</x:v>
      </x:c>
      <x:c r="AB223" s="19" t="str">
        <x:v>https://joszaki.hu/arak/homlokzati-allvanyozas</x:v>
      </x:c>
      <x:c r="AC223" s="19" t="str">
        <x:v>2026 homlokzati piaci alsó sáv és részfolyamatokra bontás</x:v>
      </x:c>
      <x:c r="AD223" s="19" t="str">
        <x:v>Állvány bérleti napidíja külön; burkolóanyag és segédanyag nincs benne.</x:v>
      </x:c>
    </x:row>
    <x:row r="224">
      <x:c r="A224" s="19" t="str">
        <x:v>AR-0223</x:v>
      </x:c>
      <x:c r="B224" s="19" t="str">
        <x:v>11 Nyílászáró</x:v>
      </x:c>
      <x:c r="C224" s="19" t="str">
        <x:v>Ablak, ajtó és árnyékolás</x:v>
      </x:c>
      <x:c r="D224" s="19" t="str">
        <x:v>Mindegyik</x:v>
      </x:c>
      <x:c r="E224" s="19" t="str">
        <x:v>Műanyag ablak beépítése PUR-habos csatlakozással</x:v>
      </x:c>
      <x:c r="F224" s="19" t="str">
        <x:v>m² nyílászáró</x:v>
      </x:c>
      <x:c r="G224" s="113" t="n">
        <x:v>10000</x:v>
      </x:c>
      <x:c r="H224" s="113" t="n">
        <x:v>14000</x:v>
      </x:c>
      <x:c r="I224" s="114" t="n">
        <x:v>0.6</x:v>
      </x:c>
      <x:c r="J224" s="113" t="n">
        <x:f>ROUND(H224*I224/Beallitasok!$B$7,0)*Beallitasok!$B$7</x:f>
        <x:v>8400</x:v>
      </x:c>
      <x:c r="K224" s="19" t="n">
        <x:v>2</x:v>
      </x:c>
      <x:c r="L224" s="19" t="n">
        <x:v>1</x:v>
      </x:c>
      <x:c r="M224" s="113" t="n">
        <x:f>K224*Beallitasok!$B$2+L224*Beallitasok!$B$3</x:f>
        <x:v>95000</x:v>
      </x:c>
      <x:c r="N224" s="115" t="n">
        <x:v>8</x:v>
      </x:c>
      <x:c r="O224" s="113" t="n">
        <x:f>IFERROR(M224/N224,"")</x:f>
        <x:v>11875</x:v>
      </x:c>
      <x:c r="P224" s="116" t="n">
        <x:f>Beallitasok!$B$5</x:f>
        <x:v>1.15</x:v>
      </x:c>
      <x:c r="Q224" s="113" t="n">
        <x:f>IFERROR(ROUND(O224*P224/Beallitasok!$B$7,0)*Beallitasok!$B$7,"")</x:f>
        <x:v>13650</x:v>
      </x:c>
      <x:c r="R224" s="113"/>
      <x:c r="S224" s="113" t="n">
        <x:f>IF(Q224="","",Q224+IF(R224="",0,R224))</x:f>
        <x:v>13650</x:v>
      </x:c>
      <x:c r="T224" s="113" t="n">
        <x:f>M224*Beallitasok!$B$4</x:f>
        <x:v>475000</x:v>
      </x:c>
      <x:c r="U224" s="115" t="n">
        <x:f>N224*Beallitasok!$B$4</x:f>
        <x:v>40</x:v>
      </x:c>
      <x:c r="V224" s="113"/>
      <x:c r="W224" s="113" t="str">
        <x:f>IF(V224="","",V224-J224)</x:f>
      </x:c>
      <x:c r="X224" s="19"/>
      <x:c r="Y224" s="113" t="n">
        <x:f>IF(S224="","",J224-S224)</x:f>
        <x:v>-5250</x:v>
      </x:c>
      <x:c r="Z224" s="19" t="str">
        <x:f>IF(AA224="IGEN",IF(J224&lt;S224,"GÉPIGÉNY + KRITIKUS: gépdíj nélkül is alacsony a plafon","GÉPIGÉNY: a saját egységár gépdíj nélkül értendő"),IF(J224&lt;S224,"KRITIKUS: alvállalkozói plafon &lt; saját terhelt egységköltség",IF(J224&lt;S224*Beallitasok!$B$6,"SZŰK TARTALÉK: 10% alatti tartalék","OK")))</x:f>
        <x:v>KRITIKUS: alvállalkozói plafon &lt; saját terhelt egységköltség</x:v>
      </x:c>
      <x:c r="AA224" s="19" t="str">
        <x:v>NEM</x:v>
      </x:c>
      <x:c r="AB224" s="19" t="str">
        <x:v>https://www.ksh.hu/gyorstajekoztatok/epi/epi2603.html</x:v>
      </x:c>
      <x:c r="AC224" s="19" t="str">
        <x:v>2026 piaci nyílászáró-beépítési ajánlatok + brigádnorma</x:v>
      </x:c>
      <x:c r="AD224" s="19" t="str">
        <x:v>Nyílászáró, párkány, redőny és villamos bekötés nincs benne.</x:v>
      </x:c>
    </x:row>
    <x:row r="225">
      <x:c r="A225" s="19" t="str">
        <x:v>AR-0224</x:v>
      </x:c>
      <x:c r="B225" s="19" t="str">
        <x:v>11 Nyílászáró</x:v>
      </x:c>
      <x:c r="C225" s="19" t="str">
        <x:v>Ablak, ajtó és árnyékolás</x:v>
      </x:c>
      <x:c r="D225" s="19" t="str">
        <x:v>Mindegyik</x:v>
      </x:c>
      <x:c r="E225" s="19" t="str">
        <x:v>Fa ablak beépítése PUR-habos csatlakozással</x:v>
      </x:c>
      <x:c r="F225" s="19" t="str">
        <x:v>m² nyílászáró</x:v>
      </x:c>
      <x:c r="G225" s="113" t="n">
        <x:v>12000</x:v>
      </x:c>
      <x:c r="H225" s="113" t="n">
        <x:v>17000</x:v>
      </x:c>
      <x:c r="I225" s="114" t="n">
        <x:v>0.6</x:v>
      </x:c>
      <x:c r="J225" s="113" t="n">
        <x:f>ROUND(H225*I225/Beallitasok!$B$7,0)*Beallitasok!$B$7</x:f>
        <x:v>10200</x:v>
      </x:c>
      <x:c r="K225" s="19" t="n">
        <x:v>2</x:v>
      </x:c>
      <x:c r="L225" s="19" t="n">
        <x:v>1</x:v>
      </x:c>
      <x:c r="M225" s="113" t="n">
        <x:f>K225*Beallitasok!$B$2+L225*Beallitasok!$B$3</x:f>
        <x:v>95000</x:v>
      </x:c>
      <x:c r="N225" s="115" t="n">
        <x:v>6</x:v>
      </x:c>
      <x:c r="O225" s="113" t="n">
        <x:f>IFERROR(M225/N225,"")</x:f>
        <x:v>15833.333333333334</x:v>
      </x:c>
      <x:c r="P225" s="116" t="n">
        <x:f>Beallitasok!$B$5</x:f>
        <x:v>1.15</x:v>
      </x:c>
      <x:c r="Q225" s="113" t="n">
        <x:f>IFERROR(ROUND(O225*P225/Beallitasok!$B$7,0)*Beallitasok!$B$7,"")</x:f>
        <x:v>18200</x:v>
      </x:c>
      <x:c r="R225" s="113"/>
      <x:c r="S225" s="113" t="n">
        <x:f>IF(Q225="","",Q225+IF(R225="",0,R225))</x:f>
        <x:v>18200</x:v>
      </x:c>
      <x:c r="T225" s="113" t="n">
        <x:f>M225*Beallitasok!$B$4</x:f>
        <x:v>475000</x:v>
      </x:c>
      <x:c r="U225" s="115" t="n">
        <x:f>N225*Beallitasok!$B$4</x:f>
        <x:v>30</x:v>
      </x:c>
      <x:c r="V225" s="113"/>
      <x:c r="W225" s="113" t="str">
        <x:f>IF(V225="","",V225-J225)</x:f>
      </x:c>
      <x:c r="X225" s="19"/>
      <x:c r="Y225" s="113" t="n">
        <x:f>IF(S225="","",J225-S225)</x:f>
        <x:v>-8000</x:v>
      </x:c>
      <x:c r="Z225" s="19" t="str">
        <x:f>IF(AA225="IGEN",IF(J225&lt;S225,"GÉPIGÉNY + KRITIKUS: gépdíj nélkül is alacsony a plafon","GÉPIGÉNY: a saját egységár gépdíj nélkül értendő"),IF(J225&lt;S225,"KRITIKUS: alvállalkozói plafon &lt; saját terhelt egységköltség",IF(J225&lt;S225*Beallitasok!$B$6,"SZŰK TARTALÉK: 10% alatti tartalék","OK")))</x:f>
        <x:v>KRITIKUS: alvállalkozói plafon &lt; saját terhelt egységköltség</x:v>
      </x:c>
      <x:c r="AA225" s="19" t="str">
        <x:v>NEM</x:v>
      </x:c>
      <x:c r="AB225" s="19" t="str">
        <x:v>https://www.ksh.hu/gyorstajekoztatok/epi/epi2603.html</x:v>
      </x:c>
      <x:c r="AC225" s="19" t="str">
        <x:v>2026 piaci nyílászáró-beépítési ajánlatok + brigádnorma</x:v>
      </x:c>
      <x:c r="AD225" s="19" t="str">
        <x:v>Nyílászáró, párkány, redőny és villamos bekötés nincs benne.</x:v>
      </x:c>
    </x:row>
    <x:row r="226">
      <x:c r="A226" s="19" t="str">
        <x:v>AR-0225</x:v>
      </x:c>
      <x:c r="B226" s="19" t="str">
        <x:v>11 Nyílászáró</x:v>
      </x:c>
      <x:c r="C226" s="19" t="str">
        <x:v>Ablak, ajtó és árnyékolás</x:v>
      </x:c>
      <x:c r="D226" s="19" t="str">
        <x:v>Mindegyik</x:v>
      </x:c>
      <x:c r="E226" s="19" t="str">
        <x:v>RAL szalagos lég- és csapóesőzáró ablakbeépítés felára</x:v>
      </x:c>
      <x:c r="F226" s="19" t="str">
        <x:v>fm tok</x:v>
      </x:c>
      <x:c r="G226" s="113" t="n">
        <x:v>1800</x:v>
      </x:c>
      <x:c r="H226" s="113" t="n">
        <x:v>2700</x:v>
      </x:c>
      <x:c r="I226" s="114" t="n">
        <x:v>0.6</x:v>
      </x:c>
      <x:c r="J226" s="113" t="n">
        <x:f>ROUND(H226*I226/Beallitasok!$B$7,0)*Beallitasok!$B$7</x:f>
        <x:v>1600</x:v>
      </x:c>
      <x:c r="K226" s="19" t="n">
        <x:v>2</x:v>
      </x:c>
      <x:c r="L226" s="19" t="n">
        <x:v>1</x:v>
      </x:c>
      <x:c r="M226" s="113" t="n">
        <x:f>K226*Beallitasok!$B$2+L226*Beallitasok!$B$3</x:f>
        <x:v>95000</x:v>
      </x:c>
      <x:c r="N226" s="115" t="n">
        <x:v>45</x:v>
      </x:c>
      <x:c r="O226" s="113" t="n">
        <x:f>IFERROR(M226/N226,"")</x:f>
        <x:v>2111.1111111111113</x:v>
      </x:c>
      <x:c r="P226" s="116" t="n">
        <x:f>Beallitasok!$B$5</x:f>
        <x:v>1.15</x:v>
      </x:c>
      <x:c r="Q226" s="113" t="n">
        <x:f>IFERROR(ROUND(O226*P226/Beallitasok!$B$7,0)*Beallitasok!$B$7,"")</x:f>
        <x:v>2450</x:v>
      </x:c>
      <x:c r="R226" s="113"/>
      <x:c r="S226" s="113" t="n">
        <x:f>IF(Q226="","",Q226+IF(R226="",0,R226))</x:f>
        <x:v>2450</x:v>
      </x:c>
      <x:c r="T226" s="113" t="n">
        <x:f>M226*Beallitasok!$B$4</x:f>
        <x:v>475000</x:v>
      </x:c>
      <x:c r="U226" s="115" t="n">
        <x:f>N226*Beallitasok!$B$4</x:f>
        <x:v>225</x:v>
      </x:c>
      <x:c r="V226" s="113"/>
      <x:c r="W226" s="113" t="str">
        <x:f>IF(V226="","",V226-J226)</x:f>
      </x:c>
      <x:c r="X226" s="19"/>
      <x:c r="Y226" s="113" t="n">
        <x:f>IF(S226="","",J226-S226)</x:f>
        <x:v>-850</x:v>
      </x:c>
      <x:c r="Z226" s="19" t="str">
        <x:f>IF(AA226="IGEN",IF(J226&lt;S226,"GÉPIGÉNY + KRITIKUS: gépdíj nélkül is alacsony a plafon","GÉPIGÉNY: a saját egységár gépdíj nélkül értendő"),IF(J226&lt;S226,"KRITIKUS: alvállalkozói plafon &lt; saját terhelt egységköltség",IF(J226&lt;S226*Beallitasok!$B$6,"SZŰK TARTALÉK: 10% alatti tartalék","OK")))</x:f>
        <x:v>KRITIKUS: alvállalkozói plafon &lt; saját terhelt egységköltség</x:v>
      </x:c>
      <x:c r="AA226" s="19" t="str">
        <x:v>NEM</x:v>
      </x:c>
      <x:c r="AB226" s="19" t="str">
        <x:v>https://www.ksh.hu/gyorstajekoztatok/epi/epi2603.html</x:v>
      </x:c>
      <x:c r="AC226" s="19" t="str">
        <x:v>2026 piaci nyílászáró-beépítési ajánlatok + brigádnorma</x:v>
      </x:c>
      <x:c r="AD226" s="19" t="str">
        <x:v>Nyílászáró, párkány, redőny és villamos bekötés nincs benne.</x:v>
      </x:c>
    </x:row>
    <x:row r="227">
      <x:c r="A227" s="19" t="str">
        <x:v>AR-0226</x:v>
      </x:c>
      <x:c r="B227" s="19" t="str">
        <x:v>11 Nyílászáró</x:v>
      </x:c>
      <x:c r="C227" s="19" t="str">
        <x:v>Ablak, ajtó és árnyékolás</x:v>
      </x:c>
      <x:c r="D227" s="19" t="str">
        <x:v>Mindegyik</x:v>
      </x:c>
      <x:c r="E227" s="19" t="str">
        <x:v>Emelő-toló erkélyajtó beépítése</x:v>
      </x:c>
      <x:c r="F227" s="19" t="str">
        <x:v>db</x:v>
      </x:c>
      <x:c r="G227" s="113" t="n">
        <x:v>65000</x:v>
      </x:c>
      <x:c r="H227" s="113" t="n">
        <x:v>95000</x:v>
      </x:c>
      <x:c r="I227" s="114" t="n">
        <x:v>0.6</x:v>
      </x:c>
      <x:c r="J227" s="113" t="n">
        <x:f>ROUND(H227*I227/Beallitasok!$B$7,0)*Beallitasok!$B$7</x:f>
        <x:v>57000</x:v>
      </x:c>
      <x:c r="K227" s="19" t="n">
        <x:v>3</x:v>
      </x:c>
      <x:c r="L227" s="19" t="n">
        <x:v>2</x:v>
      </x:c>
      <x:c r="M227" s="113" t="n">
        <x:f>K227*Beallitasok!$B$2+L227*Beallitasok!$B$3</x:f>
        <x:v>155000</x:v>
      </x:c>
      <x:c r="N227" s="115" t="n">
        <x:v>1.2</x:v>
      </x:c>
      <x:c r="O227" s="113" t="n">
        <x:f>IFERROR(M227/N227,"")</x:f>
        <x:v>129166.66666666667</x:v>
      </x:c>
      <x:c r="P227" s="116" t="n">
        <x:f>Beallitasok!$B$5</x:f>
        <x:v>1.15</x:v>
      </x:c>
      <x:c r="Q227" s="113" t="n">
        <x:f>IFERROR(ROUND(O227*P227/Beallitasok!$B$7,0)*Beallitasok!$B$7,"")</x:f>
        <x:v>148550</x:v>
      </x:c>
      <x:c r="R227" s="113"/>
      <x:c r="S227" s="113" t="n">
        <x:f>IF(Q227="","",Q227+IF(R227="",0,R227))</x:f>
        <x:v>148550</x:v>
      </x:c>
      <x:c r="T227" s="113" t="n">
        <x:f>M227*Beallitasok!$B$4</x:f>
        <x:v>775000</x:v>
      </x:c>
      <x:c r="U227" s="115" t="n">
        <x:f>N227*Beallitasok!$B$4</x:f>
        <x:v>6</x:v>
      </x:c>
      <x:c r="V227" s="113"/>
      <x:c r="W227" s="113" t="str">
        <x:f>IF(V227="","",V227-J227)</x:f>
      </x:c>
      <x:c r="X227" s="19"/>
      <x:c r="Y227" s="113" t="n">
        <x:f>IF(S227="","",J227-S227)</x:f>
        <x:v>-91550</x:v>
      </x:c>
      <x:c r="Z227" s="19" t="str">
        <x:f>IF(AA227="IGEN",IF(J227&lt;S227,"GÉPIGÉNY + KRITIKUS: gépdíj nélkül is alacsony a plafon","GÉPIGÉNY: a saját egységár gépdíj nélkül értendő"),IF(J227&lt;S227,"KRITIKUS: alvállalkozói plafon &lt; saját terhelt egységköltség",IF(J227&lt;S227*Beallitasok!$B$6,"SZŰK TARTALÉK: 10% alatti tartalék","OK")))</x:f>
        <x:v>KRITIKUS: alvállalkozói plafon &lt; saját terhelt egységköltség</x:v>
      </x:c>
      <x:c r="AA227" s="19" t="str">
        <x:v>NEM</x:v>
      </x:c>
      <x:c r="AB227" s="19" t="str">
        <x:v>https://www.ksh.hu/gyorstajekoztatok/epi/epi2603.html</x:v>
      </x:c>
      <x:c r="AC227" s="19" t="str">
        <x:v>2026 piaci nyílászáró-beépítési ajánlatok + brigádnorma</x:v>
      </x:c>
      <x:c r="AD227" s="19" t="str">
        <x:v>Nyílászáró, párkány, redőny és villamos bekötés nincs benne.</x:v>
      </x:c>
    </x:row>
    <x:row r="228">
      <x:c r="A228" s="19" t="str">
        <x:v>AR-0227</x:v>
      </x:c>
      <x:c r="B228" s="19" t="str">
        <x:v>11 Nyílászáró</x:v>
      </x:c>
      <x:c r="C228" s="19" t="str">
        <x:v>Ablak, ajtó és árnyékolás</x:v>
      </x:c>
      <x:c r="D228" s="19" t="str">
        <x:v>Mindegyik</x:v>
      </x:c>
      <x:c r="E228" s="19" t="str">
        <x:v>Bejárati ajtó beépítése</x:v>
      </x:c>
      <x:c r="F228" s="19" t="str">
        <x:v>db</x:v>
      </x:c>
      <x:c r="G228" s="113" t="n">
        <x:v>28000</x:v>
      </x:c>
      <x:c r="H228" s="113" t="n">
        <x:v>42000</x:v>
      </x:c>
      <x:c r="I228" s="114" t="n">
        <x:v>0.6</x:v>
      </x:c>
      <x:c r="J228" s="113" t="n">
        <x:f>ROUND(H228*I228/Beallitasok!$B$7,0)*Beallitasok!$B$7</x:f>
        <x:v>25200</x:v>
      </x:c>
      <x:c r="K228" s="19" t="n">
        <x:v>2</x:v>
      </x:c>
      <x:c r="L228" s="19" t="n">
        <x:v>1</x:v>
      </x:c>
      <x:c r="M228" s="113" t="n">
        <x:f>K228*Beallitasok!$B$2+L228*Beallitasok!$B$3</x:f>
        <x:v>95000</x:v>
      </x:c>
      <x:c r="N228" s="115" t="n">
        <x:v>2.5</x:v>
      </x:c>
      <x:c r="O228" s="113" t="n">
        <x:f>IFERROR(M228/N228,"")</x:f>
        <x:v>38000</x:v>
      </x:c>
      <x:c r="P228" s="116" t="n">
        <x:f>Beallitasok!$B$5</x:f>
        <x:v>1.15</x:v>
      </x:c>
      <x:c r="Q228" s="113" t="n">
        <x:f>IFERROR(ROUND(O228*P228/Beallitasok!$B$7,0)*Beallitasok!$B$7,"")</x:f>
        <x:v>43700</x:v>
      </x:c>
      <x:c r="R228" s="113"/>
      <x:c r="S228" s="113" t="n">
        <x:f>IF(Q228="","",Q228+IF(R228="",0,R228))</x:f>
        <x:v>43700</x:v>
      </x:c>
      <x:c r="T228" s="113" t="n">
        <x:f>M228*Beallitasok!$B$4</x:f>
        <x:v>475000</x:v>
      </x:c>
      <x:c r="U228" s="115" t="n">
        <x:f>N228*Beallitasok!$B$4</x:f>
        <x:v>12.5</x:v>
      </x:c>
      <x:c r="V228" s="113"/>
      <x:c r="W228" s="113" t="str">
        <x:f>IF(V228="","",V228-J228)</x:f>
      </x:c>
      <x:c r="X228" s="19"/>
      <x:c r="Y228" s="113" t="n">
        <x:f>IF(S228="","",J228-S228)</x:f>
        <x:v>-18500</x:v>
      </x:c>
      <x:c r="Z228" s="19" t="str">
        <x:f>IF(AA228="IGEN",IF(J228&lt;S228,"GÉPIGÉNY + KRITIKUS: gépdíj nélkül is alacsony a plafon","GÉPIGÉNY: a saját egységár gépdíj nélkül értendő"),IF(J228&lt;S228,"KRITIKUS: alvállalkozói plafon &lt; saját terhelt egységköltség",IF(J228&lt;S228*Beallitasok!$B$6,"SZŰK TARTALÉK: 10% alatti tartalék","OK")))</x:f>
        <x:v>KRITIKUS: alvállalkozói plafon &lt; saját terhelt egységköltség</x:v>
      </x:c>
      <x:c r="AA228" s="19" t="str">
        <x:v>NEM</x:v>
      </x:c>
      <x:c r="AB228" s="19" t="str">
        <x:v>https://www.ksh.hu/gyorstajekoztatok/epi/epi2603.html</x:v>
      </x:c>
      <x:c r="AC228" s="19" t="str">
        <x:v>2026 piaci nyílászáró-beépítési ajánlatok + brigádnorma</x:v>
      </x:c>
      <x:c r="AD228" s="19" t="str">
        <x:v>Nyílászáró, párkány, redőny és villamos bekötés nincs benne.</x:v>
      </x:c>
    </x:row>
    <x:row r="229">
      <x:c r="A229" s="19" t="str">
        <x:v>AR-0228</x:v>
      </x:c>
      <x:c r="B229" s="19" t="str">
        <x:v>11 Nyílászáró</x:v>
      </x:c>
      <x:c r="C229" s="19" t="str">
        <x:v>Ablak, ajtó és árnyékolás</x:v>
      </x:c>
      <x:c r="D229" s="19" t="str">
        <x:v>Mindegyik</x:v>
      </x:c>
      <x:c r="E229" s="19" t="str">
        <x:v>Garázskapu beépítési segédmunkája</x:v>
      </x:c>
      <x:c r="F229" s="19" t="str">
        <x:v>db</x:v>
      </x:c>
      <x:c r="G229" s="113" t="n">
        <x:v>75000</x:v>
      </x:c>
      <x:c r="H229" s="113" t="n">
        <x:v>110000</x:v>
      </x:c>
      <x:c r="I229" s="114" t="n">
        <x:v>0.6</x:v>
      </x:c>
      <x:c r="J229" s="113" t="n">
        <x:f>ROUND(H229*I229/Beallitasok!$B$7,0)*Beallitasok!$B$7</x:f>
        <x:v>66000</x:v>
      </x:c>
      <x:c r="K229" s="19" t="n">
        <x:v>3</x:v>
      </x:c>
      <x:c r="L229" s="19" t="n">
        <x:v>2</x:v>
      </x:c>
      <x:c r="M229" s="113" t="n">
        <x:f>K229*Beallitasok!$B$2+L229*Beallitasok!$B$3</x:f>
        <x:v>155000</x:v>
      </x:c>
      <x:c r="N229" s="115" t="n">
        <x:v>1</x:v>
      </x:c>
      <x:c r="O229" s="113" t="n">
        <x:f>IFERROR(M229/N229,"")</x:f>
        <x:v>155000</x:v>
      </x:c>
      <x:c r="P229" s="116" t="n">
        <x:f>Beallitasok!$B$5</x:f>
        <x:v>1.15</x:v>
      </x:c>
      <x:c r="Q229" s="113" t="n">
        <x:f>IFERROR(ROUND(O229*P229/Beallitasok!$B$7,0)*Beallitasok!$B$7,"")</x:f>
        <x:v>178250</x:v>
      </x:c>
      <x:c r="R229" s="113"/>
      <x:c r="S229" s="113" t="n">
        <x:f>IF(Q229="","",Q229+IF(R229="",0,R229))</x:f>
        <x:v>178250</x:v>
      </x:c>
      <x:c r="T229" s="113" t="n">
        <x:f>M229*Beallitasok!$B$4</x:f>
        <x:v>775000</x:v>
      </x:c>
      <x:c r="U229" s="115" t="n">
        <x:f>N229*Beallitasok!$B$4</x:f>
        <x:v>5</x:v>
      </x:c>
      <x:c r="V229" s="113"/>
      <x:c r="W229" s="113" t="str">
        <x:f>IF(V229="","",V229-J229)</x:f>
      </x:c>
      <x:c r="X229" s="19"/>
      <x:c r="Y229" s="113" t="n">
        <x:f>IF(S229="","",J229-S229)</x:f>
        <x:v>-112250</x:v>
      </x:c>
      <x:c r="Z229" s="19" t="str">
        <x:f>IF(AA229="IGEN",IF(J229&lt;S229,"GÉPIGÉNY + KRITIKUS: gépdíj nélkül is alacsony a plafon","GÉPIGÉNY: a saját egységár gépdíj nélkül értendő"),IF(J229&lt;S229,"KRITIKUS: alvállalkozói plafon &lt; saját terhelt egységköltség",IF(J229&lt;S229*Beallitasok!$B$6,"SZŰK TARTALÉK: 10% alatti tartalék","OK")))</x:f>
        <x:v>KRITIKUS: alvállalkozói plafon &lt; saját terhelt egységköltség</x:v>
      </x:c>
      <x:c r="AA229" s="19" t="str">
        <x:v>NEM</x:v>
      </x:c>
      <x:c r="AB229" s="19" t="str">
        <x:v>https://www.ksh.hu/gyorstajekoztatok/epi/epi2603.html</x:v>
      </x:c>
      <x:c r="AC229" s="19" t="str">
        <x:v>2026 piaci nyílászáró-beépítési ajánlatok + brigádnorma</x:v>
      </x:c>
      <x:c r="AD229" s="19" t="str">
        <x:v>Nyílászáró, párkány, redőny és villamos bekötés nincs benne.</x:v>
      </x:c>
    </x:row>
    <x:row r="230">
      <x:c r="A230" s="19" t="str">
        <x:v>AR-0229</x:v>
      </x:c>
      <x:c r="B230" s="19" t="str">
        <x:v>11 Nyílászáró</x:v>
      </x:c>
      <x:c r="C230" s="19" t="str">
        <x:v>Ablak, ajtó és árnyékolás</x:v>
      </x:c>
      <x:c r="D230" s="19" t="str">
        <x:v>Mindegyik</x:v>
      </x:c>
      <x:c r="E230" s="19" t="str">
        <x:v>Belső ajtótok beépítése</x:v>
      </x:c>
      <x:c r="F230" s="19" t="str">
        <x:v>db</x:v>
      </x:c>
      <x:c r="G230" s="113" t="n">
        <x:v>12000</x:v>
      </x:c>
      <x:c r="H230" s="113" t="n">
        <x:v>18000</x:v>
      </x:c>
      <x:c r="I230" s="114" t="n">
        <x:v>0.6</x:v>
      </x:c>
      <x:c r="J230" s="113" t="n">
        <x:f>ROUND(H230*I230/Beallitasok!$B$7,0)*Beallitasok!$B$7</x:f>
        <x:v>10800</x:v>
      </x:c>
      <x:c r="K230" s="19" t="n">
        <x:v>2</x:v>
      </x:c>
      <x:c r="L230" s="19" t="n">
        <x:v>1</x:v>
      </x:c>
      <x:c r="M230" s="113" t="n">
        <x:f>K230*Beallitasok!$B$2+L230*Beallitasok!$B$3</x:f>
        <x:v>95000</x:v>
      </x:c>
      <x:c r="N230" s="115" t="n">
        <x:v>5</x:v>
      </x:c>
      <x:c r="O230" s="113" t="n">
        <x:f>IFERROR(M230/N230,"")</x:f>
        <x:v>19000</x:v>
      </x:c>
      <x:c r="P230" s="116" t="n">
        <x:f>Beallitasok!$B$5</x:f>
        <x:v>1.15</x:v>
      </x:c>
      <x:c r="Q230" s="113" t="n">
        <x:f>IFERROR(ROUND(O230*P230/Beallitasok!$B$7,0)*Beallitasok!$B$7,"")</x:f>
        <x:v>21850</x:v>
      </x:c>
      <x:c r="R230" s="113"/>
      <x:c r="S230" s="113" t="n">
        <x:f>IF(Q230="","",Q230+IF(R230="",0,R230))</x:f>
        <x:v>21850</x:v>
      </x:c>
      <x:c r="T230" s="113" t="n">
        <x:f>M230*Beallitasok!$B$4</x:f>
        <x:v>475000</x:v>
      </x:c>
      <x:c r="U230" s="115" t="n">
        <x:f>N230*Beallitasok!$B$4</x:f>
        <x:v>25</x:v>
      </x:c>
      <x:c r="V230" s="113"/>
      <x:c r="W230" s="113" t="str">
        <x:f>IF(V230="","",V230-J230)</x:f>
      </x:c>
      <x:c r="X230" s="19"/>
      <x:c r="Y230" s="113" t="n">
        <x:f>IF(S230="","",J230-S230)</x:f>
        <x:v>-11050</x:v>
      </x:c>
      <x:c r="Z230" s="19" t="str">
        <x:f>IF(AA230="IGEN",IF(J230&lt;S230,"GÉPIGÉNY + KRITIKUS: gépdíj nélkül is alacsony a plafon","GÉPIGÉNY: a saját egységár gépdíj nélkül értendő"),IF(J230&lt;S230,"KRITIKUS: alvállalkozói plafon &lt; saját terhelt egységköltség",IF(J230&lt;S230*Beallitasok!$B$6,"SZŰK TARTALÉK: 10% alatti tartalék","OK")))</x:f>
        <x:v>KRITIKUS: alvállalkozói plafon &lt; saját terhelt egységköltség</x:v>
      </x:c>
      <x:c r="AA230" s="19" t="str">
        <x:v>NEM</x:v>
      </x:c>
      <x:c r="AB230" s="19" t="str">
        <x:v>https://www.ksh.hu/gyorstajekoztatok/epi/epi2603.html</x:v>
      </x:c>
      <x:c r="AC230" s="19" t="str">
        <x:v>2026 piaci nyílászáró-beépítési ajánlatok + brigádnorma</x:v>
      </x:c>
      <x:c r="AD230" s="19" t="str">
        <x:v>Nyílászáró, párkány, redőny és villamos bekötés nincs benne.</x:v>
      </x:c>
    </x:row>
    <x:row r="231">
      <x:c r="A231" s="19" t="str">
        <x:v>AR-0230</x:v>
      </x:c>
      <x:c r="B231" s="19" t="str">
        <x:v>11 Nyílászáró</x:v>
      </x:c>
      <x:c r="C231" s="19" t="str">
        <x:v>Ablak, ajtó és árnyékolás</x:v>
      </x:c>
      <x:c r="D231" s="19" t="str">
        <x:v>Mindegyik</x:v>
      </x:c>
      <x:c r="E231" s="19" t="str">
        <x:v>Belső ajtólap és vasalat szerelése</x:v>
      </x:c>
      <x:c r="F231" s="19" t="str">
        <x:v>db</x:v>
      </x:c>
      <x:c r="G231" s="113" t="n">
        <x:v>6500</x:v>
      </x:c>
      <x:c r="H231" s="113" t="n">
        <x:v>10000</x:v>
      </x:c>
      <x:c r="I231" s="114" t="n">
        <x:v>0.6</x:v>
      </x:c>
      <x:c r="J231" s="113" t="n">
        <x:f>ROUND(H231*I231/Beallitasok!$B$7,0)*Beallitasok!$B$7</x:f>
        <x:v>6000</x:v>
      </x:c>
      <x:c r="K231" s="19" t="n">
        <x:v>1</x:v>
      </x:c>
      <x:c r="L231" s="19" t="n">
        <x:v>1</x:v>
      </x:c>
      <x:c r="M231" s="113" t="n">
        <x:f>K231*Beallitasok!$B$2+L231*Beallitasok!$B$3</x:f>
        <x:v>60000</x:v>
      </x:c>
      <x:c r="N231" s="115" t="n">
        <x:v>7</x:v>
      </x:c>
      <x:c r="O231" s="113" t="n">
        <x:f>IFERROR(M231/N231,"")</x:f>
        <x:v>8571.42857142857</x:v>
      </x:c>
      <x:c r="P231" s="116" t="n">
        <x:f>Beallitasok!$B$5</x:f>
        <x:v>1.15</x:v>
      </x:c>
      <x:c r="Q231" s="113" t="n">
        <x:f>IFERROR(ROUND(O231*P231/Beallitasok!$B$7,0)*Beallitasok!$B$7,"")</x:f>
        <x:v>9850</x:v>
      </x:c>
      <x:c r="R231" s="113"/>
      <x:c r="S231" s="113" t="n">
        <x:f>IF(Q231="","",Q231+IF(R231="",0,R231))</x:f>
        <x:v>9850</x:v>
      </x:c>
      <x:c r="T231" s="113" t="n">
        <x:f>M231*Beallitasok!$B$4</x:f>
        <x:v>300000</x:v>
      </x:c>
      <x:c r="U231" s="115" t="n">
        <x:f>N231*Beallitasok!$B$4</x:f>
        <x:v>35</x:v>
      </x:c>
      <x:c r="V231" s="113"/>
      <x:c r="W231" s="113" t="str">
        <x:f>IF(V231="","",V231-J231)</x:f>
      </x:c>
      <x:c r="X231" s="19"/>
      <x:c r="Y231" s="113" t="n">
        <x:f>IF(S231="","",J231-S231)</x:f>
        <x:v>-3850</x:v>
      </x:c>
      <x:c r="Z231" s="19" t="str">
        <x:f>IF(AA231="IGEN",IF(J231&lt;S231,"GÉPIGÉNY + KRITIKUS: gépdíj nélkül is alacsony a plafon","GÉPIGÉNY: a saját egységár gépdíj nélkül értendő"),IF(J231&lt;S231,"KRITIKUS: alvállalkozói plafon &lt; saját terhelt egységköltség",IF(J231&lt;S231*Beallitasok!$B$6,"SZŰK TARTALÉK: 10% alatti tartalék","OK")))</x:f>
        <x:v>KRITIKUS: alvállalkozói plafon &lt; saját terhelt egységköltség</x:v>
      </x:c>
      <x:c r="AA231" s="19" t="str">
        <x:v>NEM</x:v>
      </x:c>
      <x:c r="AB231" s="19" t="str">
        <x:v>https://www.ksh.hu/gyorstajekoztatok/epi/epi2603.html</x:v>
      </x:c>
      <x:c r="AC231" s="19" t="str">
        <x:v>2026 piaci nyílászáró-beépítési ajánlatok + brigádnorma</x:v>
      </x:c>
      <x:c r="AD231" s="19" t="str">
        <x:v>Nyílászáró, párkány, redőny és villamos bekötés nincs benne.</x:v>
      </x:c>
    </x:row>
    <x:row r="232">
      <x:c r="A232" s="19" t="str">
        <x:v>AR-0231</x:v>
      </x:c>
      <x:c r="B232" s="19" t="str">
        <x:v>11 Nyílászáró</x:v>
      </x:c>
      <x:c r="C232" s="19" t="str">
        <x:v>Ablak, ajtó és árnyékolás</x:v>
      </x:c>
      <x:c r="D232" s="19" t="str">
        <x:v>Mindegyik</x:v>
      </x:c>
      <x:c r="E232" s="19" t="str">
        <x:v>Belső könyöklő beépítése</x:v>
      </x:c>
      <x:c r="F232" s="19" t="str">
        <x:v>fm</x:v>
      </x:c>
      <x:c r="G232" s="113" t="n">
        <x:v>2800</x:v>
      </x:c>
      <x:c r="H232" s="113" t="n">
        <x:v>4200</x:v>
      </x:c>
      <x:c r="I232" s="114" t="n">
        <x:v>0.6</x:v>
      </x:c>
      <x:c r="J232" s="113" t="n">
        <x:f>ROUND(H232*I232/Beallitasok!$B$7,0)*Beallitasok!$B$7</x:f>
        <x:v>2500</x:v>
      </x:c>
      <x:c r="K232" s="19" t="n">
        <x:v>1</x:v>
      </x:c>
      <x:c r="L232" s="19" t="n">
        <x:v>1</x:v>
      </x:c>
      <x:c r="M232" s="113" t="n">
        <x:f>K232*Beallitasok!$B$2+L232*Beallitasok!$B$3</x:f>
        <x:v>60000</x:v>
      </x:c>
      <x:c r="N232" s="115" t="n">
        <x:v>24</x:v>
      </x:c>
      <x:c r="O232" s="113" t="n">
        <x:f>IFERROR(M232/N232,"")</x:f>
        <x:v>2500</x:v>
      </x:c>
      <x:c r="P232" s="116" t="n">
        <x:f>Beallitasok!$B$5</x:f>
        <x:v>1.15</x:v>
      </x:c>
      <x:c r="Q232" s="113" t="n">
        <x:f>IFERROR(ROUND(O232*P232/Beallitasok!$B$7,0)*Beallitasok!$B$7,"")</x:f>
        <x:v>2900</x:v>
      </x:c>
      <x:c r="R232" s="113"/>
      <x:c r="S232" s="113" t="n">
        <x:f>IF(Q232="","",Q232+IF(R232="",0,R232))</x:f>
        <x:v>2900</x:v>
      </x:c>
      <x:c r="T232" s="113" t="n">
        <x:f>M232*Beallitasok!$B$4</x:f>
        <x:v>300000</x:v>
      </x:c>
      <x:c r="U232" s="115" t="n">
        <x:f>N232*Beallitasok!$B$4</x:f>
        <x:v>120</x:v>
      </x:c>
      <x:c r="V232" s="113"/>
      <x:c r="W232" s="113" t="str">
        <x:f>IF(V232="","",V232-J232)</x:f>
      </x:c>
      <x:c r="X232" s="19"/>
      <x:c r="Y232" s="113" t="n">
        <x:f>IF(S232="","",J232-S232)</x:f>
        <x:v>-400</x:v>
      </x:c>
      <x:c r="Z232" s="19" t="str">
        <x:f>IF(AA232="IGEN",IF(J232&lt;S232,"GÉPIGÉNY + KRITIKUS: gépdíj nélkül is alacsony a plafon","GÉPIGÉNY: a saját egységár gépdíj nélkül értendő"),IF(J232&lt;S232,"KRITIKUS: alvállalkozói plafon &lt; saját terhelt egységköltség",IF(J232&lt;S232*Beallitasok!$B$6,"SZŰK TARTALÉK: 10% alatti tartalék","OK")))</x:f>
        <x:v>KRITIKUS: alvállalkozói plafon &lt; saját terhelt egységköltség</x:v>
      </x:c>
      <x:c r="AA232" s="19" t="str">
        <x:v>NEM</x:v>
      </x:c>
      <x:c r="AB232" s="19" t="str">
        <x:v>https://www.ksh.hu/gyorstajekoztatok/epi/epi2603.html</x:v>
      </x:c>
      <x:c r="AC232" s="19" t="str">
        <x:v>2026 piaci nyílászáró-beépítési ajánlatok + brigádnorma</x:v>
      </x:c>
      <x:c r="AD232" s="19" t="str">
        <x:v>Nyílászáró, párkány, redőny és villamos bekötés nincs benne.</x:v>
      </x:c>
    </x:row>
    <x:row r="233">
      <x:c r="A233" s="19" t="str">
        <x:v>AR-0232</x:v>
      </x:c>
      <x:c r="B233" s="19" t="str">
        <x:v>11 Nyílászáró</x:v>
      </x:c>
      <x:c r="C233" s="19" t="str">
        <x:v>Ablak, ajtó és árnyékolás</x:v>
      </x:c>
      <x:c r="D233" s="19" t="str">
        <x:v>Mindegyik</x:v>
      </x:c>
      <x:c r="E233" s="19" t="str">
        <x:v>Külső párkány beépítése</x:v>
      </x:c>
      <x:c r="F233" s="19" t="str">
        <x:v>fm</x:v>
      </x:c>
      <x:c r="G233" s="113" t="n">
        <x:v>3200</x:v>
      </x:c>
      <x:c r="H233" s="113" t="n">
        <x:v>4800</x:v>
      </x:c>
      <x:c r="I233" s="114" t="n">
        <x:v>0.6</x:v>
      </x:c>
      <x:c r="J233" s="113" t="n">
        <x:f>ROUND(H233*I233/Beallitasok!$B$7,0)*Beallitasok!$B$7</x:f>
        <x:v>2900</x:v>
      </x:c>
      <x:c r="K233" s="19" t="n">
        <x:v>1</x:v>
      </x:c>
      <x:c r="L233" s="19" t="n">
        <x:v>1</x:v>
      </x:c>
      <x:c r="M233" s="113" t="n">
        <x:f>K233*Beallitasok!$B$2+L233*Beallitasok!$B$3</x:f>
        <x:v>60000</x:v>
      </x:c>
      <x:c r="N233" s="115" t="n">
        <x:v>22</x:v>
      </x:c>
      <x:c r="O233" s="113" t="n">
        <x:f>IFERROR(M233/N233,"")</x:f>
        <x:v>2727.2727272727275</x:v>
      </x:c>
      <x:c r="P233" s="116" t="n">
        <x:f>Beallitasok!$B$5</x:f>
        <x:v>1.15</x:v>
      </x:c>
      <x:c r="Q233" s="113" t="n">
        <x:f>IFERROR(ROUND(O233*P233/Beallitasok!$B$7,0)*Beallitasok!$B$7,"")</x:f>
        <x:v>3150</x:v>
      </x:c>
      <x:c r="R233" s="113"/>
      <x:c r="S233" s="113" t="n">
        <x:f>IF(Q233="","",Q233+IF(R233="",0,R233))</x:f>
        <x:v>3150</x:v>
      </x:c>
      <x:c r="T233" s="113" t="n">
        <x:f>M233*Beallitasok!$B$4</x:f>
        <x:v>300000</x:v>
      </x:c>
      <x:c r="U233" s="115" t="n">
        <x:f>N233*Beallitasok!$B$4</x:f>
        <x:v>110</x:v>
      </x:c>
      <x:c r="V233" s="113"/>
      <x:c r="W233" s="113" t="str">
        <x:f>IF(V233="","",V233-J233)</x:f>
      </x:c>
      <x:c r="X233" s="19"/>
      <x:c r="Y233" s="113" t="n">
        <x:f>IF(S233="","",J233-S233)</x:f>
        <x:v>-250</x:v>
      </x:c>
      <x:c r="Z233" s="19" t="str">
        <x:f>IF(AA233="IGEN",IF(J233&lt;S233,"GÉPIGÉNY + KRITIKUS: gépdíj nélkül is alacsony a plafon","GÉPIGÉNY: a saját egységár gépdíj nélkül értendő"),IF(J233&lt;S233,"KRITIKUS: alvállalkozói plafon &lt; saját terhelt egységköltség",IF(J233&lt;S233*Beallitasok!$B$6,"SZŰK TARTALÉK: 10% alatti tartalék","OK")))</x:f>
        <x:v>KRITIKUS: alvállalkozói plafon &lt; saját terhelt egységköltség</x:v>
      </x:c>
      <x:c r="AA233" s="19" t="str">
        <x:v>NEM</x:v>
      </x:c>
      <x:c r="AB233" s="19" t="str">
        <x:v>https://www.ksh.hu/gyorstajekoztatok/epi/epi2603.html</x:v>
      </x:c>
      <x:c r="AC233" s="19" t="str">
        <x:v>2026 piaci nyílászáró-beépítési ajánlatok + brigádnorma</x:v>
      </x:c>
      <x:c r="AD233" s="19" t="str">
        <x:v>Nyílászáró, párkány, redőny és villamos bekötés nincs benne.</x:v>
      </x:c>
    </x:row>
    <x:row r="234">
      <x:c r="A234" s="19" t="str">
        <x:v>AR-0233</x:v>
      </x:c>
      <x:c r="B234" s="19" t="str">
        <x:v>11 Nyílászáró</x:v>
      </x:c>
      <x:c r="C234" s="19" t="str">
        <x:v>Ablak, ajtó és árnyékolás</x:v>
      </x:c>
      <x:c r="D234" s="19" t="str">
        <x:v>Mindegyik</x:v>
      </x:c>
      <x:c r="E234" s="19" t="str">
        <x:v>Redőnytok előkészítése és beépítési segédmunkája</x:v>
      </x:c>
      <x:c r="F234" s="19" t="str">
        <x:v>fm</x:v>
      </x:c>
      <x:c r="G234" s="113" t="n">
        <x:v>4500</x:v>
      </x:c>
      <x:c r="H234" s="113" t="n">
        <x:v>6800</x:v>
      </x:c>
      <x:c r="I234" s="114" t="n">
        <x:v>0.6</x:v>
      </x:c>
      <x:c r="J234" s="113" t="n">
        <x:f>ROUND(H234*I234/Beallitasok!$B$7,0)*Beallitasok!$B$7</x:f>
        <x:v>4100</x:v>
      </x:c>
      <x:c r="K234" s="19" t="n">
        <x:v>2</x:v>
      </x:c>
      <x:c r="L234" s="19" t="n">
        <x:v>1</x:v>
      </x:c>
      <x:c r="M234" s="113" t="n">
        <x:f>K234*Beallitasok!$B$2+L234*Beallitasok!$B$3</x:f>
        <x:v>95000</x:v>
      </x:c>
      <x:c r="N234" s="115" t="n">
        <x:v>18</x:v>
      </x:c>
      <x:c r="O234" s="113" t="n">
        <x:f>IFERROR(M234/N234,"")</x:f>
        <x:v>5277.777777777777</x:v>
      </x:c>
      <x:c r="P234" s="116" t="n">
        <x:f>Beallitasok!$B$5</x:f>
        <x:v>1.15</x:v>
      </x:c>
      <x:c r="Q234" s="113" t="n">
        <x:f>IFERROR(ROUND(O234*P234/Beallitasok!$B$7,0)*Beallitasok!$B$7,"")</x:f>
        <x:v>6050</x:v>
      </x:c>
      <x:c r="R234" s="113"/>
      <x:c r="S234" s="113" t="n">
        <x:f>IF(Q234="","",Q234+IF(R234="",0,R234))</x:f>
        <x:v>6050</x:v>
      </x:c>
      <x:c r="T234" s="113" t="n">
        <x:f>M234*Beallitasok!$B$4</x:f>
        <x:v>475000</x:v>
      </x:c>
      <x:c r="U234" s="115" t="n">
        <x:f>N234*Beallitasok!$B$4</x:f>
        <x:v>90</x:v>
      </x:c>
      <x:c r="V234" s="113"/>
      <x:c r="W234" s="113" t="str">
        <x:f>IF(V234="","",V234-J234)</x:f>
      </x:c>
      <x:c r="X234" s="19"/>
      <x:c r="Y234" s="113" t="n">
        <x:f>IF(S234="","",J234-S234)</x:f>
        <x:v>-1950</x:v>
      </x:c>
      <x:c r="Z234" s="19" t="str">
        <x:f>IF(AA234="IGEN",IF(J234&lt;S234,"GÉPIGÉNY + KRITIKUS: gépdíj nélkül is alacsony a plafon","GÉPIGÉNY: a saját egységár gépdíj nélkül értendő"),IF(J234&lt;S234,"KRITIKUS: alvállalkozói plafon &lt; saját terhelt egységköltség",IF(J234&lt;S234*Beallitasok!$B$6,"SZŰK TARTALÉK: 10% alatti tartalék","OK")))</x:f>
        <x:v>KRITIKUS: alvállalkozói plafon &lt; saját terhelt egységköltség</x:v>
      </x:c>
      <x:c r="AA234" s="19" t="str">
        <x:v>NEM</x:v>
      </x:c>
      <x:c r="AB234" s="19" t="str">
        <x:v>https://www.ksh.hu/gyorstajekoztatok/epi/epi2603.html</x:v>
      </x:c>
      <x:c r="AC234" s="19" t="str">
        <x:v>2026 piaci nyílászáró-beépítési ajánlatok + brigádnorma</x:v>
      </x:c>
      <x:c r="AD234" s="19" t="str">
        <x:v>Nyílászáró, párkány, redőny és villamos bekötés nincs benne.</x:v>
      </x:c>
    </x:row>
    <x:row r="235">
      <x:c r="A235" s="19" t="str">
        <x:v>AR-0234</x:v>
      </x:c>
      <x:c r="B235" s="19" t="str">
        <x:v>11 Nyílászáró</x:v>
      </x:c>
      <x:c r="C235" s="19" t="str">
        <x:v>Ablak, ajtó és árnyékolás</x:v>
      </x:c>
      <x:c r="D235" s="19" t="str">
        <x:v>Mindegyik</x:v>
      </x:c>
      <x:c r="E235" s="19" t="str">
        <x:v>Kézi redőny felszerelése</x:v>
      </x:c>
      <x:c r="F235" s="19" t="str">
        <x:v>m²</x:v>
      </x:c>
      <x:c r="G235" s="113" t="n">
        <x:v>6500</x:v>
      </x:c>
      <x:c r="H235" s="113" t="n">
        <x:v>9500</x:v>
      </x:c>
      <x:c r="I235" s="114" t="n">
        <x:v>0.6</x:v>
      </x:c>
      <x:c r="J235" s="113" t="n">
        <x:f>ROUND(H235*I235/Beallitasok!$B$7,0)*Beallitasok!$B$7</x:f>
        <x:v>5700</x:v>
      </x:c>
      <x:c r="K235" s="19" t="n">
        <x:v>2</x:v>
      </x:c>
      <x:c r="L235" s="19" t="n">
        <x:v>1</x:v>
      </x:c>
      <x:c r="M235" s="113" t="n">
        <x:f>K235*Beallitasok!$B$2+L235*Beallitasok!$B$3</x:f>
        <x:v>95000</x:v>
      </x:c>
      <x:c r="N235" s="115" t="n">
        <x:v>12</x:v>
      </x:c>
      <x:c r="O235" s="113" t="n">
        <x:f>IFERROR(M235/N235,"")</x:f>
        <x:v>7916.666666666667</x:v>
      </x:c>
      <x:c r="P235" s="116" t="n">
        <x:f>Beallitasok!$B$5</x:f>
        <x:v>1.15</x:v>
      </x:c>
      <x:c r="Q235" s="113" t="n">
        <x:f>IFERROR(ROUND(O235*P235/Beallitasok!$B$7,0)*Beallitasok!$B$7,"")</x:f>
        <x:v>9100</x:v>
      </x:c>
      <x:c r="R235" s="113"/>
      <x:c r="S235" s="113" t="n">
        <x:f>IF(Q235="","",Q235+IF(R235="",0,R235))</x:f>
        <x:v>9100</x:v>
      </x:c>
      <x:c r="T235" s="113" t="n">
        <x:f>M235*Beallitasok!$B$4</x:f>
        <x:v>475000</x:v>
      </x:c>
      <x:c r="U235" s="115" t="n">
        <x:f>N235*Beallitasok!$B$4</x:f>
        <x:v>60</x:v>
      </x:c>
      <x:c r="V235" s="113"/>
      <x:c r="W235" s="113" t="str">
        <x:f>IF(V235="","",V235-J235)</x:f>
      </x:c>
      <x:c r="X235" s="19"/>
      <x:c r="Y235" s="113" t="n">
        <x:f>IF(S235="","",J235-S235)</x:f>
        <x:v>-3400</x:v>
      </x:c>
      <x:c r="Z235" s="19" t="str">
        <x:f>IF(AA235="IGEN",IF(J235&lt;S235,"GÉPIGÉNY + KRITIKUS: gépdíj nélkül is alacsony a plafon","GÉPIGÉNY: a saját egységár gépdíj nélkül értendő"),IF(J235&lt;S235,"KRITIKUS: alvállalkozói plafon &lt; saját terhelt egységköltség",IF(J235&lt;S235*Beallitasok!$B$6,"SZŰK TARTALÉK: 10% alatti tartalék","OK")))</x:f>
        <x:v>KRITIKUS: alvállalkozói plafon &lt; saját terhelt egységköltség</x:v>
      </x:c>
      <x:c r="AA235" s="19" t="str">
        <x:v>NEM</x:v>
      </x:c>
      <x:c r="AB235" s="19" t="str">
        <x:v>https://www.ksh.hu/gyorstajekoztatok/epi/epi2603.html</x:v>
      </x:c>
      <x:c r="AC235" s="19" t="str">
        <x:v>2026 piaci nyílászáró-beépítési ajánlatok + brigádnorma</x:v>
      </x:c>
      <x:c r="AD235" s="19" t="str">
        <x:v>Nyílászáró, párkány, redőny és villamos bekötés nincs benne.</x:v>
      </x:c>
    </x:row>
    <x:row r="236">
      <x:c r="A236" s="19" t="str">
        <x:v>AR-0235</x:v>
      </x:c>
      <x:c r="B236" s="19" t="str">
        <x:v>11 Nyílászáró</x:v>
      </x:c>
      <x:c r="C236" s="19" t="str">
        <x:v>Ablak, ajtó és árnyékolás</x:v>
      </x:c>
      <x:c r="D236" s="19" t="str">
        <x:v>Mindegyik</x:v>
      </x:c>
      <x:c r="E236" s="19" t="str">
        <x:v>Motoros redőny felszerelése és mechanikai beállítása</x:v>
      </x:c>
      <x:c r="F236" s="19" t="str">
        <x:v>m²</x:v>
      </x:c>
      <x:c r="G236" s="113" t="n">
        <x:v>8500</x:v>
      </x:c>
      <x:c r="H236" s="113" t="n">
        <x:v>12500</x:v>
      </x:c>
      <x:c r="I236" s="114" t="n">
        <x:v>0.65</x:v>
      </x:c>
      <x:c r="J236" s="113" t="n">
        <x:f>ROUND(H236*I236/Beallitasok!$B$7,0)*Beallitasok!$B$7</x:f>
        <x:v>8150</x:v>
      </x:c>
      <x:c r="K236" s="19" t="n">
        <x:v>2</x:v>
      </x:c>
      <x:c r="L236" s="19" t="n">
        <x:v>1</x:v>
      </x:c>
      <x:c r="M236" s="113" t="n">
        <x:f>K236*Beallitasok!$B$2+L236*Beallitasok!$B$3</x:f>
        <x:v>95000</x:v>
      </x:c>
      <x:c r="N236" s="115" t="n">
        <x:v>9</x:v>
      </x:c>
      <x:c r="O236" s="113" t="n">
        <x:f>IFERROR(M236/N236,"")</x:f>
        <x:v>10555.555555555555</x:v>
      </x:c>
      <x:c r="P236" s="116" t="n">
        <x:f>Beallitasok!$B$5</x:f>
        <x:v>1.15</x:v>
      </x:c>
      <x:c r="Q236" s="113" t="n">
        <x:f>IFERROR(ROUND(O236*P236/Beallitasok!$B$7,0)*Beallitasok!$B$7,"")</x:f>
        <x:v>12150</x:v>
      </x:c>
      <x:c r="R236" s="113"/>
      <x:c r="S236" s="113" t="n">
        <x:f>IF(Q236="","",Q236+IF(R236="",0,R236))</x:f>
        <x:v>12150</x:v>
      </x:c>
      <x:c r="T236" s="113" t="n">
        <x:f>M236*Beallitasok!$B$4</x:f>
        <x:v>475000</x:v>
      </x:c>
      <x:c r="U236" s="115" t="n">
        <x:f>N236*Beallitasok!$B$4</x:f>
        <x:v>45</x:v>
      </x:c>
      <x:c r="V236" s="113"/>
      <x:c r="W236" s="113" t="str">
        <x:f>IF(V236="","",V236-J236)</x:f>
      </x:c>
      <x:c r="X236" s="19"/>
      <x:c r="Y236" s="113" t="n">
        <x:f>IF(S236="","",J236-S236)</x:f>
        <x:v>-4000</x:v>
      </x:c>
      <x:c r="Z236" s="19" t="str">
        <x:f>IF(AA236="IGEN",IF(J236&lt;S236,"GÉPIGÉNY + KRITIKUS: gépdíj nélkül is alacsony a plafon","GÉPIGÉNY: a saját egységár gépdíj nélkül értendő"),IF(J236&lt;S236,"KRITIKUS: alvállalkozói plafon &lt; saját terhelt egységköltség",IF(J236&lt;S236*Beallitasok!$B$6,"SZŰK TARTALÉK: 10% alatti tartalék","OK")))</x:f>
        <x:v>KRITIKUS: alvállalkozói plafon &lt; saját terhelt egységköltség</x:v>
      </x:c>
      <x:c r="AA236" s="19" t="str">
        <x:v>NEM</x:v>
      </x:c>
      <x:c r="AB236" s="19" t="str">
        <x:v>https://www.ksh.hu/gyorstajekoztatok/epi/epi2603.html</x:v>
      </x:c>
      <x:c r="AC236" s="19" t="str">
        <x:v>2026 piaci nyílászáró-beépítési ajánlatok + brigádnorma</x:v>
      </x:c>
      <x:c r="AD236" s="19" t="str">
        <x:v>Nyílászáró, párkány, redőny és villamos bekötés nincs benne.</x:v>
      </x:c>
    </x:row>
    <x:row r="237">
      <x:c r="A237" s="19" t="str">
        <x:v>AR-0236</x:v>
      </x:c>
      <x:c r="B237" s="19" t="str">
        <x:v>11 Nyílászáró</x:v>
      </x:c>
      <x:c r="C237" s="19" t="str">
        <x:v>Ablak, ajtó és árnyékolás</x:v>
      </x:c>
      <x:c r="D237" s="19" t="str">
        <x:v>Mindegyik</x:v>
      </x:c>
      <x:c r="E237" s="19" t="str">
        <x:v>Zsaluzia mechanikai szerelése</x:v>
      </x:c>
      <x:c r="F237" s="19" t="str">
        <x:v>m²</x:v>
      </x:c>
      <x:c r="G237" s="113" t="n">
        <x:v>12000</x:v>
      </x:c>
      <x:c r="H237" s="113" t="n">
        <x:v>18000</x:v>
      </x:c>
      <x:c r="I237" s="114" t="n">
        <x:v>0.65</x:v>
      </x:c>
      <x:c r="J237" s="113" t="n">
        <x:f>ROUND(H237*I237/Beallitasok!$B$7,0)*Beallitasok!$B$7</x:f>
        <x:v>11700</x:v>
      </x:c>
      <x:c r="K237" s="19" t="n">
        <x:v>2</x:v>
      </x:c>
      <x:c r="L237" s="19" t="n">
        <x:v>1</x:v>
      </x:c>
      <x:c r="M237" s="113" t="n">
        <x:f>K237*Beallitasok!$B$2+L237*Beallitasok!$B$3</x:f>
        <x:v>95000</x:v>
      </x:c>
      <x:c r="N237" s="115" t="n">
        <x:v>6</x:v>
      </x:c>
      <x:c r="O237" s="113" t="n">
        <x:f>IFERROR(M237/N237,"")</x:f>
        <x:v>15833.333333333334</x:v>
      </x:c>
      <x:c r="P237" s="116" t="n">
        <x:f>Beallitasok!$B$5</x:f>
        <x:v>1.15</x:v>
      </x:c>
      <x:c r="Q237" s="113" t="n">
        <x:f>IFERROR(ROUND(O237*P237/Beallitasok!$B$7,0)*Beallitasok!$B$7,"")</x:f>
        <x:v>18200</x:v>
      </x:c>
      <x:c r="R237" s="113"/>
      <x:c r="S237" s="113" t="n">
        <x:f>IF(Q237="","",Q237+IF(R237="",0,R237))</x:f>
        <x:v>18200</x:v>
      </x:c>
      <x:c r="T237" s="113" t="n">
        <x:f>M237*Beallitasok!$B$4</x:f>
        <x:v>475000</x:v>
      </x:c>
      <x:c r="U237" s="115" t="n">
        <x:f>N237*Beallitasok!$B$4</x:f>
        <x:v>30</x:v>
      </x:c>
      <x:c r="V237" s="113"/>
      <x:c r="W237" s="113" t="str">
        <x:f>IF(V237="","",V237-J237)</x:f>
      </x:c>
      <x:c r="X237" s="19"/>
      <x:c r="Y237" s="113" t="n">
        <x:f>IF(S237="","",J237-S237)</x:f>
        <x:v>-6500</x:v>
      </x:c>
      <x:c r="Z237" s="19" t="str">
        <x:f>IF(AA237="IGEN",IF(J237&lt;S237,"GÉPIGÉNY + KRITIKUS: gépdíj nélkül is alacsony a plafon","GÉPIGÉNY: a saját egységár gépdíj nélkül értendő"),IF(J237&lt;S237,"KRITIKUS: alvállalkozói plafon &lt; saját terhelt egységköltség",IF(J237&lt;S237*Beallitasok!$B$6,"SZŰK TARTALÉK: 10% alatti tartalék","OK")))</x:f>
        <x:v>KRITIKUS: alvállalkozói plafon &lt; saját terhelt egységköltség</x:v>
      </x:c>
      <x:c r="AA237" s="19" t="str">
        <x:v>NEM</x:v>
      </x:c>
      <x:c r="AB237" s="19" t="str">
        <x:v>https://www.ksh.hu/gyorstajekoztatok/epi/epi2603.html</x:v>
      </x:c>
      <x:c r="AC237" s="19" t="str">
        <x:v>2026 piaci nyílászáró-beépítési ajánlatok + brigádnorma</x:v>
      </x:c>
      <x:c r="AD237" s="19" t="str">
        <x:v>Nyílászáró, párkány, redőny és villamos bekötés nincs benne.</x:v>
      </x:c>
    </x:row>
    <x:row r="238">
      <x:c r="A238" s="19" t="str">
        <x:v>AR-0237</x:v>
      </x:c>
      <x:c r="B238" s="19" t="str">
        <x:v>11 Nyílászáró</x:v>
      </x:c>
      <x:c r="C238" s="19" t="str">
        <x:v>Ablak, ajtó és árnyékolás</x:v>
      </x:c>
      <x:c r="D238" s="19" t="str">
        <x:v>Mindegyik</x:v>
      </x:c>
      <x:c r="E238" s="19" t="str">
        <x:v>Fix szúnyogháló felszerelése</x:v>
      </x:c>
      <x:c r="F238" s="19" t="str">
        <x:v>db</x:v>
      </x:c>
      <x:c r="G238" s="113" t="n">
        <x:v>4500</x:v>
      </x:c>
      <x:c r="H238" s="113" t="n">
        <x:v>6800</x:v>
      </x:c>
      <x:c r="I238" s="114" t="n">
        <x:v>0.6</x:v>
      </x:c>
      <x:c r="J238" s="113" t="n">
        <x:f>ROUND(H238*I238/Beallitasok!$B$7,0)*Beallitasok!$B$7</x:f>
        <x:v>4100</x:v>
      </x:c>
      <x:c r="K238" s="19" t="n">
        <x:v>1</x:v>
      </x:c>
      <x:c r="L238" s="19" t="n">
        <x:v>1</x:v>
      </x:c>
      <x:c r="M238" s="113" t="n">
        <x:f>K238*Beallitasok!$B$2+L238*Beallitasok!$B$3</x:f>
        <x:v>60000</x:v>
      </x:c>
      <x:c r="N238" s="115" t="n">
        <x:v>8</x:v>
      </x:c>
      <x:c r="O238" s="113" t="n">
        <x:f>IFERROR(M238/N238,"")</x:f>
        <x:v>7500</x:v>
      </x:c>
      <x:c r="P238" s="116" t="n">
        <x:f>Beallitasok!$B$5</x:f>
        <x:v>1.15</x:v>
      </x:c>
      <x:c r="Q238" s="113" t="n">
        <x:f>IFERROR(ROUND(O238*P238/Beallitasok!$B$7,0)*Beallitasok!$B$7,"")</x:f>
        <x:v>8650</x:v>
      </x:c>
      <x:c r="R238" s="113"/>
      <x:c r="S238" s="113" t="n">
        <x:f>IF(Q238="","",Q238+IF(R238="",0,R238))</x:f>
        <x:v>8650</x:v>
      </x:c>
      <x:c r="T238" s="113" t="n">
        <x:f>M238*Beallitasok!$B$4</x:f>
        <x:v>300000</x:v>
      </x:c>
      <x:c r="U238" s="115" t="n">
        <x:f>N238*Beallitasok!$B$4</x:f>
        <x:v>40</x:v>
      </x:c>
      <x:c r="V238" s="113"/>
      <x:c r="W238" s="113" t="str">
        <x:f>IF(V238="","",V238-J238)</x:f>
      </x:c>
      <x:c r="X238" s="19"/>
      <x:c r="Y238" s="113" t="n">
        <x:f>IF(S238="","",J238-S238)</x:f>
        <x:v>-4550</x:v>
      </x:c>
      <x:c r="Z238" s="19" t="str">
        <x:f>IF(AA238="IGEN",IF(J238&lt;S238,"GÉPIGÉNY + KRITIKUS: gépdíj nélkül is alacsony a plafon","GÉPIGÉNY: a saját egységár gépdíj nélkül értendő"),IF(J238&lt;S238,"KRITIKUS: alvállalkozói plafon &lt; saját terhelt egységköltség",IF(J238&lt;S238*Beallitasok!$B$6,"SZŰK TARTALÉK: 10% alatti tartalék","OK")))</x:f>
        <x:v>KRITIKUS: alvállalkozói plafon &lt; saját terhelt egységköltség</x:v>
      </x:c>
      <x:c r="AA238" s="19" t="str">
        <x:v>NEM</x:v>
      </x:c>
      <x:c r="AB238" s="19" t="str">
        <x:v>https://www.ksh.hu/gyorstajekoztatok/epi/epi2603.html</x:v>
      </x:c>
      <x:c r="AC238" s="19" t="str">
        <x:v>2026 piaci nyílászáró-beépítési ajánlatok + brigádnorma</x:v>
      </x:c>
      <x:c r="AD238" s="19" t="str">
        <x:v>Nyílászáró, párkány, redőny és villamos bekötés nincs benne.</x:v>
      </x:c>
    </x:row>
    <x:row r="239">
      <x:c r="A239" s="19" t="str">
        <x:v>AR-0238</x:v>
      </x:c>
      <x:c r="B239" s="19" t="str">
        <x:v>11 Nyílászáró</x:v>
      </x:c>
      <x:c r="C239" s="19" t="str">
        <x:v>Ablak, ajtó és árnyékolás</x:v>
      </x:c>
      <x:c r="D239" s="19" t="str">
        <x:v>Mindegyik</x:v>
      </x:c>
      <x:c r="E239" s="19" t="str">
        <x:v>Toló szúnyogháló felszerelése</x:v>
      </x:c>
      <x:c r="F239" s="19" t="str">
        <x:v>db</x:v>
      </x:c>
      <x:c r="G239" s="113" t="n">
        <x:v>7500</x:v>
      </x:c>
      <x:c r="H239" s="113" t="n">
        <x:v>11000</x:v>
      </x:c>
      <x:c r="I239" s="114" t="n">
        <x:v>0.6</x:v>
      </x:c>
      <x:c r="J239" s="113" t="n">
        <x:f>ROUND(H239*I239/Beallitasok!$B$7,0)*Beallitasok!$B$7</x:f>
        <x:v>6600</x:v>
      </x:c>
      <x:c r="K239" s="19" t="n">
        <x:v>1</x:v>
      </x:c>
      <x:c r="L239" s="19" t="n">
        <x:v>1</x:v>
      </x:c>
      <x:c r="M239" s="113" t="n">
        <x:f>K239*Beallitasok!$B$2+L239*Beallitasok!$B$3</x:f>
        <x:v>60000</x:v>
      </x:c>
      <x:c r="N239" s="115" t="n">
        <x:v>5</x:v>
      </x:c>
      <x:c r="O239" s="113" t="n">
        <x:f>IFERROR(M239/N239,"")</x:f>
        <x:v>12000</x:v>
      </x:c>
      <x:c r="P239" s="116" t="n">
        <x:f>Beallitasok!$B$5</x:f>
        <x:v>1.15</x:v>
      </x:c>
      <x:c r="Q239" s="113" t="n">
        <x:f>IFERROR(ROUND(O239*P239/Beallitasok!$B$7,0)*Beallitasok!$B$7,"")</x:f>
        <x:v>13800</x:v>
      </x:c>
      <x:c r="R239" s="113"/>
      <x:c r="S239" s="113" t="n">
        <x:f>IF(Q239="","",Q239+IF(R239="",0,R239))</x:f>
        <x:v>13800</x:v>
      </x:c>
      <x:c r="T239" s="113" t="n">
        <x:f>M239*Beallitasok!$B$4</x:f>
        <x:v>300000</x:v>
      </x:c>
      <x:c r="U239" s="115" t="n">
        <x:f>N239*Beallitasok!$B$4</x:f>
        <x:v>25</x:v>
      </x:c>
      <x:c r="V239" s="113"/>
      <x:c r="W239" s="113" t="str">
        <x:f>IF(V239="","",V239-J239)</x:f>
      </x:c>
      <x:c r="X239" s="19"/>
      <x:c r="Y239" s="113" t="n">
        <x:f>IF(S239="","",J239-S239)</x:f>
        <x:v>-7200</x:v>
      </x:c>
      <x:c r="Z239" s="19" t="str">
        <x:f>IF(AA239="IGEN",IF(J239&lt;S239,"GÉPIGÉNY + KRITIKUS: gépdíj nélkül is alacsony a plafon","GÉPIGÉNY: a saját egységár gépdíj nélkül értendő"),IF(J239&lt;S239,"KRITIKUS: alvállalkozói plafon &lt; saját terhelt egységköltség",IF(J239&lt;S239*Beallitasok!$B$6,"SZŰK TARTALÉK: 10% alatti tartalék","OK")))</x:f>
        <x:v>KRITIKUS: alvállalkozói plafon &lt; saját terhelt egységköltség</x:v>
      </x:c>
      <x:c r="AA239" s="19" t="str">
        <x:v>NEM</x:v>
      </x:c>
      <x:c r="AB239" s="19" t="str">
        <x:v>https://www.ksh.hu/gyorstajekoztatok/epi/epi2603.html</x:v>
      </x:c>
      <x:c r="AC239" s="19" t="str">
        <x:v>2026 piaci nyílászáró-beépítési ajánlatok + brigádnorma</x:v>
      </x:c>
      <x:c r="AD239" s="19" t="str">
        <x:v>Nyílászáró, párkány, redőny és villamos bekötés nincs benne.</x:v>
      </x:c>
    </x:row>
    <x:row r="240">
      <x:c r="A240" s="19" t="str">
        <x:v>AR-0239</x:v>
      </x:c>
      <x:c r="B240" s="19" t="str">
        <x:v>11 Nyílászáró</x:v>
      </x:c>
      <x:c r="C240" s="19" t="str">
        <x:v>Ablak, ajtó és árnyékolás</x:v>
      </x:c>
      <x:c r="D240" s="19" t="str">
        <x:v>Mindegyik</x:v>
      </x:c>
      <x:c r="E240" s="19" t="str">
        <x:v>Nyílászáró beépítés utáni kávajavítás</x:v>
      </x:c>
      <x:c r="F240" s="19" t="str">
        <x:v>fm</x:v>
      </x:c>
      <x:c r="G240" s="113" t="n">
        <x:v>2600</x:v>
      </x:c>
      <x:c r="H240" s="113" t="n">
        <x:v>3900</x:v>
      </x:c>
      <x:c r="I240" s="114" t="n">
        <x:v>0.55</x:v>
      </x:c>
      <x:c r="J240" s="113" t="n">
        <x:f>ROUND(H240*I240/Beallitasok!$B$7,0)*Beallitasok!$B$7</x:f>
        <x:v>2150</x:v>
      </x:c>
      <x:c r="K240" s="19" t="n">
        <x:v>1</x:v>
      </x:c>
      <x:c r="L240" s="19" t="n">
        <x:v>1</x:v>
      </x:c>
      <x:c r="M240" s="113" t="n">
        <x:f>K240*Beallitasok!$B$2+L240*Beallitasok!$B$3</x:f>
        <x:v>60000</x:v>
      </x:c>
      <x:c r="N240" s="115" t="n">
        <x:v>35</x:v>
      </x:c>
      <x:c r="O240" s="113" t="n">
        <x:f>IFERROR(M240/N240,"")</x:f>
        <x:v>1714.2857142857142</x:v>
      </x:c>
      <x:c r="P240" s="116" t="n">
        <x:f>Beallitasok!$B$5</x:f>
        <x:v>1.15</x:v>
      </x:c>
      <x:c r="Q240" s="113" t="n">
        <x:f>IFERROR(ROUND(O240*P240/Beallitasok!$B$7,0)*Beallitasok!$B$7,"")</x:f>
        <x:v>1950</x:v>
      </x:c>
      <x:c r="R240" s="113"/>
      <x:c r="S240" s="113" t="n">
        <x:f>IF(Q240="","",Q240+IF(R240="",0,R240))</x:f>
        <x:v>1950</x:v>
      </x:c>
      <x:c r="T240" s="113" t="n">
        <x:f>M240*Beallitasok!$B$4</x:f>
        <x:v>300000</x:v>
      </x:c>
      <x:c r="U240" s="115" t="n">
        <x:f>N240*Beallitasok!$B$4</x:f>
        <x:v>175</x:v>
      </x:c>
      <x:c r="V240" s="113"/>
      <x:c r="W240" s="113" t="str">
        <x:f>IF(V240="","",V240-J240)</x:f>
      </x:c>
      <x:c r="X240" s="19"/>
      <x:c r="Y240" s="113" t="n">
        <x:f>IF(S240="","",J240-S240)</x:f>
        <x:v>200</x:v>
      </x:c>
      <x:c r="Z240" s="19" t="str">
        <x:f>IF(AA240="IGEN",IF(J240&lt;S240,"GÉPIGÉNY + KRITIKUS: gépdíj nélkül is alacsony a plafon","GÉPIGÉNY: a saját egységár gépdíj nélkül értendő"),IF(J240&lt;S240,"KRITIKUS: alvállalkozói plafon &lt; saját terhelt egységköltség",IF(J240&lt;S240*Beallitasok!$B$6,"SZŰK TARTALÉK: 10% alatti tartalék","OK")))</x:f>
        <x:v>OK</x:v>
      </x:c>
      <x:c r="AA240" s="19" t="str">
        <x:v>NEM</x:v>
      </x:c>
      <x:c r="AB240" s="19" t="str">
        <x:v>https://www.ksh.hu/gyorstajekoztatok/epi/epi2603.html</x:v>
      </x:c>
      <x:c r="AC240" s="19" t="str">
        <x:v>2026 piaci nyílászáró-beépítési ajánlatok + brigádnorma</x:v>
      </x:c>
      <x:c r="AD240" s="19" t="str">
        <x:v>Nyílászáró, párkány, redőny és villamos bekötés nincs benne.</x:v>
      </x:c>
    </x:row>
    <x:row r="241">
      <x:c r="A241" s="19" t="str">
        <x:v>AR-0240</x:v>
      </x:c>
      <x:c r="B241" s="19" t="str">
        <x:v>12 Belső alapfelületek</x:v>
      </x:c>
      <x:c r="C241" s="19" t="str">
        <x:v>Vakolás, esztrich, gipszkarton</x:v>
      </x:c>
      <x:c r="D241" s="19" t="str">
        <x:v>Mindegyik</x:v>
      </x:c>
      <x:c r="E241" s="19" t="str">
        <x:v>Gépi mész-cement vakolás normál falon</x:v>
      </x:c>
      <x:c r="F241" s="19" t="str">
        <x:v>m²</x:v>
      </x:c>
      <x:c r="G241" s="113" t="n">
        <x:v>2500</x:v>
      </x:c>
      <x:c r="H241" s="113" t="n">
        <x:v>2500</x:v>
      </x:c>
      <x:c r="I241" s="114" t="n">
        <x:v>0.55</x:v>
      </x:c>
      <x:c r="J241" s="113" t="n">
        <x:f>ROUND(H241*I241/Beallitasok!$B$7,0)*Beallitasok!$B$7</x:f>
        <x:v>1400</x:v>
      </x:c>
      <x:c r="K241" s="19" t="n">
        <x:v>3</x:v>
      </x:c>
      <x:c r="L241" s="19" t="n">
        <x:v>2</x:v>
      </x:c>
      <x:c r="M241" s="113" t="n">
        <x:f>K241*Beallitasok!$B$2+L241*Beallitasok!$B$3</x:f>
        <x:v>155000</x:v>
      </x:c>
      <x:c r="N241" s="115" t="n">
        <x:v>180</x:v>
      </x:c>
      <x:c r="O241" s="113" t="n">
        <x:f>IFERROR(M241/N241,"")</x:f>
        <x:v>861.1111111111111</x:v>
      </x:c>
      <x:c r="P241" s="116" t="n">
        <x:f>Beallitasok!$B$5</x:f>
        <x:v>1.15</x:v>
      </x:c>
      <x:c r="Q241" s="113" t="n">
        <x:f>IFERROR(ROUND(O241*P241/Beallitasok!$B$7,0)*Beallitasok!$B$7,"")</x:f>
        <x:v>1000</x:v>
      </x:c>
      <x:c r="R241" s="113"/>
      <x:c r="S241" s="113" t="n">
        <x:f>IF(Q241="","",Q241+IF(R241="",0,R241))</x:f>
        <x:v>1000</x:v>
      </x:c>
      <x:c r="T241" s="113" t="n">
        <x:f>M241*Beallitasok!$B$4</x:f>
        <x:v>775000</x:v>
      </x:c>
      <x:c r="U241" s="115" t="n">
        <x:f>N241*Beallitasok!$B$4</x:f>
        <x:v>900</x:v>
      </x:c>
      <x:c r="V241" s="113"/>
      <x:c r="W241" s="113" t="str">
        <x:f>IF(V241="","",V241-J241)</x:f>
      </x:c>
      <x:c r="X241" s="19"/>
      <x:c r="Y241" s="113" t="n">
        <x:f>IF(S241="","",J241-S241)</x:f>
        <x:v>400</x:v>
      </x:c>
      <x:c r="Z241" s="19" t="str">
        <x:f>IF(AA241="IGEN",IF(J241&lt;S241,"GÉPIGÉNY + KRITIKUS: gépdíj nélkül is alacsony a plafon","GÉPIGÉNY: a saját egységár gépdíj nélkül értendő"),IF(J241&lt;S241,"KRITIKUS: alvállalkozói plafon &lt; saját terhelt egységköltség",IF(J241&lt;S241*Beallitasok!$B$6,"SZŰK TARTALÉK: 10% alatti tartalék","OK")))</x:f>
        <x:v>OK</x:v>
      </x:c>
      <x:c r="AA241" s="19" t="str">
        <x:v>NEM</x:v>
      </x:c>
      <x:c r="AB241" s="19" t="str">
        <x:v>https://joszaki.hu/arak/gletteles</x:v>
      </x:c>
      <x:c r="AC241" s="19" t="str">
        <x:v>2026 piaci munkadíj és részfolyamatokra bontott norma</x:v>
      </x:c>
      <x:c r="AD241" s="19" t="str"/>
    </x:row>
    <x:row r="242">
      <x:c r="A242" s="19" t="str">
        <x:v>AR-0241</x:v>
      </x:c>
      <x:c r="B242" s="19" t="str">
        <x:v>12 Belső alapfelületek</x:v>
      </x:c>
      <x:c r="C242" s="19" t="str">
        <x:v>Vakolás, esztrich, gipszkarton</x:v>
      </x:c>
      <x:c r="D242" s="19" t="str">
        <x:v>Mindegyik</x:v>
      </x:c>
      <x:c r="E242" s="19" t="str">
        <x:v>Gépi gipszes vakolás normál falon</x:v>
      </x:c>
      <x:c r="F242" s="19" t="str">
        <x:v>m²</x:v>
      </x:c>
      <x:c r="G242" s="113" t="n">
        <x:v>2500</x:v>
      </x:c>
      <x:c r="H242" s="113" t="n">
        <x:v>2700</x:v>
      </x:c>
      <x:c r="I242" s="114" t="n">
        <x:v>0.55</x:v>
      </x:c>
      <x:c r="J242" s="113" t="n">
        <x:f>ROUND(H242*I242/Beallitasok!$B$7,0)*Beallitasok!$B$7</x:f>
        <x:v>1500</x:v>
      </x:c>
      <x:c r="K242" s="19" t="n">
        <x:v>3</x:v>
      </x:c>
      <x:c r="L242" s="19" t="n">
        <x:v>2</x:v>
      </x:c>
      <x:c r="M242" s="113" t="n">
        <x:f>K242*Beallitasok!$B$2+L242*Beallitasok!$B$3</x:f>
        <x:v>155000</x:v>
      </x:c>
      <x:c r="N242" s="115" t="n">
        <x:v>170</x:v>
      </x:c>
      <x:c r="O242" s="113" t="n">
        <x:f>IFERROR(M242/N242,"")</x:f>
        <x:v>911.7647058823529</x:v>
      </x:c>
      <x:c r="P242" s="116" t="n">
        <x:f>Beallitasok!$B$5</x:f>
        <x:v>1.15</x:v>
      </x:c>
      <x:c r="Q242" s="113" t="n">
        <x:f>IFERROR(ROUND(O242*P242/Beallitasok!$B$7,0)*Beallitasok!$B$7,"")</x:f>
        <x:v>1050</x:v>
      </x:c>
      <x:c r="R242" s="113"/>
      <x:c r="S242" s="113" t="n">
        <x:f>IF(Q242="","",Q242+IF(R242="",0,R242))</x:f>
        <x:v>1050</x:v>
      </x:c>
      <x:c r="T242" s="113" t="n">
        <x:f>M242*Beallitasok!$B$4</x:f>
        <x:v>775000</x:v>
      </x:c>
      <x:c r="U242" s="115" t="n">
        <x:f>N242*Beallitasok!$B$4</x:f>
        <x:v>850</x:v>
      </x:c>
      <x:c r="V242" s="113"/>
      <x:c r="W242" s="113" t="str">
        <x:f>IF(V242="","",V242-J242)</x:f>
      </x:c>
      <x:c r="X242" s="19"/>
      <x:c r="Y242" s="113" t="n">
        <x:f>IF(S242="","",J242-S242)</x:f>
        <x:v>450</x:v>
      </x:c>
      <x:c r="Z242" s="19" t="str">
        <x:f>IF(AA242="IGEN",IF(J242&lt;S242,"GÉPIGÉNY + KRITIKUS: gépdíj nélkül is alacsony a plafon","GÉPIGÉNY: a saját egységár gépdíj nélkül értendő"),IF(J242&lt;S242,"KRITIKUS: alvállalkozói plafon &lt; saját terhelt egységköltség",IF(J242&lt;S242*Beallitasok!$B$6,"SZŰK TARTALÉK: 10% alatti tartalék","OK")))</x:f>
        <x:v>OK</x:v>
      </x:c>
      <x:c r="AA242" s="19" t="str">
        <x:v>NEM</x:v>
      </x:c>
      <x:c r="AB242" s="19" t="str">
        <x:v>https://joszaki.hu/arak/gletteles</x:v>
      </x:c>
      <x:c r="AC242" s="19" t="str">
        <x:v>2026 piaci munkadíj és részfolyamatokra bontott norma</x:v>
      </x:c>
      <x:c r="AD242" s="19" t="str"/>
    </x:row>
    <x:row r="243">
      <x:c r="A243" s="19" t="str">
        <x:v>AR-0242</x:v>
      </x:c>
      <x:c r="B243" s="19" t="str">
        <x:v>12 Belső alapfelületek</x:v>
      </x:c>
      <x:c r="C243" s="19" t="str">
        <x:v>Vakolás, esztrich, gipszkarton</x:v>
      </x:c>
      <x:c r="D243" s="19" t="str">
        <x:v>Mindegyik</x:v>
      </x:c>
      <x:c r="E243" s="19" t="str">
        <x:v>Kézi javítóvakolás 10% felületig</x:v>
      </x:c>
      <x:c r="F243" s="19" t="str">
        <x:v>m² teljes felület</x:v>
      </x:c>
      <x:c r="G243" s="113" t="n">
        <x:v>900</x:v>
      </x:c>
      <x:c r="H243" s="113" t="n">
        <x:v>1400</x:v>
      </x:c>
      <x:c r="I243" s="114" t="n">
        <x:v>0.55</x:v>
      </x:c>
      <x:c r="J243" s="113" t="n">
        <x:f>ROUND(H243*I243/Beallitasok!$B$7,0)*Beallitasok!$B$7</x:f>
        <x:v>750</x:v>
      </x:c>
      <x:c r="K243" s="19" t="n">
        <x:v>1</x:v>
      </x:c>
      <x:c r="L243" s="19" t="n">
        <x:v>1</x:v>
      </x:c>
      <x:c r="M243" s="113" t="n">
        <x:f>K243*Beallitasok!$B$2+L243*Beallitasok!$B$3</x:f>
        <x:v>60000</x:v>
      </x:c>
      <x:c r="N243" s="115" t="n">
        <x:v>120</x:v>
      </x:c>
      <x:c r="O243" s="113" t="n">
        <x:f>IFERROR(M243/N243,"")</x:f>
        <x:v>500</x:v>
      </x:c>
      <x:c r="P243" s="116" t="n">
        <x:f>Beallitasok!$B$5</x:f>
        <x:v>1.15</x:v>
      </x:c>
      <x:c r="Q243" s="113" t="n">
        <x:f>IFERROR(ROUND(O243*P243/Beallitasok!$B$7,0)*Beallitasok!$B$7,"")</x:f>
        <x:v>600</x:v>
      </x:c>
      <x:c r="R243" s="113"/>
      <x:c r="S243" s="113" t="n">
        <x:f>IF(Q243="","",Q243+IF(R243="",0,R243))</x:f>
        <x:v>600</x:v>
      </x:c>
      <x:c r="T243" s="113" t="n">
        <x:f>M243*Beallitasok!$B$4</x:f>
        <x:v>300000</x:v>
      </x:c>
      <x:c r="U243" s="115" t="n">
        <x:f>N243*Beallitasok!$B$4</x:f>
        <x:v>600</x:v>
      </x:c>
      <x:c r="V243" s="113"/>
      <x:c r="W243" s="113" t="str">
        <x:f>IF(V243="","",V243-J243)</x:f>
      </x:c>
      <x:c r="X243" s="19"/>
      <x:c r="Y243" s="113" t="n">
        <x:f>IF(S243="","",J243-S243)</x:f>
        <x:v>150</x:v>
      </x:c>
      <x:c r="Z243" s="19" t="str">
        <x:f>IF(AA243="IGEN",IF(J243&lt;S243,"GÉPIGÉNY + KRITIKUS: gépdíj nélkül is alacsony a plafon","GÉPIGÉNY: a saját egységár gépdíj nélkül értendő"),IF(J243&lt;S243,"KRITIKUS: alvállalkozói plafon &lt; saját terhelt egységköltség",IF(J243&lt;S243*Beallitasok!$B$6,"SZŰK TARTALÉK: 10% alatti tartalék","OK")))</x:f>
        <x:v>OK</x:v>
      </x:c>
      <x:c r="AA243" s="19" t="str">
        <x:v>NEM</x:v>
      </x:c>
      <x:c r="AB243" s="19" t="str">
        <x:v>https://joszaki.hu/arak/gletteles</x:v>
      </x:c>
      <x:c r="AC243" s="19" t="str">
        <x:v>2026 piaci munkadíj és részfolyamatokra bontott norma</x:v>
      </x:c>
      <x:c r="AD243" s="19" t="str"/>
    </x:row>
    <x:row r="244">
      <x:c r="A244" s="19" t="str">
        <x:v>AR-0243</x:v>
      </x:c>
      <x:c r="B244" s="19" t="str">
        <x:v>12 Belső alapfelületek</x:v>
      </x:c>
      <x:c r="C244" s="19" t="str">
        <x:v>Vakolás, esztrich, gipszkarton</x:v>
      </x:c>
      <x:c r="D244" s="19" t="str">
        <x:v>Mindegyik</x:v>
      </x:c>
      <x:c r="E244" s="19" t="str">
        <x:v>Kézi vakolás kis felületen</x:v>
      </x:c>
      <x:c r="F244" s="19" t="str">
        <x:v>m²</x:v>
      </x:c>
      <x:c r="G244" s="113" t="n">
        <x:v>4200</x:v>
      </x:c>
      <x:c r="H244" s="113" t="n">
        <x:v>6200</x:v>
      </x:c>
      <x:c r="I244" s="114" t="n">
        <x:v>0.55</x:v>
      </x:c>
      <x:c r="J244" s="113" t="n">
        <x:f>ROUND(H244*I244/Beallitasok!$B$7,0)*Beallitasok!$B$7</x:f>
        <x:v>3400</x:v>
      </x:c>
      <x:c r="K244" s="19" t="n">
        <x:v>2</x:v>
      </x:c>
      <x:c r="L244" s="19" t="n">
        <x:v>1</x:v>
      </x:c>
      <x:c r="M244" s="113" t="n">
        <x:f>K244*Beallitasok!$B$2+L244*Beallitasok!$B$3</x:f>
        <x:v>95000</x:v>
      </x:c>
      <x:c r="N244" s="115" t="n">
        <x:v>24</x:v>
      </x:c>
      <x:c r="O244" s="113" t="n">
        <x:f>IFERROR(M244/N244,"")</x:f>
        <x:v>3958.3333333333335</x:v>
      </x:c>
      <x:c r="P244" s="116" t="n">
        <x:f>Beallitasok!$B$5</x:f>
        <x:v>1.15</x:v>
      </x:c>
      <x:c r="Q244" s="113" t="n">
        <x:f>IFERROR(ROUND(O244*P244/Beallitasok!$B$7,0)*Beallitasok!$B$7,"")</x:f>
        <x:v>4550</x:v>
      </x:c>
      <x:c r="R244" s="113"/>
      <x:c r="S244" s="113" t="n">
        <x:f>IF(Q244="","",Q244+IF(R244="",0,R244))</x:f>
        <x:v>4550</x:v>
      </x:c>
      <x:c r="T244" s="113" t="n">
        <x:f>M244*Beallitasok!$B$4</x:f>
        <x:v>475000</x:v>
      </x:c>
      <x:c r="U244" s="115" t="n">
        <x:f>N244*Beallitasok!$B$4</x:f>
        <x:v>120</x:v>
      </x:c>
      <x:c r="V244" s="113"/>
      <x:c r="W244" s="113" t="str">
        <x:f>IF(V244="","",V244-J244)</x:f>
      </x:c>
      <x:c r="X244" s="19"/>
      <x:c r="Y244" s="113" t="n">
        <x:f>IF(S244="","",J244-S244)</x:f>
        <x:v>-1150</x:v>
      </x:c>
      <x:c r="Z244" s="19" t="str">
        <x:f>IF(AA244="IGEN",IF(J244&lt;S244,"GÉPIGÉNY + KRITIKUS: gépdíj nélkül is alacsony a plafon","GÉPIGÉNY: a saját egységár gépdíj nélkül értendő"),IF(J244&lt;S244,"KRITIKUS: alvállalkozói plafon &lt; saját terhelt egységköltség",IF(J244&lt;S244*Beallitasok!$B$6,"SZŰK TARTALÉK: 10% alatti tartalék","OK")))</x:f>
        <x:v>KRITIKUS: alvállalkozói plafon &lt; saját terhelt egységköltség</x:v>
      </x:c>
      <x:c r="AA244" s="19" t="str">
        <x:v>NEM</x:v>
      </x:c>
      <x:c r="AB244" s="19" t="str">
        <x:v>https://joszaki.hu/arak/gletteles</x:v>
      </x:c>
      <x:c r="AC244" s="19" t="str">
        <x:v>2026 piaci munkadíj és részfolyamatokra bontott norma</x:v>
      </x:c>
      <x:c r="AD244" s="19" t="str"/>
    </x:row>
    <x:row r="245">
      <x:c r="A245" s="19" t="str">
        <x:v>AR-0244</x:v>
      </x:c>
      <x:c r="B245" s="19" t="str">
        <x:v>12 Belső alapfelületek</x:v>
      </x:c>
      <x:c r="C245" s="19" t="str">
        <x:v>Vakolás, esztrich, gipszkarton</x:v>
      </x:c>
      <x:c r="D245" s="19" t="str">
        <x:v>Mindegyik</x:v>
      </x:c>
      <x:c r="E245" s="19" t="str">
        <x:v>Vakolási élvédő elhelyezése</x:v>
      </x:c>
      <x:c r="F245" s="19" t="str">
        <x:v>fm</x:v>
      </x:c>
      <x:c r="G245" s="113" t="n">
        <x:v>600</x:v>
      </x:c>
      <x:c r="H245" s="113" t="n">
        <x:v>900</x:v>
      </x:c>
      <x:c r="I245" s="114" t="n">
        <x:v>0.55</x:v>
      </x:c>
      <x:c r="J245" s="113" t="n">
        <x:f>ROUND(H245*I245/Beallitasok!$B$7,0)*Beallitasok!$B$7</x:f>
        <x:v>500</x:v>
      </x:c>
      <x:c r="K245" s="19" t="n">
        <x:v>1</x:v>
      </x:c>
      <x:c r="L245" s="19" t="n">
        <x:v>1</x:v>
      </x:c>
      <x:c r="M245" s="113" t="n">
        <x:f>K245*Beallitasok!$B$2+L245*Beallitasok!$B$3</x:f>
        <x:v>60000</x:v>
      </x:c>
      <x:c r="N245" s="115" t="n">
        <x:v>120</x:v>
      </x:c>
      <x:c r="O245" s="113" t="n">
        <x:f>IFERROR(M245/N245,"")</x:f>
        <x:v>500</x:v>
      </x:c>
      <x:c r="P245" s="116" t="n">
        <x:f>Beallitasok!$B$5</x:f>
        <x:v>1.15</x:v>
      </x:c>
      <x:c r="Q245" s="113" t="n">
        <x:f>IFERROR(ROUND(O245*P245/Beallitasok!$B$7,0)*Beallitasok!$B$7,"")</x:f>
        <x:v>600</x:v>
      </x:c>
      <x:c r="R245" s="113"/>
      <x:c r="S245" s="113" t="n">
        <x:f>IF(Q245="","",Q245+IF(R245="",0,R245))</x:f>
        <x:v>600</x:v>
      </x:c>
      <x:c r="T245" s="113" t="n">
        <x:f>M245*Beallitasok!$B$4</x:f>
        <x:v>300000</x:v>
      </x:c>
      <x:c r="U245" s="115" t="n">
        <x:f>N245*Beallitasok!$B$4</x:f>
        <x:v>600</x:v>
      </x:c>
      <x:c r="V245" s="113"/>
      <x:c r="W245" s="113" t="str">
        <x:f>IF(V245="","",V245-J245)</x:f>
      </x:c>
      <x:c r="X245" s="19"/>
      <x:c r="Y245" s="113" t="n">
        <x:f>IF(S245="","",J245-S245)</x:f>
        <x:v>-100</x:v>
      </x:c>
      <x:c r="Z245" s="19" t="str">
        <x:f>IF(AA245="IGEN",IF(J245&lt;S245,"GÉPIGÉNY + KRITIKUS: gépdíj nélkül is alacsony a plafon","GÉPIGÉNY: a saját egységár gépdíj nélkül értendő"),IF(J245&lt;S245,"KRITIKUS: alvállalkozói plafon &lt; saját terhelt egységköltség",IF(J245&lt;S245*Beallitasok!$B$6,"SZŰK TARTALÉK: 10% alatti tartalék","OK")))</x:f>
        <x:v>KRITIKUS: alvállalkozói plafon &lt; saját terhelt egységköltség</x:v>
      </x:c>
      <x:c r="AA245" s="19" t="str">
        <x:v>NEM</x:v>
      </x:c>
      <x:c r="AB245" s="19" t="str">
        <x:v>https://joszaki.hu/arak/gletteles</x:v>
      </x:c>
      <x:c r="AC245" s="19" t="str">
        <x:v>2026 piaci munkadíj és részfolyamatokra bontott norma</x:v>
      </x:c>
      <x:c r="AD245" s="19" t="str"/>
    </x:row>
    <x:row r="246">
      <x:c r="A246" s="19" t="str">
        <x:v>AR-0245</x:v>
      </x:c>
      <x:c r="B246" s="19" t="str">
        <x:v>12 Belső alapfelületek</x:v>
      </x:c>
      <x:c r="C246" s="19" t="str">
        <x:v>Vakolás, esztrich, gipszkarton</x:v>
      </x:c>
      <x:c r="D246" s="19" t="str">
        <x:v>Mindegyik</x:v>
      </x:c>
      <x:c r="E246" s="19" t="str">
        <x:v>Ablakkáva vakolása</x:v>
      </x:c>
      <x:c r="F246" s="19" t="str">
        <x:v>fm</x:v>
      </x:c>
      <x:c r="G246" s="113" t="n">
        <x:v>2200</x:v>
      </x:c>
      <x:c r="H246" s="113" t="n">
        <x:v>3300</x:v>
      </x:c>
      <x:c r="I246" s="114" t="n">
        <x:v>0.55</x:v>
      </x:c>
      <x:c r="J246" s="113" t="n">
        <x:f>ROUND(H246*I246/Beallitasok!$B$7,0)*Beallitasok!$B$7</x:f>
        <x:v>1800</x:v>
      </x:c>
      <x:c r="K246" s="19" t="n">
        <x:v>2</x:v>
      </x:c>
      <x:c r="L246" s="19" t="n">
        <x:v>1</x:v>
      </x:c>
      <x:c r="M246" s="113" t="n">
        <x:f>K246*Beallitasok!$B$2+L246*Beallitasok!$B$3</x:f>
        <x:v>95000</x:v>
      </x:c>
      <x:c r="N246" s="115" t="n">
        <x:v>35</x:v>
      </x:c>
      <x:c r="O246" s="113" t="n">
        <x:f>IFERROR(M246/N246,"")</x:f>
        <x:v>2714.285714285714</x:v>
      </x:c>
      <x:c r="P246" s="116" t="n">
        <x:f>Beallitasok!$B$5</x:f>
        <x:v>1.15</x:v>
      </x:c>
      <x:c r="Q246" s="113" t="n">
        <x:f>IFERROR(ROUND(O246*P246/Beallitasok!$B$7,0)*Beallitasok!$B$7,"")</x:f>
        <x:v>3100</x:v>
      </x:c>
      <x:c r="R246" s="113"/>
      <x:c r="S246" s="113" t="n">
        <x:f>IF(Q246="","",Q246+IF(R246="",0,R246))</x:f>
        <x:v>3100</x:v>
      </x:c>
      <x:c r="T246" s="113" t="n">
        <x:f>M246*Beallitasok!$B$4</x:f>
        <x:v>475000</x:v>
      </x:c>
      <x:c r="U246" s="115" t="n">
        <x:f>N246*Beallitasok!$B$4</x:f>
        <x:v>175</x:v>
      </x:c>
      <x:c r="V246" s="113"/>
      <x:c r="W246" s="113" t="str">
        <x:f>IF(V246="","",V246-J246)</x:f>
      </x:c>
      <x:c r="X246" s="19"/>
      <x:c r="Y246" s="113" t="n">
        <x:f>IF(S246="","",J246-S246)</x:f>
        <x:v>-1300</x:v>
      </x:c>
      <x:c r="Z246" s="19" t="str">
        <x:f>IF(AA246="IGEN",IF(J246&lt;S246,"GÉPIGÉNY + KRITIKUS: gépdíj nélkül is alacsony a plafon","GÉPIGÉNY: a saját egységár gépdíj nélkül értendő"),IF(J246&lt;S246,"KRITIKUS: alvállalkozói plafon &lt; saját terhelt egységköltség",IF(J246&lt;S246*Beallitasok!$B$6,"SZŰK TARTALÉK: 10% alatti tartalék","OK")))</x:f>
        <x:v>KRITIKUS: alvállalkozói plafon &lt; saját terhelt egységköltség</x:v>
      </x:c>
      <x:c r="AA246" s="19" t="str">
        <x:v>NEM</x:v>
      </x:c>
      <x:c r="AB246" s="19" t="str">
        <x:v>https://joszaki.hu/arak/gletteles</x:v>
      </x:c>
      <x:c r="AC246" s="19" t="str">
        <x:v>2026 piaci munkadíj és részfolyamatokra bontott norma</x:v>
      </x:c>
      <x:c r="AD246" s="19" t="str"/>
    </x:row>
    <x:row r="247">
      <x:c r="A247" s="19" t="str">
        <x:v>AR-0246</x:v>
      </x:c>
      <x:c r="B247" s="19" t="str">
        <x:v>12 Belső alapfelületek</x:v>
      </x:c>
      <x:c r="C247" s="19" t="str">
        <x:v>Vakolás, esztrich, gipszkarton</x:v>
      </x:c>
      <x:c r="D247" s="19" t="str">
        <x:v>Mindegyik</x:v>
      </x:c>
      <x:c r="E247" s="19" t="str">
        <x:v>Gépészeti horony javítóvakolása</x:v>
      </x:c>
      <x:c r="F247" s="19" t="str">
        <x:v>fm</x:v>
      </x:c>
      <x:c r="G247" s="113" t="n">
        <x:v>1300</x:v>
      </x:c>
      <x:c r="H247" s="113" t="n">
        <x:v>2000</x:v>
      </x:c>
      <x:c r="I247" s="114" t="n">
        <x:v>0.55</x:v>
      </x:c>
      <x:c r="J247" s="113" t="n">
        <x:f>ROUND(H247*I247/Beallitasok!$B$7,0)*Beallitasok!$B$7</x:f>
        <x:v>1100</x:v>
      </x:c>
      <x:c r="K247" s="19" t="n">
        <x:v>1</x:v>
      </x:c>
      <x:c r="L247" s="19" t="n">
        <x:v>1</x:v>
      </x:c>
      <x:c r="M247" s="113" t="n">
        <x:f>K247*Beallitasok!$B$2+L247*Beallitasok!$B$3</x:f>
        <x:v>60000</x:v>
      </x:c>
      <x:c r="N247" s="115" t="n">
        <x:v>65</x:v>
      </x:c>
      <x:c r="O247" s="113" t="n">
        <x:f>IFERROR(M247/N247,"")</x:f>
        <x:v>923.0769230769231</x:v>
      </x:c>
      <x:c r="P247" s="116" t="n">
        <x:f>Beallitasok!$B$5</x:f>
        <x:v>1.15</x:v>
      </x:c>
      <x:c r="Q247" s="113" t="n">
        <x:f>IFERROR(ROUND(O247*P247/Beallitasok!$B$7,0)*Beallitasok!$B$7,"")</x:f>
        <x:v>1050</x:v>
      </x:c>
      <x:c r="R247" s="113"/>
      <x:c r="S247" s="113" t="n">
        <x:f>IF(Q247="","",Q247+IF(R247="",0,R247))</x:f>
        <x:v>1050</x:v>
      </x:c>
      <x:c r="T247" s="113" t="n">
        <x:f>M247*Beallitasok!$B$4</x:f>
        <x:v>300000</x:v>
      </x:c>
      <x:c r="U247" s="115" t="n">
        <x:f>N247*Beallitasok!$B$4</x:f>
        <x:v>325</x:v>
      </x:c>
      <x:c r="V247" s="113"/>
      <x:c r="W247" s="113" t="str">
        <x:f>IF(V247="","",V247-J247)</x:f>
      </x:c>
      <x:c r="X247" s="19"/>
      <x:c r="Y247" s="113" t="n">
        <x:f>IF(S247="","",J247-S247)</x:f>
        <x:v>50</x:v>
      </x:c>
      <x:c r="Z247" s="19" t="str">
        <x:f>IF(AA247="IGEN",IF(J247&lt;S247,"GÉPIGÉNY + KRITIKUS: gépdíj nélkül is alacsony a plafon","GÉPIGÉNY: a saját egységár gépdíj nélkül értendő"),IF(J247&lt;S247,"KRITIKUS: alvállalkozói plafon &lt; saját terhelt egységköltség",IF(J247&lt;S247*Beallitasok!$B$6,"SZŰK TARTALÉK: 10% alatti tartalék","OK")))</x:f>
        <x:v>SZŰK TARTALÉK: 10% alatti tartalék</x:v>
      </x:c>
      <x:c r="AA247" s="19" t="str">
        <x:v>NEM</x:v>
      </x:c>
      <x:c r="AB247" s="19" t="str">
        <x:v>https://joszaki.hu/arak/gletteles</x:v>
      </x:c>
      <x:c r="AC247" s="19" t="str">
        <x:v>2026 piaci munkadíj és részfolyamatokra bontott norma</x:v>
      </x:c>
      <x:c r="AD247" s="19" t="str"/>
    </x:row>
    <x:row r="248">
      <x:c r="A248" s="19" t="str">
        <x:v>AR-0247</x:v>
      </x:c>
      <x:c r="B248" s="19" t="str">
        <x:v>12 Belső alapfelületek</x:v>
      </x:c>
      <x:c r="C248" s="19" t="str">
        <x:v>Vakolás, esztrich, gipszkarton</x:v>
      </x:c>
      <x:c r="D248" s="19" t="str">
        <x:v>Mindegyik</x:v>
      </x:c>
      <x:c r="E248" s="19" t="str">
        <x:v>Cementesztrich készítése gépi keveréssel és simítással</x:v>
      </x:c>
      <x:c r="F248" s="19" t="str">
        <x:v>m²</x:v>
      </x:c>
      <x:c r="G248" s="113" t="n">
        <x:v>3200</x:v>
      </x:c>
      <x:c r="H248" s="113" t="n">
        <x:v>4800</x:v>
      </x:c>
      <x:c r="I248" s="114" t="n">
        <x:v>0.55</x:v>
      </x:c>
      <x:c r="J248" s="113" t="n">
        <x:f>ROUND(H248*I248/Beallitasok!$B$7,0)*Beallitasok!$B$7</x:f>
        <x:v>2650</x:v>
      </x:c>
      <x:c r="K248" s="19" t="n">
        <x:v>3</x:v>
      </x:c>
      <x:c r="L248" s="19" t="n">
        <x:v>3</x:v>
      </x:c>
      <x:c r="M248" s="113" t="n">
        <x:f>K248*Beallitasok!$B$2+L248*Beallitasok!$B$3</x:f>
        <x:v>180000</x:v>
      </x:c>
      <x:c r="N248" s="115" t="n">
        <x:v>130</x:v>
      </x:c>
      <x:c r="O248" s="113" t="n">
        <x:f>IFERROR(M248/N248,"")</x:f>
        <x:v>1384.6153846153845</x:v>
      </x:c>
      <x:c r="P248" s="116" t="n">
        <x:f>Beallitasok!$B$5</x:f>
        <x:v>1.15</x:v>
      </x:c>
      <x:c r="Q248" s="113" t="n">
        <x:f>IFERROR(ROUND(O248*P248/Beallitasok!$B$7,0)*Beallitasok!$B$7,"")</x:f>
        <x:v>1600</x:v>
      </x:c>
      <x:c r="R248" s="113"/>
      <x:c r="S248" s="113" t="n">
        <x:f>IF(Q248="","",Q248+IF(R248="",0,R248))</x:f>
        <x:v>1600</x:v>
      </x:c>
      <x:c r="T248" s="113" t="n">
        <x:f>M248*Beallitasok!$B$4</x:f>
        <x:v>900000</x:v>
      </x:c>
      <x:c r="U248" s="115" t="n">
        <x:f>N248*Beallitasok!$B$4</x:f>
        <x:v>650</x:v>
      </x:c>
      <x:c r="V248" s="113"/>
      <x:c r="W248" s="113" t="str">
        <x:f>IF(V248="","",V248-J248)</x:f>
      </x:c>
      <x:c r="X248" s="19"/>
      <x:c r="Y248" s="113" t="n">
        <x:f>IF(S248="","",J248-S248)</x:f>
        <x:v>1050</x:v>
      </x:c>
      <x:c r="Z248" s="19" t="str">
        <x:f>IF(AA248="IGEN",IF(J248&lt;S248,"GÉPIGÉNY + KRITIKUS: gépdíj nélkül is alacsony a plafon","GÉPIGÉNY: a saját egységár gépdíj nélkül értendő"),IF(J248&lt;S248,"KRITIKUS: alvállalkozói plafon &lt; saját terhelt egységköltség",IF(J248&lt;S248*Beallitasok!$B$6,"SZŰK TARTALÉK: 10% alatti tartalék","OK")))</x:f>
        <x:v>OK</x:v>
      </x:c>
      <x:c r="AA248" s="19" t="str">
        <x:v>NEM</x:v>
      </x:c>
      <x:c r="AB248" s="19" t="str">
        <x:v>https://joszaki.hu/arak/burkolas</x:v>
      </x:c>
      <x:c r="AC248" s="19" t="str">
        <x:v>2026 piaci munkadíj és részfolyamatokra bontott norma</x:v>
      </x:c>
      <x:c r="AD248" s="19" t="str"/>
    </x:row>
    <x:row r="249">
      <x:c r="A249" s="19" t="str">
        <x:v>AR-0248</x:v>
      </x:c>
      <x:c r="B249" s="19" t="str">
        <x:v>12 Belső alapfelületek</x:v>
      </x:c>
      <x:c r="C249" s="19" t="str">
        <x:v>Vakolás, esztrich, gipszkarton</x:v>
      </x:c>
      <x:c r="D249" s="19" t="str">
        <x:v>Mindegyik</x:v>
      </x:c>
      <x:c r="E249" s="19" t="str">
        <x:v>Lejtésképző esztrich készítése</x:v>
      </x:c>
      <x:c r="F249" s="19" t="str">
        <x:v>m²</x:v>
      </x:c>
      <x:c r="G249" s="113" t="n">
        <x:v>4200</x:v>
      </x:c>
      <x:c r="H249" s="113" t="n">
        <x:v>6200</x:v>
      </x:c>
      <x:c r="I249" s="114" t="n">
        <x:v>0.55</x:v>
      </x:c>
      <x:c r="J249" s="113" t="n">
        <x:f>ROUND(H249*I249/Beallitasok!$B$7,0)*Beallitasok!$B$7</x:f>
        <x:v>3400</x:v>
      </x:c>
      <x:c r="K249" s="19" t="n">
        <x:v>2</x:v>
      </x:c>
      <x:c r="L249" s="19" t="n">
        <x:v>2</x:v>
      </x:c>
      <x:c r="M249" s="113" t="n">
        <x:f>K249*Beallitasok!$B$2+L249*Beallitasok!$B$3</x:f>
        <x:v>120000</x:v>
      </x:c>
      <x:c r="N249" s="115" t="n">
        <x:v>55</x:v>
      </x:c>
      <x:c r="O249" s="113" t="n">
        <x:f>IFERROR(M249/N249,"")</x:f>
        <x:v>2181.818181818182</x:v>
      </x:c>
      <x:c r="P249" s="116" t="n">
        <x:f>Beallitasok!$B$5</x:f>
        <x:v>1.15</x:v>
      </x:c>
      <x:c r="Q249" s="113" t="n">
        <x:f>IFERROR(ROUND(O249*P249/Beallitasok!$B$7,0)*Beallitasok!$B$7,"")</x:f>
        <x:v>2500</x:v>
      </x:c>
      <x:c r="R249" s="113"/>
      <x:c r="S249" s="113" t="n">
        <x:f>IF(Q249="","",Q249+IF(R249="",0,R249))</x:f>
        <x:v>2500</x:v>
      </x:c>
      <x:c r="T249" s="113" t="n">
        <x:f>M249*Beallitasok!$B$4</x:f>
        <x:v>600000</x:v>
      </x:c>
      <x:c r="U249" s="115" t="n">
        <x:f>N249*Beallitasok!$B$4</x:f>
        <x:v>275</x:v>
      </x:c>
      <x:c r="V249" s="113"/>
      <x:c r="W249" s="113" t="str">
        <x:f>IF(V249="","",V249-J249)</x:f>
      </x:c>
      <x:c r="X249" s="19"/>
      <x:c r="Y249" s="113" t="n">
        <x:f>IF(S249="","",J249-S249)</x:f>
        <x:v>900</x:v>
      </x:c>
      <x:c r="Z249" s="19" t="str">
        <x:f>IF(AA249="IGEN",IF(J249&lt;S249,"GÉPIGÉNY + KRITIKUS: gépdíj nélkül is alacsony a plafon","GÉPIGÉNY: a saját egységár gépdíj nélkül értendő"),IF(J249&lt;S249,"KRITIKUS: alvállalkozói plafon &lt; saját terhelt egységköltség",IF(J249&lt;S249*Beallitasok!$B$6,"SZŰK TARTALÉK: 10% alatti tartalék","OK")))</x:f>
        <x:v>OK</x:v>
      </x:c>
      <x:c r="AA249" s="19" t="str">
        <x:v>NEM</x:v>
      </x:c>
      <x:c r="AB249" s="19" t="str">
        <x:v>https://joszaki.hu/arak/burkolas</x:v>
      </x:c>
      <x:c r="AC249" s="19" t="str">
        <x:v>2026 piaci munkadíj és részfolyamatokra bontott norma</x:v>
      </x:c>
      <x:c r="AD249" s="19" t="str"/>
    </x:row>
    <x:row r="250">
      <x:c r="A250" s="19" t="str">
        <x:v>AR-0249</x:v>
      </x:c>
      <x:c r="B250" s="19" t="str">
        <x:v>12 Belső alapfelületek</x:v>
      </x:c>
      <x:c r="C250" s="19" t="str">
        <x:v>Vakolás, esztrich, gipszkarton</x:v>
      </x:c>
      <x:c r="D250" s="19" t="str">
        <x:v>Mindegyik</x:v>
      </x:c>
      <x:c r="E250" s="19" t="str">
        <x:v>Önterülő aljzatkiegyenlítő bedolgozása</x:v>
      </x:c>
      <x:c r="F250" s="19" t="str">
        <x:v>m²</x:v>
      </x:c>
      <x:c r="G250" s="113" t="n">
        <x:v>2800</x:v>
      </x:c>
      <x:c r="H250" s="113" t="n">
        <x:v>3900</x:v>
      </x:c>
      <x:c r="I250" s="114" t="n">
        <x:v>0.55</x:v>
      </x:c>
      <x:c r="J250" s="113" t="n">
        <x:f>ROUND(H250*I250/Beallitasok!$B$7,0)*Beallitasok!$B$7</x:f>
        <x:v>2150</x:v>
      </x:c>
      <x:c r="K250" s="19" t="n">
        <x:v>2</x:v>
      </x:c>
      <x:c r="L250" s="19" t="n">
        <x:v>1</x:v>
      </x:c>
      <x:c r="M250" s="113" t="n">
        <x:f>K250*Beallitasok!$B$2+L250*Beallitasok!$B$3</x:f>
        <x:v>95000</x:v>
      </x:c>
      <x:c r="N250" s="115" t="n">
        <x:v>75</x:v>
      </x:c>
      <x:c r="O250" s="113" t="n">
        <x:f>IFERROR(M250/N250,"")</x:f>
        <x:v>1266.6666666666667</x:v>
      </x:c>
      <x:c r="P250" s="116" t="n">
        <x:f>Beallitasok!$B$5</x:f>
        <x:v>1.15</x:v>
      </x:c>
      <x:c r="Q250" s="113" t="n">
        <x:f>IFERROR(ROUND(O250*P250/Beallitasok!$B$7,0)*Beallitasok!$B$7,"")</x:f>
        <x:v>1450</x:v>
      </x:c>
      <x:c r="R250" s="113"/>
      <x:c r="S250" s="113" t="n">
        <x:f>IF(Q250="","",Q250+IF(R250="",0,R250))</x:f>
        <x:v>1450</x:v>
      </x:c>
      <x:c r="T250" s="113" t="n">
        <x:f>M250*Beallitasok!$B$4</x:f>
        <x:v>475000</x:v>
      </x:c>
      <x:c r="U250" s="115" t="n">
        <x:f>N250*Beallitasok!$B$4</x:f>
        <x:v>375</x:v>
      </x:c>
      <x:c r="V250" s="113"/>
      <x:c r="W250" s="113" t="str">
        <x:f>IF(V250="","",V250-J250)</x:f>
      </x:c>
      <x:c r="X250" s="19"/>
      <x:c r="Y250" s="113" t="n">
        <x:f>IF(S250="","",J250-S250)</x:f>
        <x:v>700</x:v>
      </x:c>
      <x:c r="Z250" s="19" t="str">
        <x:f>IF(AA250="IGEN",IF(J250&lt;S250,"GÉPIGÉNY + KRITIKUS: gépdíj nélkül is alacsony a plafon","GÉPIGÉNY: a saját egységár gépdíj nélkül értendő"),IF(J250&lt;S250,"KRITIKUS: alvállalkozói plafon &lt; saját terhelt egységköltség",IF(J250&lt;S250*Beallitasok!$B$6,"SZŰK TARTALÉK: 10% alatti tartalék","OK")))</x:f>
        <x:v>OK</x:v>
      </x:c>
      <x:c r="AA250" s="19" t="str">
        <x:v>NEM</x:v>
      </x:c>
      <x:c r="AB250" s="19" t="str">
        <x:v>https://joszaki.hu/arak/burkolas</x:v>
      </x:c>
      <x:c r="AC250" s="19" t="str">
        <x:v>2026 piaci munkadíj és részfolyamatokra bontott norma</x:v>
      </x:c>
      <x:c r="AD250" s="19" t="str"/>
    </x:row>
    <x:row r="251">
      <x:c r="A251" s="19" t="str">
        <x:v>AR-0250</x:v>
      </x:c>
      <x:c r="B251" s="19" t="str">
        <x:v>12 Belső alapfelületek</x:v>
      </x:c>
      <x:c r="C251" s="19" t="str">
        <x:v>Vakolás, esztrich, gipszkarton</x:v>
      </x:c>
      <x:c r="D251" s="19" t="str">
        <x:v>Mindegyik</x:v>
      </x:c>
      <x:c r="E251" s="19" t="str">
        <x:v>Gipszkarton előtétfal ragasztva</x:v>
      </x:c>
      <x:c r="F251" s="19" t="str">
        <x:v>m²</x:v>
      </x:c>
      <x:c r="G251" s="113" t="n">
        <x:v>3500</x:v>
      </x:c>
      <x:c r="H251" s="113" t="n">
        <x:v>5200</x:v>
      </x:c>
      <x:c r="I251" s="114" t="n">
        <x:v>0.55</x:v>
      </x:c>
      <x:c r="J251" s="113" t="n">
        <x:f>ROUND(H251*I251/Beallitasok!$B$7,0)*Beallitasok!$B$7</x:f>
        <x:v>2850</x:v>
      </x:c>
      <x:c r="K251" s="19" t="n">
        <x:v>2</x:v>
      </x:c>
      <x:c r="L251" s="19" t="n">
        <x:v>1</x:v>
      </x:c>
      <x:c r="M251" s="113" t="n">
        <x:f>K251*Beallitasok!$B$2+L251*Beallitasok!$B$3</x:f>
        <x:v>95000</x:v>
      </x:c>
      <x:c r="N251" s="115" t="n">
        <x:v>55</x:v>
      </x:c>
      <x:c r="O251" s="113" t="n">
        <x:f>IFERROR(M251/N251,"")</x:f>
        <x:v>1727.2727272727273</x:v>
      </x:c>
      <x:c r="P251" s="116" t="n">
        <x:f>Beallitasok!$B$5</x:f>
        <x:v>1.15</x:v>
      </x:c>
      <x:c r="Q251" s="113" t="n">
        <x:f>IFERROR(ROUND(O251*P251/Beallitasok!$B$7,0)*Beallitasok!$B$7,"")</x:f>
        <x:v>2000</x:v>
      </x:c>
      <x:c r="R251" s="113"/>
      <x:c r="S251" s="113" t="n">
        <x:f>IF(Q251="","",Q251+IF(R251="",0,R251))</x:f>
        <x:v>2000</x:v>
      </x:c>
      <x:c r="T251" s="113" t="n">
        <x:f>M251*Beallitasok!$B$4</x:f>
        <x:v>475000</x:v>
      </x:c>
      <x:c r="U251" s="115" t="n">
        <x:f>N251*Beallitasok!$B$4</x:f>
        <x:v>275</x:v>
      </x:c>
      <x:c r="V251" s="113"/>
      <x:c r="W251" s="113" t="str">
        <x:f>IF(V251="","",V251-J251)</x:f>
      </x:c>
      <x:c r="X251" s="19"/>
      <x:c r="Y251" s="113" t="n">
        <x:f>IF(S251="","",J251-S251)</x:f>
        <x:v>850</x:v>
      </x:c>
      <x:c r="Z251" s="19" t="str">
        <x:f>IF(AA251="IGEN",IF(J251&lt;S251,"GÉPIGÉNY + KRITIKUS: gépdíj nélkül is alacsony a plafon","GÉPIGÉNY: a saját egységár gépdíj nélkül értendő"),IF(J251&lt;S251,"KRITIKUS: alvállalkozói plafon &lt; saját terhelt egységköltség",IF(J251&lt;S251*Beallitasok!$B$6,"SZŰK TARTALÉK: 10% alatti tartalék","OK")))</x:f>
        <x:v>OK</x:v>
      </x:c>
      <x:c r="AA251" s="19" t="str">
        <x:v>NEM</x:v>
      </x:c>
      <x:c r="AB251" s="19" t="str">
        <x:v>https://joszaki.hu/arak/gipszkarton-szereles</x:v>
      </x:c>
      <x:c r="AC251" s="19" t="str">
        <x:v>2026 piaci munkadíj és részfolyamatokra bontott norma</x:v>
      </x:c>
      <x:c r="AD251" s="19" t="str"/>
    </x:row>
    <x:row r="252">
      <x:c r="A252" s="19" t="str">
        <x:v>AR-0251</x:v>
      </x:c>
      <x:c r="B252" s="19" t="str">
        <x:v>12 Belső alapfelületek</x:v>
      </x:c>
      <x:c r="C252" s="19" t="str">
        <x:v>Vakolás, esztrich, gipszkarton</x:v>
      </x:c>
      <x:c r="D252" s="19" t="str">
        <x:v>Mindegyik</x:v>
      </x:c>
      <x:c r="E252" s="19" t="str">
        <x:v>Gipszkarton előtétfal profilvázon, egy rétegben</x:v>
      </x:c>
      <x:c r="F252" s="19" t="str">
        <x:v>m²</x:v>
      </x:c>
      <x:c r="G252" s="113" t="n">
        <x:v>4500</x:v>
      </x:c>
      <x:c r="H252" s="113" t="n">
        <x:v>6800</x:v>
      </x:c>
      <x:c r="I252" s="114" t="n">
        <x:v>0.55</x:v>
      </x:c>
      <x:c r="J252" s="113" t="n">
        <x:f>ROUND(H252*I252/Beallitasok!$B$7,0)*Beallitasok!$B$7</x:f>
        <x:v>3750</x:v>
      </x:c>
      <x:c r="K252" s="19" t="n">
        <x:v>2</x:v>
      </x:c>
      <x:c r="L252" s="19" t="n">
        <x:v>1</x:v>
      </x:c>
      <x:c r="M252" s="113" t="n">
        <x:f>K252*Beallitasok!$B$2+L252*Beallitasok!$B$3</x:f>
        <x:v>95000</x:v>
      </x:c>
      <x:c r="N252" s="115" t="n">
        <x:v>42</x:v>
      </x:c>
      <x:c r="O252" s="113" t="n">
        <x:f>IFERROR(M252/N252,"")</x:f>
        <x:v>2261.904761904762</x:v>
      </x:c>
      <x:c r="P252" s="116" t="n">
        <x:f>Beallitasok!$B$5</x:f>
        <x:v>1.15</x:v>
      </x:c>
      <x:c r="Q252" s="113" t="n">
        <x:f>IFERROR(ROUND(O252*P252/Beallitasok!$B$7,0)*Beallitasok!$B$7,"")</x:f>
        <x:v>2600</x:v>
      </x:c>
      <x:c r="R252" s="113"/>
      <x:c r="S252" s="113" t="n">
        <x:f>IF(Q252="","",Q252+IF(R252="",0,R252))</x:f>
        <x:v>2600</x:v>
      </x:c>
      <x:c r="T252" s="113" t="n">
        <x:f>M252*Beallitasok!$B$4</x:f>
        <x:v>475000</x:v>
      </x:c>
      <x:c r="U252" s="115" t="n">
        <x:f>N252*Beallitasok!$B$4</x:f>
        <x:v>210</x:v>
      </x:c>
      <x:c r="V252" s="113"/>
      <x:c r="W252" s="113" t="str">
        <x:f>IF(V252="","",V252-J252)</x:f>
      </x:c>
      <x:c r="X252" s="19"/>
      <x:c r="Y252" s="113" t="n">
        <x:f>IF(S252="","",J252-S252)</x:f>
        <x:v>1150</x:v>
      </x:c>
      <x:c r="Z252" s="19" t="str">
        <x:f>IF(AA252="IGEN",IF(J252&lt;S252,"GÉPIGÉNY + KRITIKUS: gépdíj nélkül is alacsony a plafon","GÉPIGÉNY: a saját egységár gépdíj nélkül értendő"),IF(J252&lt;S252,"KRITIKUS: alvállalkozói plafon &lt; saját terhelt egységköltség",IF(J252&lt;S252*Beallitasok!$B$6,"SZŰK TARTALÉK: 10% alatti tartalék","OK")))</x:f>
        <x:v>OK</x:v>
      </x:c>
      <x:c r="AA252" s="19" t="str">
        <x:v>NEM</x:v>
      </x:c>
      <x:c r="AB252" s="19" t="str">
        <x:v>https://joszaki.hu/arak/gipszkarton-szereles</x:v>
      </x:c>
      <x:c r="AC252" s="19" t="str">
        <x:v>2026 piaci munkadíj és részfolyamatokra bontott norma</x:v>
      </x:c>
      <x:c r="AD252" s="19" t="str"/>
    </x:row>
    <x:row r="253">
      <x:c r="A253" s="19" t="str">
        <x:v>AR-0252</x:v>
      </x:c>
      <x:c r="B253" s="19" t="str">
        <x:v>12 Belső alapfelületek</x:v>
      </x:c>
      <x:c r="C253" s="19" t="str">
        <x:v>Vakolás, esztrich, gipszkarton</x:v>
      </x:c>
      <x:c r="D253" s="19" t="str">
        <x:v>Mindegyik</x:v>
      </x:c>
      <x:c r="E253" s="19" t="str">
        <x:v>Gipszkarton válaszfal egy-egy réteg normál lappal</x:v>
      </x:c>
      <x:c r="F253" s="19" t="str">
        <x:v>m² fal</x:v>
      </x:c>
      <x:c r="G253" s="113" t="n">
        <x:v>5200</x:v>
      </x:c>
      <x:c r="H253" s="113" t="n">
        <x:v>7800</x:v>
      </x:c>
      <x:c r="I253" s="114" t="n">
        <x:v>0.55</x:v>
      </x:c>
      <x:c r="J253" s="113" t="n">
        <x:f>ROUND(H253*I253/Beallitasok!$B$7,0)*Beallitasok!$B$7</x:f>
        <x:v>4300</x:v>
      </x:c>
      <x:c r="K253" s="19" t="n">
        <x:v>2</x:v>
      </x:c>
      <x:c r="L253" s="19" t="n">
        <x:v>1</x:v>
      </x:c>
      <x:c r="M253" s="113" t="n">
        <x:f>K253*Beallitasok!$B$2+L253*Beallitasok!$B$3</x:f>
        <x:v>95000</x:v>
      </x:c>
      <x:c r="N253" s="115" t="n">
        <x:v>38</x:v>
      </x:c>
      <x:c r="O253" s="113" t="n">
        <x:f>IFERROR(M253/N253,"")</x:f>
        <x:v>2500</x:v>
      </x:c>
      <x:c r="P253" s="116" t="n">
        <x:f>Beallitasok!$B$5</x:f>
        <x:v>1.15</x:v>
      </x:c>
      <x:c r="Q253" s="113" t="n">
        <x:f>IFERROR(ROUND(O253*P253/Beallitasok!$B$7,0)*Beallitasok!$B$7,"")</x:f>
        <x:v>2900</x:v>
      </x:c>
      <x:c r="R253" s="113"/>
      <x:c r="S253" s="113" t="n">
        <x:f>IF(Q253="","",Q253+IF(R253="",0,R253))</x:f>
        <x:v>2900</x:v>
      </x:c>
      <x:c r="T253" s="113" t="n">
        <x:f>M253*Beallitasok!$B$4</x:f>
        <x:v>475000</x:v>
      </x:c>
      <x:c r="U253" s="115" t="n">
        <x:f>N253*Beallitasok!$B$4</x:f>
        <x:v>190</x:v>
      </x:c>
      <x:c r="V253" s="113"/>
      <x:c r="W253" s="113" t="str">
        <x:f>IF(V253="","",V253-J253)</x:f>
      </x:c>
      <x:c r="X253" s="19"/>
      <x:c r="Y253" s="113" t="n">
        <x:f>IF(S253="","",J253-S253)</x:f>
        <x:v>1400</x:v>
      </x:c>
      <x:c r="Z253" s="19" t="str">
        <x:f>IF(AA253="IGEN",IF(J253&lt;S253,"GÉPIGÉNY + KRITIKUS: gépdíj nélkül is alacsony a plafon","GÉPIGÉNY: a saját egységár gépdíj nélkül értendő"),IF(J253&lt;S253,"KRITIKUS: alvállalkozói plafon &lt; saját terhelt egységköltség",IF(J253&lt;S253*Beallitasok!$B$6,"SZŰK TARTALÉK: 10% alatti tartalék","OK")))</x:f>
        <x:v>OK</x:v>
      </x:c>
      <x:c r="AA253" s="19" t="str">
        <x:v>NEM</x:v>
      </x:c>
      <x:c r="AB253" s="19" t="str">
        <x:v>https://joszaki.hu/arak/gipszkarton-szereles</x:v>
      </x:c>
      <x:c r="AC253" s="19" t="str">
        <x:v>2026 piaci munkadíj és részfolyamatokra bontott norma</x:v>
      </x:c>
      <x:c r="AD253" s="19" t="str"/>
    </x:row>
    <x:row r="254">
      <x:c r="A254" s="19" t="str">
        <x:v>AR-0253</x:v>
      </x:c>
      <x:c r="B254" s="19" t="str">
        <x:v>12 Belső alapfelületek</x:v>
      </x:c>
      <x:c r="C254" s="19" t="str">
        <x:v>Vakolás, esztrich, gipszkarton</x:v>
      </x:c>
      <x:c r="D254" s="19" t="str">
        <x:v>Mindegyik</x:v>
      </x:c>
      <x:c r="E254" s="19" t="str">
        <x:v>Gipszkarton válaszfal dupla borítással</x:v>
      </x:c>
      <x:c r="F254" s="19" t="str">
        <x:v>m² fal</x:v>
      </x:c>
      <x:c r="G254" s="113" t="n">
        <x:v>7200</x:v>
      </x:c>
      <x:c r="H254" s="113" t="n">
        <x:v>10500</x:v>
      </x:c>
      <x:c r="I254" s="114" t="n">
        <x:v>0.55</x:v>
      </x:c>
      <x:c r="J254" s="113" t="n">
        <x:f>ROUND(H254*I254/Beallitasok!$B$7,0)*Beallitasok!$B$7</x:f>
        <x:v>5800</x:v>
      </x:c>
      <x:c r="K254" s="19" t="n">
        <x:v>2</x:v>
      </x:c>
      <x:c r="L254" s="19" t="n">
        <x:v>1</x:v>
      </x:c>
      <x:c r="M254" s="113" t="n">
        <x:f>K254*Beallitasok!$B$2+L254*Beallitasok!$B$3</x:f>
        <x:v>95000</x:v>
      </x:c>
      <x:c r="N254" s="115" t="n">
        <x:v>28</x:v>
      </x:c>
      <x:c r="O254" s="113" t="n">
        <x:f>IFERROR(M254/N254,"")</x:f>
        <x:v>3392.8571428571427</x:v>
      </x:c>
      <x:c r="P254" s="116" t="n">
        <x:f>Beallitasok!$B$5</x:f>
        <x:v>1.15</x:v>
      </x:c>
      <x:c r="Q254" s="113" t="n">
        <x:f>IFERROR(ROUND(O254*P254/Beallitasok!$B$7,0)*Beallitasok!$B$7,"")</x:f>
        <x:v>3900</x:v>
      </x:c>
      <x:c r="R254" s="113"/>
      <x:c r="S254" s="113" t="n">
        <x:f>IF(Q254="","",Q254+IF(R254="",0,R254))</x:f>
        <x:v>3900</x:v>
      </x:c>
      <x:c r="T254" s="113" t="n">
        <x:f>M254*Beallitasok!$B$4</x:f>
        <x:v>475000</x:v>
      </x:c>
      <x:c r="U254" s="115" t="n">
        <x:f>N254*Beallitasok!$B$4</x:f>
        <x:v>140</x:v>
      </x:c>
      <x:c r="V254" s="113"/>
      <x:c r="W254" s="113" t="str">
        <x:f>IF(V254="","",V254-J254)</x:f>
      </x:c>
      <x:c r="X254" s="19"/>
      <x:c r="Y254" s="113" t="n">
        <x:f>IF(S254="","",J254-S254)</x:f>
        <x:v>1900</x:v>
      </x:c>
      <x:c r="Z254" s="19" t="str">
        <x:f>IF(AA254="IGEN",IF(J254&lt;S254,"GÉPIGÉNY + KRITIKUS: gépdíj nélkül is alacsony a plafon","GÉPIGÉNY: a saját egységár gépdíj nélkül értendő"),IF(J254&lt;S254,"KRITIKUS: alvállalkozói plafon &lt; saját terhelt egységköltség",IF(J254&lt;S254*Beallitasok!$B$6,"SZŰK TARTALÉK: 10% alatti tartalék","OK")))</x:f>
        <x:v>OK</x:v>
      </x:c>
      <x:c r="AA254" s="19" t="str">
        <x:v>NEM</x:v>
      </x:c>
      <x:c r="AB254" s="19" t="str">
        <x:v>https://joszaki.hu/arak/gipszkarton-szereles</x:v>
      </x:c>
      <x:c r="AC254" s="19" t="str">
        <x:v>2026 piaci munkadíj és részfolyamatokra bontott norma</x:v>
      </x:c>
      <x:c r="AD254" s="19" t="str"/>
    </x:row>
    <x:row r="255">
      <x:c r="A255" s="19" t="str">
        <x:v>AR-0254</x:v>
      </x:c>
      <x:c r="B255" s="19" t="str">
        <x:v>12 Belső alapfelületek</x:v>
      </x:c>
      <x:c r="C255" s="19" t="str">
        <x:v>Vakolás, esztrich, gipszkarton</x:v>
      </x:c>
      <x:c r="D255" s="19" t="str">
        <x:v>Mindegyik</x:v>
      </x:c>
      <x:c r="E255" s="19" t="str">
        <x:v>Tűzgátló gipszkarton fal dupla borítással</x:v>
      </x:c>
      <x:c r="F255" s="19" t="str">
        <x:v>m² fal</x:v>
      </x:c>
      <x:c r="G255" s="113" t="n">
        <x:v>8500</x:v>
      </x:c>
      <x:c r="H255" s="113" t="n">
        <x:v>12500</x:v>
      </x:c>
      <x:c r="I255" s="114" t="n">
        <x:v>0.6</x:v>
      </x:c>
      <x:c r="J255" s="113" t="n">
        <x:f>ROUND(H255*I255/Beallitasok!$B$7,0)*Beallitasok!$B$7</x:f>
        <x:v>7500</x:v>
      </x:c>
      <x:c r="K255" s="19" t="n">
        <x:v>2</x:v>
      </x:c>
      <x:c r="L255" s="19" t="n">
        <x:v>1</x:v>
      </x:c>
      <x:c r="M255" s="113" t="n">
        <x:f>K255*Beallitasok!$B$2+L255*Beallitasok!$B$3</x:f>
        <x:v>95000</x:v>
      </x:c>
      <x:c r="N255" s="115" t="n">
        <x:v>24</x:v>
      </x:c>
      <x:c r="O255" s="113" t="n">
        <x:f>IFERROR(M255/N255,"")</x:f>
        <x:v>3958.3333333333335</x:v>
      </x:c>
      <x:c r="P255" s="116" t="n">
        <x:f>Beallitasok!$B$5</x:f>
        <x:v>1.15</x:v>
      </x:c>
      <x:c r="Q255" s="113" t="n">
        <x:f>IFERROR(ROUND(O255*P255/Beallitasok!$B$7,0)*Beallitasok!$B$7,"")</x:f>
        <x:v>4550</x:v>
      </x:c>
      <x:c r="R255" s="113"/>
      <x:c r="S255" s="113" t="n">
        <x:f>IF(Q255="","",Q255+IF(R255="",0,R255))</x:f>
        <x:v>4550</x:v>
      </x:c>
      <x:c r="T255" s="113" t="n">
        <x:f>M255*Beallitasok!$B$4</x:f>
        <x:v>475000</x:v>
      </x:c>
      <x:c r="U255" s="115" t="n">
        <x:f>N255*Beallitasok!$B$4</x:f>
        <x:v>120</x:v>
      </x:c>
      <x:c r="V255" s="113"/>
      <x:c r="W255" s="113" t="str">
        <x:f>IF(V255="","",V255-J255)</x:f>
      </x:c>
      <x:c r="X255" s="19"/>
      <x:c r="Y255" s="113" t="n">
        <x:f>IF(S255="","",J255-S255)</x:f>
        <x:v>2950</x:v>
      </x:c>
      <x:c r="Z255" s="19" t="str">
        <x:f>IF(AA255="IGEN",IF(J255&lt;S255,"GÉPIGÉNY + KRITIKUS: gépdíj nélkül is alacsony a plafon","GÉPIGÉNY: a saját egységár gépdíj nélkül értendő"),IF(J255&lt;S255,"KRITIKUS: alvállalkozói plafon &lt; saját terhelt egységköltség",IF(J255&lt;S255*Beallitasok!$B$6,"SZŰK TARTALÉK: 10% alatti tartalék","OK")))</x:f>
        <x:v>OK</x:v>
      </x:c>
      <x:c r="AA255" s="19" t="str">
        <x:v>NEM</x:v>
      </x:c>
      <x:c r="AB255" s="19" t="str">
        <x:v>https://joszaki.hu/arak/gipszkarton-szereles</x:v>
      </x:c>
      <x:c r="AC255" s="19" t="str">
        <x:v>2026 piaci munkadíj és részfolyamatokra bontott norma</x:v>
      </x:c>
      <x:c r="AD255" s="19" t="str"/>
    </x:row>
    <x:row r="256">
      <x:c r="A256" s="19" t="str">
        <x:v>AR-0255</x:v>
      </x:c>
      <x:c r="B256" s="19" t="str">
        <x:v>12 Belső alapfelületek</x:v>
      </x:c>
      <x:c r="C256" s="19" t="str">
        <x:v>Vakolás, esztrich, gipszkarton</x:v>
      </x:c>
      <x:c r="D256" s="19" t="str">
        <x:v>Mindegyik</x:v>
      </x:c>
      <x:c r="E256" s="19" t="str">
        <x:v>Impregnált gipszkarton borítás nedves helyiségben</x:v>
      </x:c>
      <x:c r="F256" s="19" t="str">
        <x:v>m²</x:v>
      </x:c>
      <x:c r="G256" s="113" t="n">
        <x:v>4200</x:v>
      </x:c>
      <x:c r="H256" s="113" t="n">
        <x:v>6200</x:v>
      </x:c>
      <x:c r="I256" s="114" t="n">
        <x:v>0.55</x:v>
      </x:c>
      <x:c r="J256" s="113" t="n">
        <x:f>ROUND(H256*I256/Beallitasok!$B$7,0)*Beallitasok!$B$7</x:f>
        <x:v>3400</x:v>
      </x:c>
      <x:c r="K256" s="19" t="n">
        <x:v>2</x:v>
      </x:c>
      <x:c r="L256" s="19" t="n">
        <x:v>1</x:v>
      </x:c>
      <x:c r="M256" s="113" t="n">
        <x:f>K256*Beallitasok!$B$2+L256*Beallitasok!$B$3</x:f>
        <x:v>95000</x:v>
      </x:c>
      <x:c r="N256" s="115" t="n">
        <x:v>45</x:v>
      </x:c>
      <x:c r="O256" s="113" t="n">
        <x:f>IFERROR(M256/N256,"")</x:f>
        <x:v>2111.1111111111113</x:v>
      </x:c>
      <x:c r="P256" s="116" t="n">
        <x:f>Beallitasok!$B$5</x:f>
        <x:v>1.15</x:v>
      </x:c>
      <x:c r="Q256" s="113" t="n">
        <x:f>IFERROR(ROUND(O256*P256/Beallitasok!$B$7,0)*Beallitasok!$B$7,"")</x:f>
        <x:v>2450</x:v>
      </x:c>
      <x:c r="R256" s="113"/>
      <x:c r="S256" s="113" t="n">
        <x:f>IF(Q256="","",Q256+IF(R256="",0,R256))</x:f>
        <x:v>2450</x:v>
      </x:c>
      <x:c r="T256" s="113" t="n">
        <x:f>M256*Beallitasok!$B$4</x:f>
        <x:v>475000</x:v>
      </x:c>
      <x:c r="U256" s="115" t="n">
        <x:f>N256*Beallitasok!$B$4</x:f>
        <x:v>225</x:v>
      </x:c>
      <x:c r="V256" s="113"/>
      <x:c r="W256" s="113" t="str">
        <x:f>IF(V256="","",V256-J256)</x:f>
      </x:c>
      <x:c r="X256" s="19"/>
      <x:c r="Y256" s="113" t="n">
        <x:f>IF(S256="","",J256-S256)</x:f>
        <x:v>950</x:v>
      </x:c>
      <x:c r="Z256" s="19" t="str">
        <x:f>IF(AA256="IGEN",IF(J256&lt;S256,"GÉPIGÉNY + KRITIKUS: gépdíj nélkül is alacsony a plafon","GÉPIGÉNY: a saját egységár gépdíj nélkül értendő"),IF(J256&lt;S256,"KRITIKUS: alvállalkozói plafon &lt; saját terhelt egységköltség",IF(J256&lt;S256*Beallitasok!$B$6,"SZŰK TARTALÉK: 10% alatti tartalék","OK")))</x:f>
        <x:v>OK</x:v>
      </x:c>
      <x:c r="AA256" s="19" t="str">
        <x:v>NEM</x:v>
      </x:c>
      <x:c r="AB256" s="19" t="str">
        <x:v>https://joszaki.hu/arak/gipszkarton-szereles</x:v>
      </x:c>
      <x:c r="AC256" s="19" t="str">
        <x:v>2026 piaci munkadíj és részfolyamatokra bontott norma</x:v>
      </x:c>
      <x:c r="AD256" s="19" t="str"/>
    </x:row>
    <x:row r="257">
      <x:c r="A257" s="19" t="str">
        <x:v>AR-0256</x:v>
      </x:c>
      <x:c r="B257" s="19" t="str">
        <x:v>12 Belső alapfelületek</x:v>
      </x:c>
      <x:c r="C257" s="19" t="str">
        <x:v>Vakolás, esztrich, gipszkarton</x:v>
      </x:c>
      <x:c r="D257" s="19" t="str">
        <x:v>Mindegyik</x:v>
      </x:c>
      <x:c r="E257" s="19" t="str">
        <x:v>Sík gipszkarton álmennyezet egy rétegben</x:v>
      </x:c>
      <x:c r="F257" s="19" t="str">
        <x:v>m²</x:v>
      </x:c>
      <x:c r="G257" s="113" t="n">
        <x:v>4500</x:v>
      </x:c>
      <x:c r="H257" s="113" t="n">
        <x:v>6800</x:v>
      </x:c>
      <x:c r="I257" s="114" t="n">
        <x:v>0.55</x:v>
      </x:c>
      <x:c r="J257" s="113" t="n">
        <x:f>ROUND(H257*I257/Beallitasok!$B$7,0)*Beallitasok!$B$7</x:f>
        <x:v>3750</x:v>
      </x:c>
      <x:c r="K257" s="19" t="n">
        <x:v>2</x:v>
      </x:c>
      <x:c r="L257" s="19" t="n">
        <x:v>1</x:v>
      </x:c>
      <x:c r="M257" s="113" t="n">
        <x:f>K257*Beallitasok!$B$2+L257*Beallitasok!$B$3</x:f>
        <x:v>95000</x:v>
      </x:c>
      <x:c r="N257" s="115" t="n">
        <x:v>40</x:v>
      </x:c>
      <x:c r="O257" s="113" t="n">
        <x:f>IFERROR(M257/N257,"")</x:f>
        <x:v>2375</x:v>
      </x:c>
      <x:c r="P257" s="116" t="n">
        <x:f>Beallitasok!$B$5</x:f>
        <x:v>1.15</x:v>
      </x:c>
      <x:c r="Q257" s="113" t="n">
        <x:f>IFERROR(ROUND(O257*P257/Beallitasok!$B$7,0)*Beallitasok!$B$7,"")</x:f>
        <x:v>2750</x:v>
      </x:c>
      <x:c r="R257" s="113"/>
      <x:c r="S257" s="113" t="n">
        <x:f>IF(Q257="","",Q257+IF(R257="",0,R257))</x:f>
        <x:v>2750</x:v>
      </x:c>
      <x:c r="T257" s="113" t="n">
        <x:f>M257*Beallitasok!$B$4</x:f>
        <x:v>475000</x:v>
      </x:c>
      <x:c r="U257" s="115" t="n">
        <x:f>N257*Beallitasok!$B$4</x:f>
        <x:v>200</x:v>
      </x:c>
      <x:c r="V257" s="113"/>
      <x:c r="W257" s="113" t="str">
        <x:f>IF(V257="","",V257-J257)</x:f>
      </x:c>
      <x:c r="X257" s="19"/>
      <x:c r="Y257" s="113" t="n">
        <x:f>IF(S257="","",J257-S257)</x:f>
        <x:v>1000</x:v>
      </x:c>
      <x:c r="Z257" s="19" t="str">
        <x:f>IF(AA257="IGEN",IF(J257&lt;S257,"GÉPIGÉNY + KRITIKUS: gépdíj nélkül is alacsony a plafon","GÉPIGÉNY: a saját egységár gépdíj nélkül értendő"),IF(J257&lt;S257,"KRITIKUS: alvállalkozói plafon &lt; saját terhelt egységköltség",IF(J257&lt;S257*Beallitasok!$B$6,"SZŰK TARTALÉK: 10% alatti tartalék","OK")))</x:f>
        <x:v>OK</x:v>
      </x:c>
      <x:c r="AA257" s="19" t="str">
        <x:v>NEM</x:v>
      </x:c>
      <x:c r="AB257" s="19" t="str">
        <x:v>https://joszaki.hu/arak/gipszkarton-szereles</x:v>
      </x:c>
      <x:c r="AC257" s="19" t="str">
        <x:v>2026 piaci munkadíj és részfolyamatokra bontott norma</x:v>
      </x:c>
      <x:c r="AD257" s="19" t="str"/>
    </x:row>
    <x:row r="258">
      <x:c r="A258" s="19" t="str">
        <x:v>AR-0257</x:v>
      </x:c>
      <x:c r="B258" s="19" t="str">
        <x:v>12 Belső alapfelületek</x:v>
      </x:c>
      <x:c r="C258" s="19" t="str">
        <x:v>Vakolás, esztrich, gipszkarton</x:v>
      </x:c>
      <x:c r="D258" s="19" t="str">
        <x:v>Mindegyik</x:v>
      </x:c>
      <x:c r="E258" s="19" t="str">
        <x:v>Dupla rétegű gipszkarton álmennyezet</x:v>
      </x:c>
      <x:c r="F258" s="19" t="str">
        <x:v>m²</x:v>
      </x:c>
      <x:c r="G258" s="113" t="n">
        <x:v>6200</x:v>
      </x:c>
      <x:c r="H258" s="113" t="n">
        <x:v>9200</x:v>
      </x:c>
      <x:c r="I258" s="114" t="n">
        <x:v>0.55</x:v>
      </x:c>
      <x:c r="J258" s="113" t="n">
        <x:f>ROUND(H258*I258/Beallitasok!$B$7,0)*Beallitasok!$B$7</x:f>
        <x:v>5050</x:v>
      </x:c>
      <x:c r="K258" s="19" t="n">
        <x:v>2</x:v>
      </x:c>
      <x:c r="L258" s="19" t="n">
        <x:v>1</x:v>
      </x:c>
      <x:c r="M258" s="113" t="n">
        <x:f>K258*Beallitasok!$B$2+L258*Beallitasok!$B$3</x:f>
        <x:v>95000</x:v>
      </x:c>
      <x:c r="N258" s="115" t="n">
        <x:v>30</x:v>
      </x:c>
      <x:c r="O258" s="113" t="n">
        <x:f>IFERROR(M258/N258,"")</x:f>
        <x:v>3166.6666666666665</x:v>
      </x:c>
      <x:c r="P258" s="116" t="n">
        <x:f>Beallitasok!$B$5</x:f>
        <x:v>1.15</x:v>
      </x:c>
      <x:c r="Q258" s="113" t="n">
        <x:f>IFERROR(ROUND(O258*P258/Beallitasok!$B$7,0)*Beallitasok!$B$7,"")</x:f>
        <x:v>3650</x:v>
      </x:c>
      <x:c r="R258" s="113"/>
      <x:c r="S258" s="113" t="n">
        <x:f>IF(Q258="","",Q258+IF(R258="",0,R258))</x:f>
        <x:v>3650</x:v>
      </x:c>
      <x:c r="T258" s="113" t="n">
        <x:f>M258*Beallitasok!$B$4</x:f>
        <x:v>475000</x:v>
      </x:c>
      <x:c r="U258" s="115" t="n">
        <x:f>N258*Beallitasok!$B$4</x:f>
        <x:v>150</x:v>
      </x:c>
      <x:c r="V258" s="113"/>
      <x:c r="W258" s="113" t="str">
        <x:f>IF(V258="","",V258-J258)</x:f>
      </x:c>
      <x:c r="X258" s="19"/>
      <x:c r="Y258" s="113" t="n">
        <x:f>IF(S258="","",J258-S258)</x:f>
        <x:v>1400</x:v>
      </x:c>
      <x:c r="Z258" s="19" t="str">
        <x:f>IF(AA258="IGEN",IF(J258&lt;S258,"GÉPIGÉNY + KRITIKUS: gépdíj nélkül is alacsony a plafon","GÉPIGÉNY: a saját egységár gépdíj nélkül értendő"),IF(J258&lt;S258,"KRITIKUS: alvállalkozói plafon &lt; saját terhelt egységköltség",IF(J258&lt;S258*Beallitasok!$B$6,"SZŰK TARTALÉK: 10% alatti tartalék","OK")))</x:f>
        <x:v>OK</x:v>
      </x:c>
      <x:c r="AA258" s="19" t="str">
        <x:v>NEM</x:v>
      </x:c>
      <x:c r="AB258" s="19" t="str">
        <x:v>https://joszaki.hu/arak/gipszkarton-szereles</x:v>
      </x:c>
      <x:c r="AC258" s="19" t="str">
        <x:v>2026 piaci munkadíj és részfolyamatokra bontott norma</x:v>
      </x:c>
      <x:c r="AD258" s="19" t="str"/>
    </x:row>
    <x:row r="259">
      <x:c r="A259" s="19" t="str">
        <x:v>AR-0258</x:v>
      </x:c>
      <x:c r="B259" s="19" t="str">
        <x:v>12 Belső alapfelületek</x:v>
      </x:c>
      <x:c r="C259" s="19" t="str">
        <x:v>Vakolás, esztrich, gipszkarton</x:v>
      </x:c>
      <x:c r="D259" s="19" t="str">
        <x:v>Mindegyik</x:v>
      </x:c>
      <x:c r="E259" s="19" t="str">
        <x:v>Tetőtéri ferde sík gipszkartonozása</x:v>
      </x:c>
      <x:c r="F259" s="19" t="str">
        <x:v>m²</x:v>
      </x:c>
      <x:c r="G259" s="113" t="n">
        <x:v>5000</x:v>
      </x:c>
      <x:c r="H259" s="113" t="n">
        <x:v>7500</x:v>
      </x:c>
      <x:c r="I259" s="114" t="n">
        <x:v>0.55</x:v>
      </x:c>
      <x:c r="J259" s="113" t="n">
        <x:f>ROUND(H259*I259/Beallitasok!$B$7,0)*Beallitasok!$B$7</x:f>
        <x:v>4150</x:v>
      </x:c>
      <x:c r="K259" s="19" t="n">
        <x:v>2</x:v>
      </x:c>
      <x:c r="L259" s="19" t="n">
        <x:v>1</x:v>
      </x:c>
      <x:c r="M259" s="113" t="n">
        <x:f>K259*Beallitasok!$B$2+L259*Beallitasok!$B$3</x:f>
        <x:v>95000</x:v>
      </x:c>
      <x:c r="N259" s="115" t="n">
        <x:v>34</x:v>
      </x:c>
      <x:c r="O259" s="113" t="n">
        <x:f>IFERROR(M259/N259,"")</x:f>
        <x:v>2794.1176470588234</x:v>
      </x:c>
      <x:c r="P259" s="116" t="n">
        <x:f>Beallitasok!$B$5</x:f>
        <x:v>1.15</x:v>
      </x:c>
      <x:c r="Q259" s="113" t="n">
        <x:f>IFERROR(ROUND(O259*P259/Beallitasok!$B$7,0)*Beallitasok!$B$7,"")</x:f>
        <x:v>3200</x:v>
      </x:c>
      <x:c r="R259" s="113"/>
      <x:c r="S259" s="113" t="n">
        <x:f>IF(Q259="","",Q259+IF(R259="",0,R259))</x:f>
        <x:v>3200</x:v>
      </x:c>
      <x:c r="T259" s="113" t="n">
        <x:f>M259*Beallitasok!$B$4</x:f>
        <x:v>475000</x:v>
      </x:c>
      <x:c r="U259" s="115" t="n">
        <x:f>N259*Beallitasok!$B$4</x:f>
        <x:v>170</x:v>
      </x:c>
      <x:c r="V259" s="113"/>
      <x:c r="W259" s="113" t="str">
        <x:f>IF(V259="","",V259-J259)</x:f>
      </x:c>
      <x:c r="X259" s="19"/>
      <x:c r="Y259" s="113" t="n">
        <x:f>IF(S259="","",J259-S259)</x:f>
        <x:v>950</x:v>
      </x:c>
      <x:c r="Z259" s="19" t="str">
        <x:f>IF(AA259="IGEN",IF(J259&lt;S259,"GÉPIGÉNY + KRITIKUS: gépdíj nélkül is alacsony a plafon","GÉPIGÉNY: a saját egységár gépdíj nélkül értendő"),IF(J259&lt;S259,"KRITIKUS: alvállalkozói plafon &lt; saját terhelt egységköltség",IF(J259&lt;S259*Beallitasok!$B$6,"SZŰK TARTALÉK: 10% alatti tartalék","OK")))</x:f>
        <x:v>OK</x:v>
      </x:c>
      <x:c r="AA259" s="19" t="str">
        <x:v>NEM</x:v>
      </x:c>
      <x:c r="AB259" s="19" t="str">
        <x:v>https://joszaki.hu/arak/gipszkarton-szereles</x:v>
      </x:c>
      <x:c r="AC259" s="19" t="str">
        <x:v>2026 piaci munkadíj és részfolyamatokra bontott norma</x:v>
      </x:c>
      <x:c r="AD259" s="19" t="str"/>
    </x:row>
    <x:row r="260">
      <x:c r="A260" s="19" t="str">
        <x:v>AR-0259</x:v>
      </x:c>
      <x:c r="B260" s="19" t="str">
        <x:v>12 Belső alapfelületek</x:v>
      </x:c>
      <x:c r="C260" s="19" t="str">
        <x:v>Vakolás, esztrich, gipszkarton</x:v>
      </x:c>
      <x:c r="D260" s="19" t="str">
        <x:v>Mindegyik</x:v>
      </x:c>
      <x:c r="E260" s="19" t="str">
        <x:v>Gipszkarton dobozolás 60 cm kerületig</x:v>
      </x:c>
      <x:c r="F260" s="19" t="str">
        <x:v>fm</x:v>
      </x:c>
      <x:c r="G260" s="113" t="n">
        <x:v>4200</x:v>
      </x:c>
      <x:c r="H260" s="113" t="n">
        <x:v>6200</x:v>
      </x:c>
      <x:c r="I260" s="114" t="n">
        <x:v>0.55</x:v>
      </x:c>
      <x:c r="J260" s="113" t="n">
        <x:f>ROUND(H260*I260/Beallitasok!$B$7,0)*Beallitasok!$B$7</x:f>
        <x:v>3400</x:v>
      </x:c>
      <x:c r="K260" s="19" t="n">
        <x:v>2</x:v>
      </x:c>
      <x:c r="L260" s="19" t="n">
        <x:v>1</x:v>
      </x:c>
      <x:c r="M260" s="113" t="n">
        <x:f>K260*Beallitasok!$B$2+L260*Beallitasok!$B$3</x:f>
        <x:v>95000</x:v>
      </x:c>
      <x:c r="N260" s="115" t="n">
        <x:v>28</x:v>
      </x:c>
      <x:c r="O260" s="113" t="n">
        <x:f>IFERROR(M260/N260,"")</x:f>
        <x:v>3392.8571428571427</x:v>
      </x:c>
      <x:c r="P260" s="116" t="n">
        <x:f>Beallitasok!$B$5</x:f>
        <x:v>1.15</x:v>
      </x:c>
      <x:c r="Q260" s="113" t="n">
        <x:f>IFERROR(ROUND(O260*P260/Beallitasok!$B$7,0)*Beallitasok!$B$7,"")</x:f>
        <x:v>3900</x:v>
      </x:c>
      <x:c r="R260" s="113"/>
      <x:c r="S260" s="113" t="n">
        <x:f>IF(Q260="","",Q260+IF(R260="",0,R260))</x:f>
        <x:v>3900</x:v>
      </x:c>
      <x:c r="T260" s="113" t="n">
        <x:f>M260*Beallitasok!$B$4</x:f>
        <x:v>475000</x:v>
      </x:c>
      <x:c r="U260" s="115" t="n">
        <x:f>N260*Beallitasok!$B$4</x:f>
        <x:v>140</x:v>
      </x:c>
      <x:c r="V260" s="113"/>
      <x:c r="W260" s="113" t="str">
        <x:f>IF(V260="","",V260-J260)</x:f>
      </x:c>
      <x:c r="X260" s="19"/>
      <x:c r="Y260" s="113" t="n">
        <x:f>IF(S260="","",J260-S260)</x:f>
        <x:v>-500</x:v>
      </x:c>
      <x:c r="Z260" s="19" t="str">
        <x:f>IF(AA260="IGEN",IF(J260&lt;S260,"GÉPIGÉNY + KRITIKUS: gépdíj nélkül is alacsony a plafon","GÉPIGÉNY: a saját egységár gépdíj nélkül értendő"),IF(J260&lt;S260,"KRITIKUS: alvállalkozói plafon &lt; saját terhelt egységköltség",IF(J260&lt;S260*Beallitasok!$B$6,"SZŰK TARTALÉK: 10% alatti tartalék","OK")))</x:f>
        <x:v>KRITIKUS: alvállalkozói plafon &lt; saját terhelt egységköltség</x:v>
      </x:c>
      <x:c r="AA260" s="19" t="str">
        <x:v>NEM</x:v>
      </x:c>
      <x:c r="AB260" s="19" t="str">
        <x:v>https://joszaki.hu/arak/gipszkarton-szereles</x:v>
      </x:c>
      <x:c r="AC260" s="19" t="str">
        <x:v>2026 piaci munkadíj és részfolyamatokra bontott norma</x:v>
      </x:c>
      <x:c r="AD260" s="19" t="str"/>
    </x:row>
    <x:row r="261">
      <x:c r="A261" s="19" t="str">
        <x:v>AR-0260</x:v>
      </x:c>
      <x:c r="B261" s="19" t="str">
        <x:v>12 Belső alapfelületek</x:v>
      </x:c>
      <x:c r="C261" s="19" t="str">
        <x:v>Vakolás, esztrich, gipszkarton</x:v>
      </x:c>
      <x:c r="D261" s="19" t="str">
        <x:v>Mindegyik</x:v>
      </x:c>
      <x:c r="E261" s="19" t="str">
        <x:v>Gipszkarton csatlakozások bandázsolása Q2</x:v>
      </x:c>
      <x:c r="F261" s="19" t="str">
        <x:v>fm</x:v>
      </x:c>
      <x:c r="G261" s="113" t="n">
        <x:v>900</x:v>
      </x:c>
      <x:c r="H261" s="113" t="n">
        <x:v>1400</x:v>
      </x:c>
      <x:c r="I261" s="114" t="n">
        <x:v>0.55</x:v>
      </x:c>
      <x:c r="J261" s="113" t="n">
        <x:f>ROUND(H261*I261/Beallitasok!$B$7,0)*Beallitasok!$B$7</x:f>
        <x:v>750</x:v>
      </x:c>
      <x:c r="K261" s="19" t="n">
        <x:v>1</x:v>
      </x:c>
      <x:c r="L261" s="19" t="n">
        <x:v>1</x:v>
      </x:c>
      <x:c r="M261" s="113" t="n">
        <x:f>K261*Beallitasok!$B$2+L261*Beallitasok!$B$3</x:f>
        <x:v>60000</x:v>
      </x:c>
      <x:c r="N261" s="115" t="n">
        <x:v>100</x:v>
      </x:c>
      <x:c r="O261" s="113" t="n">
        <x:f>IFERROR(M261/N261,"")</x:f>
        <x:v>600</x:v>
      </x:c>
      <x:c r="P261" s="116" t="n">
        <x:f>Beallitasok!$B$5</x:f>
        <x:v>1.15</x:v>
      </x:c>
      <x:c r="Q261" s="113" t="n">
        <x:f>IFERROR(ROUND(O261*P261/Beallitasok!$B$7,0)*Beallitasok!$B$7,"")</x:f>
        <x:v>700</x:v>
      </x:c>
      <x:c r="R261" s="113"/>
      <x:c r="S261" s="113" t="n">
        <x:f>IF(Q261="","",Q261+IF(R261="",0,R261))</x:f>
        <x:v>700</x:v>
      </x:c>
      <x:c r="T261" s="113" t="n">
        <x:f>M261*Beallitasok!$B$4</x:f>
        <x:v>300000</x:v>
      </x:c>
      <x:c r="U261" s="115" t="n">
        <x:f>N261*Beallitasok!$B$4</x:f>
        <x:v>500</x:v>
      </x:c>
      <x:c r="V261" s="113"/>
      <x:c r="W261" s="113" t="str">
        <x:f>IF(V261="","",V261-J261)</x:f>
      </x:c>
      <x:c r="X261" s="19"/>
      <x:c r="Y261" s="113" t="n">
        <x:f>IF(S261="","",J261-S261)</x:f>
        <x:v>50</x:v>
      </x:c>
      <x:c r="Z261" s="19" t="str">
        <x:f>IF(AA261="IGEN",IF(J261&lt;S261,"GÉPIGÉNY + KRITIKUS: gépdíj nélkül is alacsony a plafon","GÉPIGÉNY: a saját egységár gépdíj nélkül értendő"),IF(J261&lt;S261,"KRITIKUS: alvállalkozói plafon &lt; saját terhelt egységköltség",IF(J261&lt;S261*Beallitasok!$B$6,"SZŰK TARTALÉK: 10% alatti tartalék","OK")))</x:f>
        <x:v>SZŰK TARTALÉK: 10% alatti tartalék</x:v>
      </x:c>
      <x:c r="AA261" s="19" t="str">
        <x:v>NEM</x:v>
      </x:c>
      <x:c r="AB261" s="19" t="str">
        <x:v>https://joszaki.hu/arak/gipszkarton-szereles</x:v>
      </x:c>
      <x:c r="AC261" s="19" t="str">
        <x:v>2026 piaci munkadíj és részfolyamatokra bontott norma</x:v>
      </x:c>
      <x:c r="AD261" s="19" t="str"/>
    </x:row>
    <x:row r="262">
      <x:c r="A262" s="19" t="str">
        <x:v>AR-0261</x:v>
      </x:c>
      <x:c r="B262" s="19" t="str">
        <x:v>12 Belső alapfelületek</x:v>
      </x:c>
      <x:c r="C262" s="19" t="str">
        <x:v>Vakolás, esztrich, gipszkarton</x:v>
      </x:c>
      <x:c r="D262" s="19" t="str">
        <x:v>Mindegyik</x:v>
      </x:c>
      <x:c r="E262" s="19" t="str">
        <x:v>Gipszkarton felület teljes glettelése Q3</x:v>
      </x:c>
      <x:c r="F262" s="19" t="str">
        <x:v>m²</x:v>
      </x:c>
      <x:c r="G262" s="113" t="n">
        <x:v>1800</x:v>
      </x:c>
      <x:c r="H262" s="113" t="n">
        <x:v>2700</x:v>
      </x:c>
      <x:c r="I262" s="114" t="n">
        <x:v>0.55</x:v>
      </x:c>
      <x:c r="J262" s="113" t="n">
        <x:f>ROUND(H262*I262/Beallitasok!$B$7,0)*Beallitasok!$B$7</x:f>
        <x:v>1500</x:v>
      </x:c>
      <x:c r="K262" s="19" t="n">
        <x:v>2</x:v>
      </x:c>
      <x:c r="L262" s="19" t="n">
        <x:v>1</x:v>
      </x:c>
      <x:c r="M262" s="113" t="n">
        <x:f>K262*Beallitasok!$B$2+L262*Beallitasok!$B$3</x:f>
        <x:v>95000</x:v>
      </x:c>
      <x:c r="N262" s="115" t="n">
        <x:v>75</x:v>
      </x:c>
      <x:c r="O262" s="113" t="n">
        <x:f>IFERROR(M262/N262,"")</x:f>
        <x:v>1266.6666666666667</x:v>
      </x:c>
      <x:c r="P262" s="116" t="n">
        <x:f>Beallitasok!$B$5</x:f>
        <x:v>1.15</x:v>
      </x:c>
      <x:c r="Q262" s="113" t="n">
        <x:f>IFERROR(ROUND(O262*P262/Beallitasok!$B$7,0)*Beallitasok!$B$7,"")</x:f>
        <x:v>1450</x:v>
      </x:c>
      <x:c r="R262" s="113"/>
      <x:c r="S262" s="113" t="n">
        <x:f>IF(Q262="","",Q262+IF(R262="",0,R262))</x:f>
        <x:v>1450</x:v>
      </x:c>
      <x:c r="T262" s="113" t="n">
        <x:f>M262*Beallitasok!$B$4</x:f>
        <x:v>475000</x:v>
      </x:c>
      <x:c r="U262" s="115" t="n">
        <x:f>N262*Beallitasok!$B$4</x:f>
        <x:v>375</x:v>
      </x:c>
      <x:c r="V262" s="113"/>
      <x:c r="W262" s="113" t="str">
        <x:f>IF(V262="","",V262-J262)</x:f>
      </x:c>
      <x:c r="X262" s="19"/>
      <x:c r="Y262" s="113" t="n">
        <x:f>IF(S262="","",J262-S262)</x:f>
        <x:v>50</x:v>
      </x:c>
      <x:c r="Z262" s="19" t="str">
        <x:f>IF(AA262="IGEN",IF(J262&lt;S262,"GÉPIGÉNY + KRITIKUS: gépdíj nélkül is alacsony a plafon","GÉPIGÉNY: a saját egységár gépdíj nélkül értendő"),IF(J262&lt;S262,"KRITIKUS: alvállalkozói plafon &lt; saját terhelt egységköltség",IF(J262&lt;S262*Beallitasok!$B$6,"SZŰK TARTALÉK: 10% alatti tartalék","OK")))</x:f>
        <x:v>SZŰK TARTALÉK: 10% alatti tartalék</x:v>
      </x:c>
      <x:c r="AA262" s="19" t="str">
        <x:v>NEM</x:v>
      </x:c>
      <x:c r="AB262" s="19" t="str">
        <x:v>https://joszaki.hu/arak/gipszkarton-szereles</x:v>
      </x:c>
      <x:c r="AC262" s="19" t="str">
        <x:v>2026 piaci munkadíj és részfolyamatokra bontott norma</x:v>
      </x:c>
      <x:c r="AD262" s="19" t="str"/>
    </x:row>
    <x:row r="263">
      <x:c r="A263" s="19" t="str">
        <x:v>AR-0262</x:v>
      </x:c>
      <x:c r="B263" s="19" t="str">
        <x:v>13 Befejező munkák</x:v>
      </x:c>
      <x:c r="C263" s="19" t="str">
        <x:v>Festés és burkolás</x:v>
      </x:c>
      <x:c r="D263" s="19" t="str">
        <x:v>Mindegyik</x:v>
      </x:c>
      <x:c r="E263" s="19" t="str">
        <x:v>Mélyalapozás festés előtt</x:v>
      </x:c>
      <x:c r="F263" s="19" t="str">
        <x:v>m²</x:v>
      </x:c>
      <x:c r="G263" s="113" t="n">
        <x:v>300</x:v>
      </x:c>
      <x:c r="H263" s="113" t="n">
        <x:v>500</x:v>
      </x:c>
      <x:c r="I263" s="114" t="n">
        <x:v>0.55</x:v>
      </x:c>
      <x:c r="J263" s="113" t="n">
        <x:f>ROUND(H263*I263/Beallitasok!$B$7,0)*Beallitasok!$B$7</x:f>
        <x:v>300</x:v>
      </x:c>
      <x:c r="K263" s="19" t="n">
        <x:v>1</x:v>
      </x:c>
      <x:c r="L263" s="19" t="n">
        <x:v>1</x:v>
      </x:c>
      <x:c r="M263" s="113" t="n">
        <x:f>K263*Beallitasok!$B$2+L263*Beallitasok!$B$3</x:f>
        <x:v>60000</x:v>
      </x:c>
      <x:c r="N263" s="115" t="n">
        <x:v>260</x:v>
      </x:c>
      <x:c r="O263" s="113" t="n">
        <x:f>IFERROR(M263/N263,"")</x:f>
        <x:v>230.76923076923077</x:v>
      </x:c>
      <x:c r="P263" s="116" t="n">
        <x:f>Beallitasok!$B$5</x:f>
        <x:v>1.15</x:v>
      </x:c>
      <x:c r="Q263" s="113" t="n">
        <x:f>IFERROR(ROUND(O263*P263/Beallitasok!$B$7,0)*Beallitasok!$B$7,"")</x:f>
        <x:v>250</x:v>
      </x:c>
      <x:c r="R263" s="113"/>
      <x:c r="S263" s="113" t="n">
        <x:f>IF(Q263="","",Q263+IF(R263="",0,R263))</x:f>
        <x:v>250</x:v>
      </x:c>
      <x:c r="T263" s="113" t="n">
        <x:f>M263*Beallitasok!$B$4</x:f>
        <x:v>300000</x:v>
      </x:c>
      <x:c r="U263" s="115" t="n">
        <x:f>N263*Beallitasok!$B$4</x:f>
        <x:v>1300</x:v>
      </x:c>
      <x:c r="V263" s="113"/>
      <x:c r="W263" s="113" t="str">
        <x:f>IF(V263="","",V263-J263)</x:f>
      </x:c>
      <x:c r="X263" s="19"/>
      <x:c r="Y263" s="113" t="n">
        <x:f>IF(S263="","",J263-S263)</x:f>
        <x:v>50</x:v>
      </x:c>
      <x:c r="Z263" s="19" t="str">
        <x:f>IF(AA263="IGEN",IF(J263&lt;S263,"GÉPIGÉNY + KRITIKUS: gépdíj nélkül is alacsony a plafon","GÉPIGÉNY: a saját egységár gépdíj nélkül értendő"),IF(J263&lt;S263,"KRITIKUS: alvállalkozói plafon &lt; saját terhelt egységköltség",IF(J263&lt;S263*Beallitasok!$B$6,"SZŰK TARTALÉK: 10% alatti tartalék","OK")))</x:f>
        <x:v>OK</x:v>
      </x:c>
      <x:c r="AA263" s="19" t="str">
        <x:v>NEM</x:v>
      </x:c>
      <x:c r="AB263" s="19" t="str">
        <x:v>https://joszaki.hu/arak/szobafestes</x:v>
      </x:c>
      <x:c r="AC263" s="19" t="str">
        <x:v>2026 piaci alsó sáv; felhasználói árkorlátokkal ellenőrizve</x:v>
      </x:c>
      <x:c r="AD263" s="19" t="str"/>
    </x:row>
    <x:row r="264">
      <x:c r="A264" s="19" t="str">
        <x:v>AR-0263</x:v>
      </x:c>
      <x:c r="B264" s="19" t="str">
        <x:v>13 Befejező munkák</x:v>
      </x:c>
      <x:c r="C264" s="19" t="str">
        <x:v>Festés és burkolás</x:v>
      </x:c>
      <x:c r="D264" s="19" t="str">
        <x:v>Mindegyik</x:v>
      </x:c>
      <x:c r="E264" s="19" t="str">
        <x:v>Glettelés egy rétegben csiszolással</x:v>
      </x:c>
      <x:c r="F264" s="19" t="str">
        <x:v>m²</x:v>
      </x:c>
      <x:c r="G264" s="113" t="n">
        <x:v>1000</x:v>
      </x:c>
      <x:c r="H264" s="113" t="n">
        <x:v>1500</x:v>
      </x:c>
      <x:c r="I264" s="114" t="n">
        <x:v>0.55</x:v>
      </x:c>
      <x:c r="J264" s="113" t="n">
        <x:f>ROUND(H264*I264/Beallitasok!$B$7,0)*Beallitasok!$B$7</x:f>
        <x:v>850</x:v>
      </x:c>
      <x:c r="K264" s="19" t="n">
        <x:v>2</x:v>
      </x:c>
      <x:c r="L264" s="19" t="n">
        <x:v>1</x:v>
      </x:c>
      <x:c r="M264" s="113" t="n">
        <x:f>K264*Beallitasok!$B$2+L264*Beallitasok!$B$3</x:f>
        <x:v>95000</x:v>
      </x:c>
      <x:c r="N264" s="115" t="n">
        <x:v>100</x:v>
      </x:c>
      <x:c r="O264" s="113" t="n">
        <x:f>IFERROR(M264/N264,"")</x:f>
        <x:v>950</x:v>
      </x:c>
      <x:c r="P264" s="116" t="n">
        <x:f>Beallitasok!$B$5</x:f>
        <x:v>1.15</x:v>
      </x:c>
      <x:c r="Q264" s="113" t="n">
        <x:f>IFERROR(ROUND(O264*P264/Beallitasok!$B$7,0)*Beallitasok!$B$7,"")</x:f>
        <x:v>1100</x:v>
      </x:c>
      <x:c r="R264" s="113"/>
      <x:c r="S264" s="113" t="n">
        <x:f>IF(Q264="","",Q264+IF(R264="",0,R264))</x:f>
        <x:v>1100</x:v>
      </x:c>
      <x:c r="T264" s="113" t="n">
        <x:f>M264*Beallitasok!$B$4</x:f>
        <x:v>475000</x:v>
      </x:c>
      <x:c r="U264" s="115" t="n">
        <x:f>N264*Beallitasok!$B$4</x:f>
        <x:v>500</x:v>
      </x:c>
      <x:c r="V264" s="113"/>
      <x:c r="W264" s="113" t="str">
        <x:f>IF(V264="","",V264-J264)</x:f>
      </x:c>
      <x:c r="X264" s="19"/>
      <x:c r="Y264" s="113" t="n">
        <x:f>IF(S264="","",J264-S264)</x:f>
        <x:v>-250</x:v>
      </x:c>
      <x:c r="Z264" s="19" t="str">
        <x:f>IF(AA264="IGEN",IF(J264&lt;S264,"GÉPIGÉNY + KRITIKUS: gépdíj nélkül is alacsony a plafon","GÉPIGÉNY: a saját egységár gépdíj nélkül értendő"),IF(J264&lt;S264,"KRITIKUS: alvállalkozói plafon &lt; saját terhelt egységköltség",IF(J264&lt;S264*Beallitasok!$B$6,"SZŰK TARTALÉK: 10% alatti tartalék","OK")))</x:f>
        <x:v>KRITIKUS: alvállalkozói plafon &lt; saját terhelt egységköltség</x:v>
      </x:c>
      <x:c r="AA264" s="19" t="str">
        <x:v>NEM</x:v>
      </x:c>
      <x:c r="AB264" s="19" t="str">
        <x:v>https://joszaki.hu/arak/gletteles</x:v>
      </x:c>
      <x:c r="AC264" s="19" t="str">
        <x:v>2026 piaci alsó sáv; felhasználói árkorlátokkal ellenőrizve</x:v>
      </x:c>
      <x:c r="AD264" s="19" t="str"/>
    </x:row>
    <x:row r="265">
      <x:c r="A265" s="19" t="str">
        <x:v>AR-0264</x:v>
      </x:c>
      <x:c r="B265" s="19" t="str">
        <x:v>13 Befejező munkák</x:v>
      </x:c>
      <x:c r="C265" s="19" t="str">
        <x:v>Festés és burkolás</x:v>
      </x:c>
      <x:c r="D265" s="19" t="str">
        <x:v>Mindegyik</x:v>
      </x:c>
      <x:c r="E265" s="19" t="str">
        <x:v>Glettelés két rétegben csiszolással</x:v>
      </x:c>
      <x:c r="F265" s="19" t="str">
        <x:v>m²</x:v>
      </x:c>
      <x:c r="G265" s="113" t="n">
        <x:v>1650</x:v>
      </x:c>
      <x:c r="H265" s="113" t="n">
        <x:v>2400</x:v>
      </x:c>
      <x:c r="I265" s="114" t="n">
        <x:v>0.55</x:v>
      </x:c>
      <x:c r="J265" s="113" t="n">
        <x:f>ROUND(H265*I265/Beallitasok!$B$7,0)*Beallitasok!$B$7</x:f>
        <x:v>1300</x:v>
      </x:c>
      <x:c r="K265" s="19" t="n">
        <x:v>2</x:v>
      </x:c>
      <x:c r="L265" s="19" t="n">
        <x:v>1</x:v>
      </x:c>
      <x:c r="M265" s="113" t="n">
        <x:f>K265*Beallitasok!$B$2+L265*Beallitasok!$B$3</x:f>
        <x:v>95000</x:v>
      </x:c>
      <x:c r="N265" s="115" t="n">
        <x:v>65</x:v>
      </x:c>
      <x:c r="O265" s="113" t="n">
        <x:f>IFERROR(M265/N265,"")</x:f>
        <x:v>1461.5384615384614</x:v>
      </x:c>
      <x:c r="P265" s="116" t="n">
        <x:f>Beallitasok!$B$5</x:f>
        <x:v>1.15</x:v>
      </x:c>
      <x:c r="Q265" s="113" t="n">
        <x:f>IFERROR(ROUND(O265*P265/Beallitasok!$B$7,0)*Beallitasok!$B$7,"")</x:f>
        <x:v>1700</x:v>
      </x:c>
      <x:c r="R265" s="113"/>
      <x:c r="S265" s="113" t="n">
        <x:f>IF(Q265="","",Q265+IF(R265="",0,R265))</x:f>
        <x:v>1700</x:v>
      </x:c>
      <x:c r="T265" s="113" t="n">
        <x:f>M265*Beallitasok!$B$4</x:f>
        <x:v>475000</x:v>
      </x:c>
      <x:c r="U265" s="115" t="n">
        <x:f>N265*Beallitasok!$B$4</x:f>
        <x:v>325</x:v>
      </x:c>
      <x:c r="V265" s="113"/>
      <x:c r="W265" s="113" t="str">
        <x:f>IF(V265="","",V265-J265)</x:f>
      </x:c>
      <x:c r="X265" s="19"/>
      <x:c r="Y265" s="113" t="n">
        <x:f>IF(S265="","",J265-S265)</x:f>
        <x:v>-400</x:v>
      </x:c>
      <x:c r="Z265" s="19" t="str">
        <x:f>IF(AA265="IGEN",IF(J265&lt;S265,"GÉPIGÉNY + KRITIKUS: gépdíj nélkül is alacsony a plafon","GÉPIGÉNY: a saját egységár gépdíj nélkül értendő"),IF(J265&lt;S265,"KRITIKUS: alvállalkozói plafon &lt; saját terhelt egységköltség",IF(J265&lt;S265*Beallitasok!$B$6,"SZŰK TARTALÉK: 10% alatti tartalék","OK")))</x:f>
        <x:v>KRITIKUS: alvállalkozói plafon &lt; saját terhelt egységköltség</x:v>
      </x:c>
      <x:c r="AA265" s="19" t="str">
        <x:v>NEM</x:v>
      </x:c>
      <x:c r="AB265" s="19" t="str">
        <x:v>https://joszaki.hu/arak/gletteles</x:v>
      </x:c>
      <x:c r="AC265" s="19" t="str">
        <x:v>2026 piaci alsó sáv; felhasználói árkorlátokkal ellenőrizve</x:v>
      </x:c>
      <x:c r="AD265" s="19" t="str"/>
    </x:row>
    <x:row r="266">
      <x:c r="A266" s="19" t="str">
        <x:v>AR-0265</x:v>
      </x:c>
      <x:c r="B266" s="19" t="str">
        <x:v>13 Befejező munkák</x:v>
      </x:c>
      <x:c r="C266" s="19" t="str">
        <x:v>Festés és burkolás</x:v>
      </x:c>
      <x:c r="D266" s="19" t="str">
        <x:v>Mindegyik</x:v>
      </x:c>
      <x:c r="E266" s="19" t="str">
        <x:v>Glettháló beágyazása teljes felületen</x:v>
      </x:c>
      <x:c r="F266" s="19" t="str">
        <x:v>m²</x:v>
      </x:c>
      <x:c r="G266" s="113" t="n">
        <x:v>2500</x:v>
      </x:c>
      <x:c r="H266" s="113" t="n">
        <x:v>3600</x:v>
      </x:c>
      <x:c r="I266" s="114" t="n">
        <x:v>0.55</x:v>
      </x:c>
      <x:c r="J266" s="113" t="n">
        <x:f>ROUND(H266*I266/Beallitasok!$B$7,0)*Beallitasok!$B$7</x:f>
        <x:v>2000</x:v>
      </x:c>
      <x:c r="K266" s="19" t="n">
        <x:v>2</x:v>
      </x:c>
      <x:c r="L266" s="19" t="n">
        <x:v>1</x:v>
      </x:c>
      <x:c r="M266" s="113" t="n">
        <x:f>K266*Beallitasok!$B$2+L266*Beallitasok!$B$3</x:f>
        <x:v>95000</x:v>
      </x:c>
      <x:c r="N266" s="115" t="n">
        <x:v>45</x:v>
      </x:c>
      <x:c r="O266" s="113" t="n">
        <x:f>IFERROR(M266/N266,"")</x:f>
        <x:v>2111.1111111111113</x:v>
      </x:c>
      <x:c r="P266" s="116" t="n">
        <x:f>Beallitasok!$B$5</x:f>
        <x:v>1.15</x:v>
      </x:c>
      <x:c r="Q266" s="113" t="n">
        <x:f>IFERROR(ROUND(O266*P266/Beallitasok!$B$7,0)*Beallitasok!$B$7,"")</x:f>
        <x:v>2450</x:v>
      </x:c>
      <x:c r="R266" s="113"/>
      <x:c r="S266" s="113" t="n">
        <x:f>IF(Q266="","",Q266+IF(R266="",0,R266))</x:f>
        <x:v>2450</x:v>
      </x:c>
      <x:c r="T266" s="113" t="n">
        <x:f>M266*Beallitasok!$B$4</x:f>
        <x:v>475000</x:v>
      </x:c>
      <x:c r="U266" s="115" t="n">
        <x:f>N266*Beallitasok!$B$4</x:f>
        <x:v>225</x:v>
      </x:c>
      <x:c r="V266" s="113"/>
      <x:c r="W266" s="113" t="str">
        <x:f>IF(V266="","",V266-J266)</x:f>
      </x:c>
      <x:c r="X266" s="19"/>
      <x:c r="Y266" s="113" t="n">
        <x:f>IF(S266="","",J266-S266)</x:f>
        <x:v>-450</x:v>
      </x:c>
      <x:c r="Z266" s="19" t="str">
        <x:f>IF(AA266="IGEN",IF(J266&lt;S266,"GÉPIGÉNY + KRITIKUS: gépdíj nélkül is alacsony a plafon","GÉPIGÉNY: a saját egységár gépdíj nélkül értendő"),IF(J266&lt;S266,"KRITIKUS: alvállalkozói plafon &lt; saját terhelt egységköltség",IF(J266&lt;S266*Beallitasok!$B$6,"SZŰK TARTALÉK: 10% alatti tartalék","OK")))</x:f>
        <x:v>KRITIKUS: alvállalkozói plafon &lt; saját terhelt egységköltség</x:v>
      </x:c>
      <x:c r="AA266" s="19" t="str">
        <x:v>NEM</x:v>
      </x:c>
      <x:c r="AB266" s="19" t="str">
        <x:v>https://joszaki.hu/arak/gletteles</x:v>
      </x:c>
      <x:c r="AC266" s="19" t="str">
        <x:v>2026 piaci alsó sáv; felhasználói árkorlátokkal ellenőrizve</x:v>
      </x:c>
      <x:c r="AD266" s="19" t="str"/>
    </x:row>
    <x:row r="267">
      <x:c r="A267" s="19" t="str">
        <x:v>AR-0266</x:v>
      </x:c>
      <x:c r="B267" s="19" t="str">
        <x:v>13 Befejező munkák</x:v>
      </x:c>
      <x:c r="C267" s="19" t="str">
        <x:v>Festés és burkolás</x:v>
      </x:c>
      <x:c r="D267" s="19" t="str">
        <x:v>Mindegyik</x:v>
      </x:c>
      <x:c r="E267" s="19" t="str">
        <x:v>Diszperziós festés 1 rétegben fehér színnel</x:v>
      </x:c>
      <x:c r="F267" s="19" t="str">
        <x:v>m²</x:v>
      </x:c>
      <x:c r="G267" s="113" t="n">
        <x:v>900</x:v>
      </x:c>
      <x:c r="H267" s="113" t="n">
        <x:v>1200</x:v>
      </x:c>
      <x:c r="I267" s="114" t="n">
        <x:v>0.55</x:v>
      </x:c>
      <x:c r="J267" s="113" t="n">
        <x:f>ROUND(H267*I267/Beallitasok!$B$7,0)*Beallitasok!$B$7</x:f>
        <x:v>650</x:v>
      </x:c>
      <x:c r="K267" s="19" t="n">
        <x:v>2</x:v>
      </x:c>
      <x:c r="L267" s="19" t="n">
        <x:v>1</x:v>
      </x:c>
      <x:c r="M267" s="113" t="n">
        <x:f>K267*Beallitasok!$B$2+L267*Beallitasok!$B$3</x:f>
        <x:v>95000</x:v>
      </x:c>
      <x:c r="N267" s="115" t="n">
        <x:v>180</x:v>
      </x:c>
      <x:c r="O267" s="113" t="n">
        <x:f>IFERROR(M267/N267,"")</x:f>
        <x:v>527.7777777777778</x:v>
      </x:c>
      <x:c r="P267" s="116" t="n">
        <x:f>Beallitasok!$B$5</x:f>
        <x:v>1.15</x:v>
      </x:c>
      <x:c r="Q267" s="113" t="n">
        <x:f>IFERROR(ROUND(O267*P267/Beallitasok!$B$7,0)*Beallitasok!$B$7,"")</x:f>
        <x:v>600</x:v>
      </x:c>
      <x:c r="R267" s="113"/>
      <x:c r="S267" s="113" t="n">
        <x:f>IF(Q267="","",Q267+IF(R267="",0,R267))</x:f>
        <x:v>600</x:v>
      </x:c>
      <x:c r="T267" s="113" t="n">
        <x:f>M267*Beallitasok!$B$4</x:f>
        <x:v>475000</x:v>
      </x:c>
      <x:c r="U267" s="115" t="n">
        <x:f>N267*Beallitasok!$B$4</x:f>
        <x:v>900</x:v>
      </x:c>
      <x:c r="V267" s="113"/>
      <x:c r="W267" s="113" t="str">
        <x:f>IF(V267="","",V267-J267)</x:f>
      </x:c>
      <x:c r="X267" s="19"/>
      <x:c r="Y267" s="113" t="n">
        <x:f>IF(S267="","",J267-S267)</x:f>
        <x:v>50</x:v>
      </x:c>
      <x:c r="Z267" s="19" t="str">
        <x:f>IF(AA267="IGEN",IF(J267&lt;S267,"GÉPIGÉNY + KRITIKUS: gépdíj nélkül is alacsony a plafon","GÉPIGÉNY: a saját egységár gépdíj nélkül értendő"),IF(J267&lt;S267,"KRITIKUS: alvállalkozói plafon &lt; saját terhelt egységköltség",IF(J267&lt;S267*Beallitasok!$B$6,"SZŰK TARTALÉK: 10% alatti tartalék","OK")))</x:f>
        <x:v>SZŰK TARTALÉK: 10% alatti tartalék</x:v>
      </x:c>
      <x:c r="AA267" s="19" t="str">
        <x:v>NEM</x:v>
      </x:c>
      <x:c r="AB267" s="19" t="str">
        <x:v>https://joszaki.hu/arak/szobafestes</x:v>
      </x:c>
      <x:c r="AC267" s="19" t="str">
        <x:v>2026 piaci alsó sáv; felhasználói árkorlátokkal ellenőrizve</x:v>
      </x:c>
      <x:c r="AD267" s="19" t="str"/>
    </x:row>
    <x:row r="268">
      <x:c r="A268" s="19" t="str">
        <x:v>AR-0267</x:v>
      </x:c>
      <x:c r="B268" s="19" t="str">
        <x:v>13 Befejező munkák</x:v>
      </x:c>
      <x:c r="C268" s="19" t="str">
        <x:v>Festés és burkolás</x:v>
      </x:c>
      <x:c r="D268" s="19" t="str">
        <x:v>Mindegyik</x:v>
      </x:c>
      <x:c r="E268" s="19" t="str">
        <x:v>Diszperziós festés 2 rétegben fehér színnel</x:v>
      </x:c>
      <x:c r="F268" s="19" t="str">
        <x:v>m²</x:v>
      </x:c>
      <x:c r="G268" s="113" t="n">
        <x:v>1500</x:v>
      </x:c>
      <x:c r="H268" s="113" t="n">
        <x:v>1900</x:v>
      </x:c>
      <x:c r="I268" s="114" t="n">
        <x:v>0.55</x:v>
      </x:c>
      <x:c r="J268" s="113" t="n">
        <x:f>ROUND(H268*I268/Beallitasok!$B$7,0)*Beallitasok!$B$7</x:f>
        <x:v>1050</x:v>
      </x:c>
      <x:c r="K268" s="19" t="n">
        <x:v>2</x:v>
      </x:c>
      <x:c r="L268" s="19" t="n">
        <x:v>1</x:v>
      </x:c>
      <x:c r="M268" s="113" t="n">
        <x:f>K268*Beallitasok!$B$2+L268*Beallitasok!$B$3</x:f>
        <x:v>95000</x:v>
      </x:c>
      <x:c r="N268" s="115" t="n">
        <x:v>105</x:v>
      </x:c>
      <x:c r="O268" s="113" t="n">
        <x:f>IFERROR(M268/N268,"")</x:f>
        <x:v>904.7619047619048</x:v>
      </x:c>
      <x:c r="P268" s="116" t="n">
        <x:f>Beallitasok!$B$5</x:f>
        <x:v>1.15</x:v>
      </x:c>
      <x:c r="Q268" s="113" t="n">
        <x:f>IFERROR(ROUND(O268*P268/Beallitasok!$B$7,0)*Beallitasok!$B$7,"")</x:f>
        <x:v>1050</x:v>
      </x:c>
      <x:c r="R268" s="113"/>
      <x:c r="S268" s="113" t="n">
        <x:f>IF(Q268="","",Q268+IF(R268="",0,R268))</x:f>
        <x:v>1050</x:v>
      </x:c>
      <x:c r="T268" s="113" t="n">
        <x:f>M268*Beallitasok!$B$4</x:f>
        <x:v>475000</x:v>
      </x:c>
      <x:c r="U268" s="115" t="n">
        <x:f>N268*Beallitasok!$B$4</x:f>
        <x:v>525</x:v>
      </x:c>
      <x:c r="V268" s="113"/>
      <x:c r="W268" s="113" t="str">
        <x:f>IF(V268="","",V268-J268)</x:f>
      </x:c>
      <x:c r="X268" s="19"/>
      <x:c r="Y268" s="113" t="n">
        <x:f>IF(S268="","",J268-S268)</x:f>
        <x:v>0</x:v>
      </x:c>
      <x:c r="Z268" s="19" t="str">
        <x:f>IF(AA268="IGEN",IF(J268&lt;S268,"GÉPIGÉNY + KRITIKUS: gépdíj nélkül is alacsony a plafon","GÉPIGÉNY: a saját egységár gépdíj nélkül értendő"),IF(J268&lt;S268,"KRITIKUS: alvállalkozói plafon &lt; saját terhelt egységköltség",IF(J268&lt;S268*Beallitasok!$B$6,"SZŰK TARTALÉK: 10% alatti tartalék","OK")))</x:f>
        <x:v>SZŰK TARTALÉK: 10% alatti tartalék</x:v>
      </x:c>
      <x:c r="AA268" s="19" t="str">
        <x:v>NEM</x:v>
      </x:c>
      <x:c r="AB268" s="19" t="str">
        <x:v>https://joszaki.hu/arak/szobafestes</x:v>
      </x:c>
      <x:c r="AC268" s="19" t="str">
        <x:v>2026 piaci alsó sáv; felhasználói árkorlátokkal ellenőrizve</x:v>
      </x:c>
      <x:c r="AD268" s="19" t="str"/>
    </x:row>
    <x:row r="269">
      <x:c r="A269" s="19" t="str">
        <x:v>AR-0268</x:v>
      </x:c>
      <x:c r="B269" s="19" t="str">
        <x:v>13 Befejező munkák</x:v>
      </x:c>
      <x:c r="C269" s="19" t="str">
        <x:v>Festés és burkolás</x:v>
      </x:c>
      <x:c r="D269" s="19" t="str">
        <x:v>Mindegyik</x:v>
      </x:c>
      <x:c r="E269" s="19" t="str">
        <x:v>Diszperziós festés 2 rétegben színes festékkel</x:v>
      </x:c>
      <x:c r="F269" s="19" t="str">
        <x:v>m²</x:v>
      </x:c>
      <x:c r="G269" s="113" t="n">
        <x:v>1700</x:v>
      </x:c>
      <x:c r="H269" s="113" t="n">
        <x:v>1900</x:v>
      </x:c>
      <x:c r="I269" s="114" t="n">
        <x:v>0.55</x:v>
      </x:c>
      <x:c r="J269" s="113" t="n">
        <x:f>ROUND(H269*I269/Beallitasok!$B$7,0)*Beallitasok!$B$7</x:f>
        <x:v>1050</x:v>
      </x:c>
      <x:c r="K269" s="19" t="n">
        <x:v>2</x:v>
      </x:c>
      <x:c r="L269" s="19" t="n">
        <x:v>1</x:v>
      </x:c>
      <x:c r="M269" s="113" t="n">
        <x:f>K269*Beallitasok!$B$2+L269*Beallitasok!$B$3</x:f>
        <x:v>95000</x:v>
      </x:c>
      <x:c r="N269" s="115" t="n">
        <x:v>95</x:v>
      </x:c>
      <x:c r="O269" s="113" t="n">
        <x:f>IFERROR(M269/N269,"")</x:f>
        <x:v>1000</x:v>
      </x:c>
      <x:c r="P269" s="116" t="n">
        <x:f>Beallitasok!$B$5</x:f>
        <x:v>1.15</x:v>
      </x:c>
      <x:c r="Q269" s="113" t="n">
        <x:f>IFERROR(ROUND(O269*P269/Beallitasok!$B$7,0)*Beallitasok!$B$7,"")</x:f>
        <x:v>1150</x:v>
      </x:c>
      <x:c r="R269" s="113"/>
      <x:c r="S269" s="113" t="n">
        <x:f>IF(Q269="","",Q269+IF(R269="",0,R269))</x:f>
        <x:v>1150</x:v>
      </x:c>
      <x:c r="T269" s="113" t="n">
        <x:f>M269*Beallitasok!$B$4</x:f>
        <x:v>475000</x:v>
      </x:c>
      <x:c r="U269" s="115" t="n">
        <x:f>N269*Beallitasok!$B$4</x:f>
        <x:v>475</x:v>
      </x:c>
      <x:c r="V269" s="113"/>
      <x:c r="W269" s="113" t="str">
        <x:f>IF(V269="","",V269-J269)</x:f>
      </x:c>
      <x:c r="X269" s="19"/>
      <x:c r="Y269" s="113" t="n">
        <x:f>IF(S269="","",J269-S269)</x:f>
        <x:v>-100</x:v>
      </x:c>
      <x:c r="Z269" s="19" t="str">
        <x:f>IF(AA269="IGEN",IF(J269&lt;S269,"GÉPIGÉNY + KRITIKUS: gépdíj nélkül is alacsony a plafon","GÉPIGÉNY: a saját egységár gépdíj nélkül értendő"),IF(J269&lt;S269,"KRITIKUS: alvállalkozói plafon &lt; saját terhelt egységköltség",IF(J269&lt;S269*Beallitasok!$B$6,"SZŰK TARTALÉK: 10% alatti tartalék","OK")))</x:f>
        <x:v>KRITIKUS: alvállalkozói plafon &lt; saját terhelt egységköltség</x:v>
      </x:c>
      <x:c r="AA269" s="19" t="str">
        <x:v>NEM</x:v>
      </x:c>
      <x:c r="AB269" s="19" t="str">
        <x:v>https://joszaki.hu/arak/szobafestes</x:v>
      </x:c>
      <x:c r="AC269" s="19" t="str">
        <x:v>2026 piaci alsó sáv; felhasználói árkorlátokkal ellenőrizve</x:v>
      </x:c>
      <x:c r="AD269" s="19" t="str"/>
    </x:row>
    <x:row r="270">
      <x:c r="A270" s="19" t="str">
        <x:v>AR-0269</x:v>
      </x:c>
      <x:c r="B270" s="19" t="str">
        <x:v>13 Befejező munkák</x:v>
      </x:c>
      <x:c r="C270" s="19" t="str">
        <x:v>Festés és burkolás</x:v>
      </x:c>
      <x:c r="D270" s="19" t="str">
        <x:v>Mindegyik</x:v>
      </x:c>
      <x:c r="E270" s="19" t="str">
        <x:v>Színhatár képzése</x:v>
      </x:c>
      <x:c r="F270" s="19" t="str">
        <x:v>fm</x:v>
      </x:c>
      <x:c r="G270" s="113" t="n">
        <x:v>300</x:v>
      </x:c>
      <x:c r="H270" s="113" t="n">
        <x:v>500</x:v>
      </x:c>
      <x:c r="I270" s="114" t="n">
        <x:v>0.55</x:v>
      </x:c>
      <x:c r="J270" s="113" t="n">
        <x:f>ROUND(H270*I270/Beallitasok!$B$7,0)*Beallitasok!$B$7</x:f>
        <x:v>300</x:v>
      </x:c>
      <x:c r="K270" s="19" t="n">
        <x:v>1</x:v>
      </x:c>
      <x:c r="L270" s="19" t="n">
        <x:v>1</x:v>
      </x:c>
      <x:c r="M270" s="113" t="n">
        <x:f>K270*Beallitasok!$B$2+L270*Beallitasok!$B$3</x:f>
        <x:v>60000</x:v>
      </x:c>
      <x:c r="N270" s="115" t="n">
        <x:v>150</x:v>
      </x:c>
      <x:c r="O270" s="113" t="n">
        <x:f>IFERROR(M270/N270,"")</x:f>
        <x:v>400</x:v>
      </x:c>
      <x:c r="P270" s="116" t="n">
        <x:f>Beallitasok!$B$5</x:f>
        <x:v>1.15</x:v>
      </x:c>
      <x:c r="Q270" s="113" t="n">
        <x:f>IFERROR(ROUND(O270*P270/Beallitasok!$B$7,0)*Beallitasok!$B$7,"")</x:f>
        <x:v>450</x:v>
      </x:c>
      <x:c r="R270" s="113"/>
      <x:c r="S270" s="113" t="n">
        <x:f>IF(Q270="","",Q270+IF(R270="",0,R270))</x:f>
        <x:v>450</x:v>
      </x:c>
      <x:c r="T270" s="113" t="n">
        <x:f>M270*Beallitasok!$B$4</x:f>
        <x:v>300000</x:v>
      </x:c>
      <x:c r="U270" s="115" t="n">
        <x:f>N270*Beallitasok!$B$4</x:f>
        <x:v>750</x:v>
      </x:c>
      <x:c r="V270" s="113"/>
      <x:c r="W270" s="113" t="str">
        <x:f>IF(V270="","",V270-J270)</x:f>
      </x:c>
      <x:c r="X270" s="19"/>
      <x:c r="Y270" s="113" t="n">
        <x:f>IF(S270="","",J270-S270)</x:f>
        <x:v>-150</x:v>
      </x:c>
      <x:c r="Z270" s="19" t="str">
        <x:f>IF(AA270="IGEN",IF(J270&lt;S270,"GÉPIGÉNY + KRITIKUS: gépdíj nélkül is alacsony a plafon","GÉPIGÉNY: a saját egységár gépdíj nélkül értendő"),IF(J270&lt;S270,"KRITIKUS: alvállalkozói plafon &lt; saját terhelt egységköltség",IF(J270&lt;S270*Beallitasok!$B$6,"SZŰK TARTALÉK: 10% alatti tartalék","OK")))</x:f>
        <x:v>KRITIKUS: alvállalkozói plafon &lt; saját terhelt egységköltség</x:v>
      </x:c>
      <x:c r="AA270" s="19" t="str">
        <x:v>NEM</x:v>
      </x:c>
      <x:c r="AB270" s="19" t="str">
        <x:v>https://joszaki.hu/arak/szobafestes</x:v>
      </x:c>
      <x:c r="AC270" s="19" t="str">
        <x:v>2026 piaci alsó sáv; felhasználói árkorlátokkal ellenőrizve</x:v>
      </x:c>
      <x:c r="AD270" s="19" t="str"/>
    </x:row>
    <x:row r="271">
      <x:c r="A271" s="19" t="str">
        <x:v>AR-0270</x:v>
      </x:c>
      <x:c r="B271" s="19" t="str">
        <x:v>13 Befejező munkák</x:v>
      </x:c>
      <x:c r="C271" s="19" t="str">
        <x:v>Festés és burkolás</x:v>
      </x:c>
      <x:c r="D271" s="19" t="str">
        <x:v>Mindegyik</x:v>
      </x:c>
      <x:c r="E271" s="19" t="str">
        <x:v>Fa felület lazúrozása 2 rétegben</x:v>
      </x:c>
      <x:c r="F271" s="19" t="str">
        <x:v>m²</x:v>
      </x:c>
      <x:c r="G271" s="113" t="n">
        <x:v>2200</x:v>
      </x:c>
      <x:c r="H271" s="113" t="n">
        <x:v>3200</x:v>
      </x:c>
      <x:c r="I271" s="114" t="n">
        <x:v>0.6</x:v>
      </x:c>
      <x:c r="J271" s="113" t="n">
        <x:f>ROUND(H271*I271/Beallitasok!$B$7,0)*Beallitasok!$B$7</x:f>
        <x:v>1900</x:v>
      </x:c>
      <x:c r="K271" s="19" t="n">
        <x:v>1</x:v>
      </x:c>
      <x:c r="L271" s="19" t="n">
        <x:v>1</x:v>
      </x:c>
      <x:c r="M271" s="113" t="n">
        <x:f>K271*Beallitasok!$B$2+L271*Beallitasok!$B$3</x:f>
        <x:v>60000</x:v>
      </x:c>
      <x:c r="N271" s="115" t="n">
        <x:v>38</x:v>
      </x:c>
      <x:c r="O271" s="113" t="n">
        <x:f>IFERROR(M271/N271,"")</x:f>
        <x:v>1578.9473684210527</x:v>
      </x:c>
      <x:c r="P271" s="116" t="n">
        <x:f>Beallitasok!$B$5</x:f>
        <x:v>1.15</x:v>
      </x:c>
      <x:c r="Q271" s="113" t="n">
        <x:f>IFERROR(ROUND(O271*P271/Beallitasok!$B$7,0)*Beallitasok!$B$7,"")</x:f>
        <x:v>1800</x:v>
      </x:c>
      <x:c r="R271" s="113"/>
      <x:c r="S271" s="113" t="n">
        <x:f>IF(Q271="","",Q271+IF(R271="",0,R271))</x:f>
        <x:v>1800</x:v>
      </x:c>
      <x:c r="T271" s="113" t="n">
        <x:f>M271*Beallitasok!$B$4</x:f>
        <x:v>300000</x:v>
      </x:c>
      <x:c r="U271" s="115" t="n">
        <x:f>N271*Beallitasok!$B$4</x:f>
        <x:v>190</x:v>
      </x:c>
      <x:c r="V271" s="113"/>
      <x:c r="W271" s="113" t="str">
        <x:f>IF(V271="","",V271-J271)</x:f>
      </x:c>
      <x:c r="X271" s="19"/>
      <x:c r="Y271" s="113" t="n">
        <x:f>IF(S271="","",J271-S271)</x:f>
        <x:v>100</x:v>
      </x:c>
      <x:c r="Z271" s="19" t="str">
        <x:f>IF(AA271="IGEN",IF(J271&lt;S271,"GÉPIGÉNY + KRITIKUS: gépdíj nélkül is alacsony a plafon","GÉPIGÉNY: a saját egységár gépdíj nélkül értendő"),IF(J271&lt;S271,"KRITIKUS: alvállalkozói plafon &lt; saját terhelt egységköltség",IF(J271&lt;S271*Beallitasok!$B$6,"SZŰK TARTALÉK: 10% alatti tartalék","OK")))</x:f>
        <x:v>SZŰK TARTALÉK: 10% alatti tartalék</x:v>
      </x:c>
      <x:c r="AA271" s="19" t="str">
        <x:v>NEM</x:v>
      </x:c>
      <x:c r="AB271" s="19" t="str">
        <x:v>https://joszaki.hu/arak/szobafestes</x:v>
      </x:c>
      <x:c r="AC271" s="19" t="str">
        <x:v>2026 piaci alsó sáv; felhasználói árkorlátokkal ellenőrizve</x:v>
      </x:c>
      <x:c r="AD271" s="19" t="str"/>
    </x:row>
    <x:row r="272">
      <x:c r="A272" s="19" t="str">
        <x:v>AR-0271</x:v>
      </x:c>
      <x:c r="B272" s="19" t="str">
        <x:v>13 Befejező munkák</x:v>
      </x:c>
      <x:c r="C272" s="19" t="str">
        <x:v>Festés és burkolás</x:v>
      </x:c>
      <x:c r="D272" s="19" t="str">
        <x:v>Mindegyik</x:v>
      </x:c>
      <x:c r="E272" s="19" t="str">
        <x:v>Acél felület alapozása és zománcozása</x:v>
      </x:c>
      <x:c r="F272" s="19" t="str">
        <x:v>m²</x:v>
      </x:c>
      <x:c r="G272" s="113" t="n">
        <x:v>2800</x:v>
      </x:c>
      <x:c r="H272" s="113" t="n">
        <x:v>4200</x:v>
      </x:c>
      <x:c r="I272" s="114" t="n">
        <x:v>0.6</x:v>
      </x:c>
      <x:c r="J272" s="113" t="n">
        <x:f>ROUND(H272*I272/Beallitasok!$B$7,0)*Beallitasok!$B$7</x:f>
        <x:v>2500</x:v>
      </x:c>
      <x:c r="K272" s="19" t="n">
        <x:v>1</x:v>
      </x:c>
      <x:c r="L272" s="19" t="n">
        <x:v>1</x:v>
      </x:c>
      <x:c r="M272" s="113" t="n">
        <x:f>K272*Beallitasok!$B$2+L272*Beallitasok!$B$3</x:f>
        <x:v>60000</x:v>
      </x:c>
      <x:c r="N272" s="115" t="n">
        <x:v>30</x:v>
      </x:c>
      <x:c r="O272" s="113" t="n">
        <x:f>IFERROR(M272/N272,"")</x:f>
        <x:v>2000</x:v>
      </x:c>
      <x:c r="P272" s="116" t="n">
        <x:f>Beallitasok!$B$5</x:f>
        <x:v>1.15</x:v>
      </x:c>
      <x:c r="Q272" s="113" t="n">
        <x:f>IFERROR(ROUND(O272*P272/Beallitasok!$B$7,0)*Beallitasok!$B$7,"")</x:f>
        <x:v>2300</x:v>
      </x:c>
      <x:c r="R272" s="113"/>
      <x:c r="S272" s="113" t="n">
        <x:f>IF(Q272="","",Q272+IF(R272="",0,R272))</x:f>
        <x:v>2300</x:v>
      </x:c>
      <x:c r="T272" s="113" t="n">
        <x:f>M272*Beallitasok!$B$4</x:f>
        <x:v>300000</x:v>
      </x:c>
      <x:c r="U272" s="115" t="n">
        <x:f>N272*Beallitasok!$B$4</x:f>
        <x:v>150</x:v>
      </x:c>
      <x:c r="V272" s="113"/>
      <x:c r="W272" s="113" t="str">
        <x:f>IF(V272="","",V272-J272)</x:f>
      </x:c>
      <x:c r="X272" s="19"/>
      <x:c r="Y272" s="113" t="n">
        <x:f>IF(S272="","",J272-S272)</x:f>
        <x:v>200</x:v>
      </x:c>
      <x:c r="Z272" s="19" t="str">
        <x:f>IF(AA272="IGEN",IF(J272&lt;S272,"GÉPIGÉNY + KRITIKUS: gépdíj nélkül is alacsony a plafon","GÉPIGÉNY: a saját egységár gépdíj nélkül értendő"),IF(J272&lt;S272,"KRITIKUS: alvállalkozói plafon &lt; saját terhelt egységköltség",IF(J272&lt;S272*Beallitasok!$B$6,"SZŰK TARTALÉK: 10% alatti tartalék","OK")))</x:f>
        <x:v>SZŰK TARTALÉK: 10% alatti tartalék</x:v>
      </x:c>
      <x:c r="AA272" s="19" t="str">
        <x:v>NEM</x:v>
      </x:c>
      <x:c r="AB272" s="19" t="str">
        <x:v>https://joszaki.hu/arak/szobafestes</x:v>
      </x:c>
      <x:c r="AC272" s="19" t="str">
        <x:v>2026 piaci alsó sáv; felhasználói árkorlátokkal ellenőrizve</x:v>
      </x:c>
      <x:c r="AD272" s="19" t="str"/>
    </x:row>
    <x:row r="273">
      <x:c r="A273" s="19" t="str">
        <x:v>AR-0272</x:v>
      </x:c>
      <x:c r="B273" s="19" t="str">
        <x:v>13 Befejező munkák</x:v>
      </x:c>
      <x:c r="C273" s="19" t="str">
        <x:v>Festés és burkolás</x:v>
      </x:c>
      <x:c r="D273" s="19" t="str">
        <x:v>Mindegyik</x:v>
      </x:c>
      <x:c r="E273" s="19" t="str">
        <x:v>Hidegburkolás padlón 60×60 cm lapméretig</x:v>
      </x:c>
      <x:c r="F273" s="19" t="str">
        <x:v>m²</x:v>
      </x:c>
      <x:c r="G273" s="113" t="n">
        <x:v>5000</x:v>
      </x:c>
      <x:c r="H273" s="113" t="n">
        <x:v>8000</x:v>
      </x:c>
      <x:c r="I273" s="114" t="n">
        <x:v>0.55</x:v>
      </x:c>
      <x:c r="J273" s="113" t="n">
        <x:f>ROUND(H273*I273/Beallitasok!$B$7,0)*Beallitasok!$B$7</x:f>
        <x:v>4400</x:v>
      </x:c>
      <x:c r="K273" s="19" t="n">
        <x:v>1</x:v>
      </x:c>
      <x:c r="L273" s="19" t="n">
        <x:v>1</x:v>
      </x:c>
      <x:c r="M273" s="113" t="n">
        <x:f>K273*Beallitasok!$B$2+L273*Beallitasok!$B$3</x:f>
        <x:v>60000</x:v>
      </x:c>
      <x:c r="N273" s="115" t="n">
        <x:v>12</x:v>
      </x:c>
      <x:c r="O273" s="113" t="n">
        <x:f>IFERROR(M273/N273,"")</x:f>
        <x:v>5000</x:v>
      </x:c>
      <x:c r="P273" s="116" t="n">
        <x:f>Beallitasok!$B$5</x:f>
        <x:v>1.15</x:v>
      </x:c>
      <x:c r="Q273" s="113" t="n">
        <x:f>IFERROR(ROUND(O273*P273/Beallitasok!$B$7,0)*Beallitasok!$B$7,"")</x:f>
        <x:v>5750</x:v>
      </x:c>
      <x:c r="R273" s="113"/>
      <x:c r="S273" s="113" t="n">
        <x:f>IF(Q273="","",Q273+IF(R273="",0,R273))</x:f>
        <x:v>5750</x:v>
      </x:c>
      <x:c r="T273" s="113" t="n">
        <x:f>M273*Beallitasok!$B$4</x:f>
        <x:v>300000</x:v>
      </x:c>
      <x:c r="U273" s="115" t="n">
        <x:f>N273*Beallitasok!$B$4</x:f>
        <x:v>60</x:v>
      </x:c>
      <x:c r="V273" s="113"/>
      <x:c r="W273" s="113" t="str">
        <x:f>IF(V273="","",V273-J273)</x:f>
      </x:c>
      <x:c r="X273" s="19"/>
      <x:c r="Y273" s="113" t="n">
        <x:f>IF(S273="","",J273-S273)</x:f>
        <x:v>-1350</x:v>
      </x:c>
      <x:c r="Z273" s="19" t="str">
        <x:f>IF(AA273="IGEN",IF(J273&lt;S273,"GÉPIGÉNY + KRITIKUS: gépdíj nélkül is alacsony a plafon","GÉPIGÉNY: a saját egységár gépdíj nélkül értendő"),IF(J273&lt;S273,"KRITIKUS: alvállalkozói plafon &lt; saját terhelt egységköltség",IF(J273&lt;S273*Beallitasok!$B$6,"SZŰK TARTALÉK: 10% alatti tartalék","OK")))</x:f>
        <x:v>KRITIKUS: alvállalkozói plafon &lt; saját terhelt egységköltség</x:v>
      </x:c>
      <x:c r="AA273" s="19" t="str">
        <x:v>NEM</x:v>
      </x:c>
      <x:c r="AB273" s="19" t="str">
        <x:v>https://joszaki.hu/arak/burkolas</x:v>
      </x:c>
      <x:c r="AC273" s="19" t="str">
        <x:v>2026 piaci alsó sáv; felhasználói árkorlátokkal ellenőrizve</x:v>
      </x:c>
      <x:c r="AD273" s="19" t="str"/>
    </x:row>
    <x:row r="274">
      <x:c r="A274" s="19" t="str">
        <x:v>AR-0273</x:v>
      </x:c>
      <x:c r="B274" s="19" t="str">
        <x:v>13 Befejező munkák</x:v>
      </x:c>
      <x:c r="C274" s="19" t="str">
        <x:v>Festés és burkolás</x:v>
      </x:c>
      <x:c r="D274" s="19" t="str">
        <x:v>Mindegyik</x:v>
      </x:c>
      <x:c r="E274" s="19" t="str">
        <x:v>Hidegburkolás falon 60×60 cm lapméretig</x:v>
      </x:c>
      <x:c r="F274" s="19" t="str">
        <x:v>m²</x:v>
      </x:c>
      <x:c r="G274" s="113" t="n">
        <x:v>5500</x:v>
      </x:c>
      <x:c r="H274" s="113" t="n">
        <x:v>8000</x:v>
      </x:c>
      <x:c r="I274" s="114" t="n">
        <x:v>0.55</x:v>
      </x:c>
      <x:c r="J274" s="113" t="n">
        <x:f>ROUND(H274*I274/Beallitasok!$B$7,0)*Beallitasok!$B$7</x:f>
        <x:v>4400</x:v>
      </x:c>
      <x:c r="K274" s="19" t="n">
        <x:v>1</x:v>
      </x:c>
      <x:c r="L274" s="19" t="n">
        <x:v>1</x:v>
      </x:c>
      <x:c r="M274" s="113" t="n">
        <x:f>K274*Beallitasok!$B$2+L274*Beallitasok!$B$3</x:f>
        <x:v>60000</x:v>
      </x:c>
      <x:c r="N274" s="115" t="n">
        <x:v>10</x:v>
      </x:c>
      <x:c r="O274" s="113" t="n">
        <x:f>IFERROR(M274/N274,"")</x:f>
        <x:v>6000</x:v>
      </x:c>
      <x:c r="P274" s="116" t="n">
        <x:f>Beallitasok!$B$5</x:f>
        <x:v>1.15</x:v>
      </x:c>
      <x:c r="Q274" s="113" t="n">
        <x:f>IFERROR(ROUND(O274*P274/Beallitasok!$B$7,0)*Beallitasok!$B$7,"")</x:f>
        <x:v>6900</x:v>
      </x:c>
      <x:c r="R274" s="113"/>
      <x:c r="S274" s="113" t="n">
        <x:f>IF(Q274="","",Q274+IF(R274="",0,R274))</x:f>
        <x:v>6900</x:v>
      </x:c>
      <x:c r="T274" s="113" t="n">
        <x:f>M274*Beallitasok!$B$4</x:f>
        <x:v>300000</x:v>
      </x:c>
      <x:c r="U274" s="115" t="n">
        <x:f>N274*Beallitasok!$B$4</x:f>
        <x:v>50</x:v>
      </x:c>
      <x:c r="V274" s="113"/>
      <x:c r="W274" s="113" t="str">
        <x:f>IF(V274="","",V274-J274)</x:f>
      </x:c>
      <x:c r="X274" s="19"/>
      <x:c r="Y274" s="113" t="n">
        <x:f>IF(S274="","",J274-S274)</x:f>
        <x:v>-2500</x:v>
      </x:c>
      <x:c r="Z274" s="19" t="str">
        <x:f>IF(AA274="IGEN",IF(J274&lt;S274,"GÉPIGÉNY + KRITIKUS: gépdíj nélkül is alacsony a plafon","GÉPIGÉNY: a saját egységár gépdíj nélkül értendő"),IF(J274&lt;S274,"KRITIKUS: alvállalkozói plafon &lt; saját terhelt egységköltség",IF(J274&lt;S274*Beallitasok!$B$6,"SZŰK TARTALÉK: 10% alatti tartalék","OK")))</x:f>
        <x:v>KRITIKUS: alvállalkozói plafon &lt; saját terhelt egységköltség</x:v>
      </x:c>
      <x:c r="AA274" s="19" t="str">
        <x:v>NEM</x:v>
      </x:c>
      <x:c r="AB274" s="19" t="str">
        <x:v>https://joszaki.hu/arak/burkolas</x:v>
      </x:c>
      <x:c r="AC274" s="19" t="str">
        <x:v>2026 piaci alsó sáv; felhasználói árkorlátokkal ellenőrizve</x:v>
      </x:c>
      <x:c r="AD274" s="19" t="str"/>
    </x:row>
    <x:row r="275">
      <x:c r="A275" s="19" t="str">
        <x:v>AR-0274</x:v>
      </x:c>
      <x:c r="B275" s="19" t="str">
        <x:v>13 Befejező munkák</x:v>
      </x:c>
      <x:c r="C275" s="19" t="str">
        <x:v>Festés és burkolás</x:v>
      </x:c>
      <x:c r="D275" s="19" t="str">
        <x:v>Mindegyik</x:v>
      </x:c>
      <x:c r="E275" s="19" t="str">
        <x:v>Nagyméretű burkolólap fektetése 60×120 cm-ig</x:v>
      </x:c>
      <x:c r="F275" s="19" t="str">
        <x:v>m²</x:v>
      </x:c>
      <x:c r="G275" s="113" t="n">
        <x:v>8500</x:v>
      </x:c>
      <x:c r="H275" s="113" t="n">
        <x:v>12000</x:v>
      </x:c>
      <x:c r="I275" s="114" t="n">
        <x:v>0.6</x:v>
      </x:c>
      <x:c r="J275" s="113" t="n">
        <x:f>ROUND(H275*I275/Beallitasok!$B$7,0)*Beallitasok!$B$7</x:f>
        <x:v>7200</x:v>
      </x:c>
      <x:c r="K275" s="19" t="n">
        <x:v>2</x:v>
      </x:c>
      <x:c r="L275" s="19" t="n">
        <x:v>1</x:v>
      </x:c>
      <x:c r="M275" s="113" t="n">
        <x:f>K275*Beallitasok!$B$2+L275*Beallitasok!$B$3</x:f>
        <x:v>95000</x:v>
      </x:c>
      <x:c r="N275" s="115" t="n">
        <x:v>13</x:v>
      </x:c>
      <x:c r="O275" s="113" t="n">
        <x:f>IFERROR(M275/N275,"")</x:f>
        <x:v>7307.692307692308</x:v>
      </x:c>
      <x:c r="P275" s="116" t="n">
        <x:f>Beallitasok!$B$5</x:f>
        <x:v>1.15</x:v>
      </x:c>
      <x:c r="Q275" s="113" t="n">
        <x:f>IFERROR(ROUND(O275*P275/Beallitasok!$B$7,0)*Beallitasok!$B$7,"")</x:f>
        <x:v>8400</x:v>
      </x:c>
      <x:c r="R275" s="113"/>
      <x:c r="S275" s="113" t="n">
        <x:f>IF(Q275="","",Q275+IF(R275="",0,R275))</x:f>
        <x:v>8400</x:v>
      </x:c>
      <x:c r="T275" s="113" t="n">
        <x:f>M275*Beallitasok!$B$4</x:f>
        <x:v>475000</x:v>
      </x:c>
      <x:c r="U275" s="115" t="n">
        <x:f>N275*Beallitasok!$B$4</x:f>
        <x:v>65</x:v>
      </x:c>
      <x:c r="V275" s="113"/>
      <x:c r="W275" s="113" t="str">
        <x:f>IF(V275="","",V275-J275)</x:f>
      </x:c>
      <x:c r="X275" s="19"/>
      <x:c r="Y275" s="113" t="n">
        <x:f>IF(S275="","",J275-S275)</x:f>
        <x:v>-1200</x:v>
      </x:c>
      <x:c r="Z275" s="19" t="str">
        <x:f>IF(AA275="IGEN",IF(J275&lt;S275,"GÉPIGÉNY + KRITIKUS: gépdíj nélkül is alacsony a plafon","GÉPIGÉNY: a saját egységár gépdíj nélkül értendő"),IF(J275&lt;S275,"KRITIKUS: alvállalkozói plafon &lt; saját terhelt egységköltség",IF(J275&lt;S275*Beallitasok!$B$6,"SZŰK TARTALÉK: 10% alatti tartalék","OK")))</x:f>
        <x:v>KRITIKUS: alvállalkozói plafon &lt; saját terhelt egységköltség</x:v>
      </x:c>
      <x:c r="AA275" s="19" t="str">
        <x:v>NEM</x:v>
      </x:c>
      <x:c r="AB275" s="19" t="str">
        <x:v>https://joszaki.hu/arak/burkolas</x:v>
      </x:c>
      <x:c r="AC275" s="19" t="str">
        <x:v>2026 piaci alsó sáv; felhasználói árkorlátokkal ellenőrizve</x:v>
      </x:c>
      <x:c r="AD275" s="19" t="str"/>
    </x:row>
    <x:row r="276">
      <x:c r="A276" s="19" t="str">
        <x:v>AR-0275</x:v>
      </x:c>
      <x:c r="B276" s="19" t="str">
        <x:v>13 Befejező munkák</x:v>
      </x:c>
      <x:c r="C276" s="19" t="str">
        <x:v>Festés és burkolás</x:v>
      </x:c>
      <x:c r="D276" s="19" t="str">
        <x:v>Mindegyik</x:v>
      </x:c>
      <x:c r="E276" s="19" t="str">
        <x:v>Mozaik burkolat ragasztása</x:v>
      </x:c>
      <x:c r="F276" s="19" t="str">
        <x:v>m²</x:v>
      </x:c>
      <x:c r="G276" s="113" t="n">
        <x:v>9000</x:v>
      </x:c>
      <x:c r="H276" s="113" t="n">
        <x:v>13500</x:v>
      </x:c>
      <x:c r="I276" s="114" t="n">
        <x:v>0.6</x:v>
      </x:c>
      <x:c r="J276" s="113" t="n">
        <x:f>ROUND(H276*I276/Beallitasok!$B$7,0)*Beallitasok!$B$7</x:f>
        <x:v>8100</x:v>
      </x:c>
      <x:c r="K276" s="19" t="n">
        <x:v>1</x:v>
      </x:c>
      <x:c r="L276" s="19" t="n">
        <x:v>1</x:v>
      </x:c>
      <x:c r="M276" s="113" t="n">
        <x:f>K276*Beallitasok!$B$2+L276*Beallitasok!$B$3</x:f>
        <x:v>60000</x:v>
      </x:c>
      <x:c r="N276" s="115" t="n">
        <x:v>6</x:v>
      </x:c>
      <x:c r="O276" s="113" t="n">
        <x:f>IFERROR(M276/N276,"")</x:f>
        <x:v>10000</x:v>
      </x:c>
      <x:c r="P276" s="116" t="n">
        <x:f>Beallitasok!$B$5</x:f>
        <x:v>1.15</x:v>
      </x:c>
      <x:c r="Q276" s="113" t="n">
        <x:f>IFERROR(ROUND(O276*P276/Beallitasok!$B$7,0)*Beallitasok!$B$7,"")</x:f>
        <x:v>11500</x:v>
      </x:c>
      <x:c r="R276" s="113"/>
      <x:c r="S276" s="113" t="n">
        <x:f>IF(Q276="","",Q276+IF(R276="",0,R276))</x:f>
        <x:v>11500</x:v>
      </x:c>
      <x:c r="T276" s="113" t="n">
        <x:f>M276*Beallitasok!$B$4</x:f>
        <x:v>300000</x:v>
      </x:c>
      <x:c r="U276" s="115" t="n">
        <x:f>N276*Beallitasok!$B$4</x:f>
        <x:v>30</x:v>
      </x:c>
      <x:c r="V276" s="113"/>
      <x:c r="W276" s="113" t="str">
        <x:f>IF(V276="","",V276-J276)</x:f>
      </x:c>
      <x:c r="X276" s="19"/>
      <x:c r="Y276" s="113" t="n">
        <x:f>IF(S276="","",J276-S276)</x:f>
        <x:v>-3400</x:v>
      </x:c>
      <x:c r="Z276" s="19" t="str">
        <x:f>IF(AA276="IGEN",IF(J276&lt;S276,"GÉPIGÉNY + KRITIKUS: gépdíj nélkül is alacsony a plafon","GÉPIGÉNY: a saját egységár gépdíj nélkül értendő"),IF(J276&lt;S276,"KRITIKUS: alvállalkozói plafon &lt; saját terhelt egységköltség",IF(J276&lt;S276*Beallitasok!$B$6,"SZŰK TARTALÉK: 10% alatti tartalék","OK")))</x:f>
        <x:v>KRITIKUS: alvállalkozói plafon &lt; saját terhelt egységköltség</x:v>
      </x:c>
      <x:c r="AA276" s="19" t="str">
        <x:v>NEM</x:v>
      </x:c>
      <x:c r="AB276" s="19" t="str">
        <x:v>https://joszaki.hu/arak/burkolas</x:v>
      </x:c>
      <x:c r="AC276" s="19" t="str">
        <x:v>2026 piaci alsó sáv; felhasználói árkorlátokkal ellenőrizve</x:v>
      </x:c>
      <x:c r="AD276" s="19" t="str"/>
    </x:row>
    <x:row r="277">
      <x:c r="A277" s="19" t="str">
        <x:v>AR-0276</x:v>
      </x:c>
      <x:c r="B277" s="19" t="str">
        <x:v>13 Befejező munkák</x:v>
      </x:c>
      <x:c r="C277" s="19" t="str">
        <x:v>Festés és burkolás</x:v>
      </x:c>
      <x:c r="D277" s="19" t="str">
        <x:v>Mindegyik</x:v>
      </x:c>
      <x:c r="E277" s="19" t="str">
        <x:v>Burkolati szegély készítése vágott lapból</x:v>
      </x:c>
      <x:c r="F277" s="19" t="str">
        <x:v>fm</x:v>
      </x:c>
      <x:c r="G277" s="113" t="n">
        <x:v>1800</x:v>
      </x:c>
      <x:c r="H277" s="113" t="n">
        <x:v>2700</x:v>
      </x:c>
      <x:c r="I277" s="114" t="n">
        <x:v>0.55</x:v>
      </x:c>
      <x:c r="J277" s="113" t="n">
        <x:f>ROUND(H277*I277/Beallitasok!$B$7,0)*Beallitasok!$B$7</x:f>
        <x:v>1500</x:v>
      </x:c>
      <x:c r="K277" s="19" t="n">
        <x:v>1</x:v>
      </x:c>
      <x:c r="L277" s="19" t="n">
        <x:v>1</x:v>
      </x:c>
      <x:c r="M277" s="113" t="n">
        <x:f>K277*Beallitasok!$B$2+L277*Beallitasok!$B$3</x:f>
        <x:v>60000</x:v>
      </x:c>
      <x:c r="N277" s="115" t="n">
        <x:v>30</x:v>
      </x:c>
      <x:c r="O277" s="113" t="n">
        <x:f>IFERROR(M277/N277,"")</x:f>
        <x:v>2000</x:v>
      </x:c>
      <x:c r="P277" s="116" t="n">
        <x:f>Beallitasok!$B$5</x:f>
        <x:v>1.15</x:v>
      </x:c>
      <x:c r="Q277" s="113" t="n">
        <x:f>IFERROR(ROUND(O277*P277/Beallitasok!$B$7,0)*Beallitasok!$B$7,"")</x:f>
        <x:v>2300</x:v>
      </x:c>
      <x:c r="R277" s="113"/>
      <x:c r="S277" s="113" t="n">
        <x:f>IF(Q277="","",Q277+IF(R277="",0,R277))</x:f>
        <x:v>2300</x:v>
      </x:c>
      <x:c r="T277" s="113" t="n">
        <x:f>M277*Beallitasok!$B$4</x:f>
        <x:v>300000</x:v>
      </x:c>
      <x:c r="U277" s="115" t="n">
        <x:f>N277*Beallitasok!$B$4</x:f>
        <x:v>150</x:v>
      </x:c>
      <x:c r="V277" s="113"/>
      <x:c r="W277" s="113" t="str">
        <x:f>IF(V277="","",V277-J277)</x:f>
      </x:c>
      <x:c r="X277" s="19"/>
      <x:c r="Y277" s="113" t="n">
        <x:f>IF(S277="","",J277-S277)</x:f>
        <x:v>-800</x:v>
      </x:c>
      <x:c r="Z277" s="19" t="str">
        <x:f>IF(AA277="IGEN",IF(J277&lt;S277,"GÉPIGÉNY + KRITIKUS: gépdíj nélkül is alacsony a plafon","GÉPIGÉNY: a saját egységár gépdíj nélkül értendő"),IF(J277&lt;S277,"KRITIKUS: alvállalkozói plafon &lt; saját terhelt egységköltség",IF(J277&lt;S277*Beallitasok!$B$6,"SZŰK TARTALÉK: 10% alatti tartalék","OK")))</x:f>
        <x:v>KRITIKUS: alvállalkozói plafon &lt; saját terhelt egységköltség</x:v>
      </x:c>
      <x:c r="AA277" s="19" t="str">
        <x:v>NEM</x:v>
      </x:c>
      <x:c r="AB277" s="19" t="str">
        <x:v>https://joszaki.hu/arak/burkolas</x:v>
      </x:c>
      <x:c r="AC277" s="19" t="str">
        <x:v>2026 piaci alsó sáv; felhasználói árkorlátokkal ellenőrizve</x:v>
      </x:c>
      <x:c r="AD277" s="19" t="str"/>
    </x:row>
    <x:row r="278">
      <x:c r="A278" s="19" t="str">
        <x:v>AR-0277</x:v>
      </x:c>
      <x:c r="B278" s="19" t="str">
        <x:v>13 Befejező munkák</x:v>
      </x:c>
      <x:c r="C278" s="19" t="str">
        <x:v>Festés és burkolás</x:v>
      </x:c>
      <x:c r="D278" s="19" t="str">
        <x:v>Mindegyik</x:v>
      </x:c>
      <x:c r="E278" s="19" t="str">
        <x:v>Lépcsőlap burkolása homloklappal</x:v>
      </x:c>
      <x:c r="F278" s="19" t="str">
        <x:v>fm</x:v>
      </x:c>
      <x:c r="G278" s="113" t="n">
        <x:v>8500</x:v>
      </x:c>
      <x:c r="H278" s="113" t="n">
        <x:v>12500</x:v>
      </x:c>
      <x:c r="I278" s="114" t="n">
        <x:v>0.6</x:v>
      </x:c>
      <x:c r="J278" s="113" t="n">
        <x:f>ROUND(H278*I278/Beallitasok!$B$7,0)*Beallitasok!$B$7</x:f>
        <x:v>7500</x:v>
      </x:c>
      <x:c r="K278" s="19" t="n">
        <x:v>1</x:v>
      </x:c>
      <x:c r="L278" s="19" t="n">
        <x:v>1</x:v>
      </x:c>
      <x:c r="M278" s="113" t="n">
        <x:f>K278*Beallitasok!$B$2+L278*Beallitasok!$B$3</x:f>
        <x:v>60000</x:v>
      </x:c>
      <x:c r="N278" s="115" t="n">
        <x:v>5</x:v>
      </x:c>
      <x:c r="O278" s="113" t="n">
        <x:f>IFERROR(M278/N278,"")</x:f>
        <x:v>12000</x:v>
      </x:c>
      <x:c r="P278" s="116" t="n">
        <x:f>Beallitasok!$B$5</x:f>
        <x:v>1.15</x:v>
      </x:c>
      <x:c r="Q278" s="113" t="n">
        <x:f>IFERROR(ROUND(O278*P278/Beallitasok!$B$7,0)*Beallitasok!$B$7,"")</x:f>
        <x:v>13800</x:v>
      </x:c>
      <x:c r="R278" s="113"/>
      <x:c r="S278" s="113" t="n">
        <x:f>IF(Q278="","",Q278+IF(R278="",0,R278))</x:f>
        <x:v>13800</x:v>
      </x:c>
      <x:c r="T278" s="113" t="n">
        <x:f>M278*Beallitasok!$B$4</x:f>
        <x:v>300000</x:v>
      </x:c>
      <x:c r="U278" s="115" t="n">
        <x:f>N278*Beallitasok!$B$4</x:f>
        <x:v>25</x:v>
      </x:c>
      <x:c r="V278" s="113"/>
      <x:c r="W278" s="113" t="str">
        <x:f>IF(V278="","",V278-J278)</x:f>
      </x:c>
      <x:c r="X278" s="19"/>
      <x:c r="Y278" s="113" t="n">
        <x:f>IF(S278="","",J278-S278)</x:f>
        <x:v>-6300</x:v>
      </x:c>
      <x:c r="Z278" s="19" t="str">
        <x:f>IF(AA278="IGEN",IF(J278&lt;S278,"GÉPIGÉNY + KRITIKUS: gépdíj nélkül is alacsony a plafon","GÉPIGÉNY: a saját egységár gépdíj nélkül értendő"),IF(J278&lt;S278,"KRITIKUS: alvállalkozói plafon &lt; saját terhelt egységköltség",IF(J278&lt;S278*Beallitasok!$B$6,"SZŰK TARTALÉK: 10% alatti tartalék","OK")))</x:f>
        <x:v>KRITIKUS: alvállalkozói plafon &lt; saját terhelt egységköltség</x:v>
      </x:c>
      <x:c r="AA278" s="19" t="str">
        <x:v>NEM</x:v>
      </x:c>
      <x:c r="AB278" s="19" t="str">
        <x:v>https://joszaki.hu/arak/burkolas</x:v>
      </x:c>
      <x:c r="AC278" s="19" t="str">
        <x:v>2026 piaci alsó sáv; felhasználói árkorlátokkal ellenőrizve</x:v>
      </x:c>
      <x:c r="AD278" s="19" t="str"/>
    </x:row>
    <x:row r="279">
      <x:c r="A279" s="19" t="str">
        <x:v>AR-0278</x:v>
      </x:c>
      <x:c r="B279" s="19" t="str">
        <x:v>13 Befejező munkák</x:v>
      </x:c>
      <x:c r="C279" s="19" t="str">
        <x:v>Festés és burkolás</x:v>
      </x:c>
      <x:c r="D279" s="19" t="str">
        <x:v>Mindegyik</x:v>
      </x:c>
      <x:c r="E279" s="19" t="str">
        <x:v>Zuhany lejtésképzés és burkolás felára</x:v>
      </x:c>
      <x:c r="F279" s="19" t="str">
        <x:v>db</x:v>
      </x:c>
      <x:c r="G279" s="113" t="n">
        <x:v>35000</x:v>
      </x:c>
      <x:c r="H279" s="113" t="n">
        <x:v>52000</x:v>
      </x:c>
      <x:c r="I279" s="114" t="n">
        <x:v>0.6</x:v>
      </x:c>
      <x:c r="J279" s="113" t="n">
        <x:f>ROUND(H279*I279/Beallitasok!$B$7,0)*Beallitasok!$B$7</x:f>
        <x:v>31200</x:v>
      </x:c>
      <x:c r="K279" s="19" t="n">
        <x:v>1</x:v>
      </x:c>
      <x:c r="L279" s="19" t="n">
        <x:v>1</x:v>
      </x:c>
      <x:c r="M279" s="113" t="n">
        <x:f>K279*Beallitasok!$B$2+L279*Beallitasok!$B$3</x:f>
        <x:v>60000</x:v>
      </x:c>
      <x:c r="N279" s="115" t="n">
        <x:v>0.8</x:v>
      </x:c>
      <x:c r="O279" s="113" t="n">
        <x:f>IFERROR(M279/N279,"")</x:f>
        <x:v>75000</x:v>
      </x:c>
      <x:c r="P279" s="116" t="n">
        <x:f>Beallitasok!$B$5</x:f>
        <x:v>1.15</x:v>
      </x:c>
      <x:c r="Q279" s="113" t="n">
        <x:f>IFERROR(ROUND(O279*P279/Beallitasok!$B$7,0)*Beallitasok!$B$7,"")</x:f>
        <x:v>86250</x:v>
      </x:c>
      <x:c r="R279" s="113"/>
      <x:c r="S279" s="113" t="n">
        <x:f>IF(Q279="","",Q279+IF(R279="",0,R279))</x:f>
        <x:v>86250</x:v>
      </x:c>
      <x:c r="T279" s="113" t="n">
        <x:f>M279*Beallitasok!$B$4</x:f>
        <x:v>300000</x:v>
      </x:c>
      <x:c r="U279" s="115" t="n">
        <x:f>N279*Beallitasok!$B$4</x:f>
        <x:v>4</x:v>
      </x:c>
      <x:c r="V279" s="113"/>
      <x:c r="W279" s="113" t="str">
        <x:f>IF(V279="","",V279-J279)</x:f>
      </x:c>
      <x:c r="X279" s="19"/>
      <x:c r="Y279" s="113" t="n">
        <x:f>IF(S279="","",J279-S279)</x:f>
        <x:v>-55050</x:v>
      </x:c>
      <x:c r="Z279" s="19" t="str">
        <x:f>IF(AA279="IGEN",IF(J279&lt;S279,"GÉPIGÉNY + KRITIKUS: gépdíj nélkül is alacsony a plafon","GÉPIGÉNY: a saját egységár gépdíj nélkül értendő"),IF(J279&lt;S279,"KRITIKUS: alvállalkozói plafon &lt; saját terhelt egységköltség",IF(J279&lt;S279*Beallitasok!$B$6,"SZŰK TARTALÉK: 10% alatti tartalék","OK")))</x:f>
        <x:v>KRITIKUS: alvállalkozói plafon &lt; saját terhelt egységköltség</x:v>
      </x:c>
      <x:c r="AA279" s="19" t="str">
        <x:v>NEM</x:v>
      </x:c>
      <x:c r="AB279" s="19" t="str">
        <x:v>https://joszaki.hu/arak/burkolas</x:v>
      </x:c>
      <x:c r="AC279" s="19" t="str">
        <x:v>2026 piaci alsó sáv; felhasználói árkorlátokkal ellenőrizve</x:v>
      </x:c>
      <x:c r="AD279" s="19" t="str"/>
    </x:row>
    <x:row r="280">
      <x:c r="A280" s="19" t="str">
        <x:v>AR-0279</x:v>
      </x:c>
      <x:c r="B280" s="19" t="str">
        <x:v>13 Befejező munkák</x:v>
      </x:c>
      <x:c r="C280" s="19" t="str">
        <x:v>Festés és burkolás</x:v>
      </x:c>
      <x:c r="D280" s="19" t="str">
        <x:v>Mindegyik</x:v>
      </x:c>
      <x:c r="E280" s="19" t="str">
        <x:v>Burkolat fugázása külön munkaként</x:v>
      </x:c>
      <x:c r="F280" s="19" t="str">
        <x:v>m²</x:v>
      </x:c>
      <x:c r="G280" s="113" t="n">
        <x:v>900</x:v>
      </x:c>
      <x:c r="H280" s="113" t="n">
        <x:v>1400</x:v>
      </x:c>
      <x:c r="I280" s="114" t="n">
        <x:v>0.55</x:v>
      </x:c>
      <x:c r="J280" s="113" t="n">
        <x:f>ROUND(H280*I280/Beallitasok!$B$7,0)*Beallitasok!$B$7</x:f>
        <x:v>750</x:v>
      </x:c>
      <x:c r="K280" s="19" t="n">
        <x:v>1</x:v>
      </x:c>
      <x:c r="L280" s="19" t="n">
        <x:v>1</x:v>
      </x:c>
      <x:c r="M280" s="113" t="n">
        <x:f>K280*Beallitasok!$B$2+L280*Beallitasok!$B$3</x:f>
        <x:v>60000</x:v>
      </x:c>
      <x:c r="N280" s="115" t="n">
        <x:v>70</x:v>
      </x:c>
      <x:c r="O280" s="113" t="n">
        <x:f>IFERROR(M280/N280,"")</x:f>
        <x:v>857.1428571428571</x:v>
      </x:c>
      <x:c r="P280" s="116" t="n">
        <x:f>Beallitasok!$B$5</x:f>
        <x:v>1.15</x:v>
      </x:c>
      <x:c r="Q280" s="113" t="n">
        <x:f>IFERROR(ROUND(O280*P280/Beallitasok!$B$7,0)*Beallitasok!$B$7,"")</x:f>
        <x:v>1000</x:v>
      </x:c>
      <x:c r="R280" s="113"/>
      <x:c r="S280" s="113" t="n">
        <x:f>IF(Q280="","",Q280+IF(R280="",0,R280))</x:f>
        <x:v>1000</x:v>
      </x:c>
      <x:c r="T280" s="113" t="n">
        <x:f>M280*Beallitasok!$B$4</x:f>
        <x:v>300000</x:v>
      </x:c>
      <x:c r="U280" s="115" t="n">
        <x:f>N280*Beallitasok!$B$4</x:f>
        <x:v>350</x:v>
      </x:c>
      <x:c r="V280" s="113"/>
      <x:c r="W280" s="113" t="str">
        <x:f>IF(V280="","",V280-J280)</x:f>
      </x:c>
      <x:c r="X280" s="19"/>
      <x:c r="Y280" s="113" t="n">
        <x:f>IF(S280="","",J280-S280)</x:f>
        <x:v>-250</x:v>
      </x:c>
      <x:c r="Z280" s="19" t="str">
        <x:f>IF(AA280="IGEN",IF(J280&lt;S280,"GÉPIGÉNY + KRITIKUS: gépdíj nélkül is alacsony a plafon","GÉPIGÉNY: a saját egységár gépdíj nélkül értendő"),IF(J280&lt;S280,"KRITIKUS: alvállalkozói plafon &lt; saját terhelt egységköltség",IF(J280&lt;S280*Beallitasok!$B$6,"SZŰK TARTALÉK: 10% alatti tartalék","OK")))</x:f>
        <x:v>KRITIKUS: alvállalkozói plafon &lt; saját terhelt egységköltség</x:v>
      </x:c>
      <x:c r="AA280" s="19" t="str">
        <x:v>NEM</x:v>
      </x:c>
      <x:c r="AB280" s="19" t="str">
        <x:v>https://joszaki.hu/arak/burkolas</x:v>
      </x:c>
      <x:c r="AC280" s="19" t="str">
        <x:v>2026 piaci alsó sáv; felhasználói árkorlátokkal ellenőrizve</x:v>
      </x:c>
      <x:c r="AD280" s="19" t="str"/>
    </x:row>
    <x:row r="281">
      <x:c r="A281" s="19" t="str">
        <x:v>AR-0280</x:v>
      </x:c>
      <x:c r="B281" s="19" t="str">
        <x:v>13 Befejező munkák</x:v>
      </x:c>
      <x:c r="C281" s="19" t="str">
        <x:v>Festés és burkolás</x:v>
      </x:c>
      <x:c r="D281" s="19" t="str">
        <x:v>Mindegyik</x:v>
      </x:c>
      <x:c r="E281" s="19" t="str">
        <x:v>Rugalmas szilikonhézag készítése</x:v>
      </x:c>
      <x:c r="F281" s="19" t="str">
        <x:v>fm</x:v>
      </x:c>
      <x:c r="G281" s="113" t="n">
        <x:v>900</x:v>
      </x:c>
      <x:c r="H281" s="113" t="n">
        <x:v>1400</x:v>
      </x:c>
      <x:c r="I281" s="114" t="n">
        <x:v>0.55</x:v>
      </x:c>
      <x:c r="J281" s="113" t="n">
        <x:f>ROUND(H281*I281/Beallitasok!$B$7,0)*Beallitasok!$B$7</x:f>
        <x:v>750</x:v>
      </x:c>
      <x:c r="K281" s="19" t="n">
        <x:v>1</x:v>
      </x:c>
      <x:c r="L281" s="19" t="n">
        <x:v>1</x:v>
      </x:c>
      <x:c r="M281" s="113" t="n">
        <x:f>K281*Beallitasok!$B$2+L281*Beallitasok!$B$3</x:f>
        <x:v>60000</x:v>
      </x:c>
      <x:c r="N281" s="115" t="n">
        <x:v>65</x:v>
      </x:c>
      <x:c r="O281" s="113" t="n">
        <x:f>IFERROR(M281/N281,"")</x:f>
        <x:v>923.0769230769231</x:v>
      </x:c>
      <x:c r="P281" s="116" t="n">
        <x:f>Beallitasok!$B$5</x:f>
        <x:v>1.15</x:v>
      </x:c>
      <x:c r="Q281" s="113" t="n">
        <x:f>IFERROR(ROUND(O281*P281/Beallitasok!$B$7,0)*Beallitasok!$B$7,"")</x:f>
        <x:v>1050</x:v>
      </x:c>
      <x:c r="R281" s="113"/>
      <x:c r="S281" s="113" t="n">
        <x:f>IF(Q281="","",Q281+IF(R281="",0,R281))</x:f>
        <x:v>1050</x:v>
      </x:c>
      <x:c r="T281" s="113" t="n">
        <x:f>M281*Beallitasok!$B$4</x:f>
        <x:v>300000</x:v>
      </x:c>
      <x:c r="U281" s="115" t="n">
        <x:f>N281*Beallitasok!$B$4</x:f>
        <x:v>325</x:v>
      </x:c>
      <x:c r="V281" s="113"/>
      <x:c r="W281" s="113" t="str">
        <x:f>IF(V281="","",V281-J281)</x:f>
      </x:c>
      <x:c r="X281" s="19"/>
      <x:c r="Y281" s="113" t="n">
        <x:f>IF(S281="","",J281-S281)</x:f>
        <x:v>-300</x:v>
      </x:c>
      <x:c r="Z281" s="19" t="str">
        <x:f>IF(AA281="IGEN",IF(J281&lt;S281,"GÉPIGÉNY + KRITIKUS: gépdíj nélkül is alacsony a plafon","GÉPIGÉNY: a saját egységár gépdíj nélkül értendő"),IF(J281&lt;S281,"KRITIKUS: alvállalkozói plafon &lt; saját terhelt egységköltség",IF(J281&lt;S281*Beallitasok!$B$6,"SZŰK TARTALÉK: 10% alatti tartalék","OK")))</x:f>
        <x:v>KRITIKUS: alvállalkozói plafon &lt; saját terhelt egységköltség</x:v>
      </x:c>
      <x:c r="AA281" s="19" t="str">
        <x:v>NEM</x:v>
      </x:c>
      <x:c r="AB281" s="19" t="str">
        <x:v>https://joszaki.hu/arak/burkolas</x:v>
      </x:c>
      <x:c r="AC281" s="19" t="str">
        <x:v>2026 piaci alsó sáv; felhasználói árkorlátokkal ellenőrizve</x:v>
      </x:c>
      <x:c r="AD281" s="19" t="str"/>
    </x:row>
    <x:row r="282">
      <x:c r="A282" s="19" t="str">
        <x:v>AR-0281</x:v>
      </x:c>
      <x:c r="B282" s="19" t="str">
        <x:v>13 Befejező munkák</x:v>
      </x:c>
      <x:c r="C282" s="19" t="str">
        <x:v>Festés és burkolás</x:v>
      </x:c>
      <x:c r="D282" s="19" t="str">
        <x:v>Mindegyik</x:v>
      </x:c>
      <x:c r="E282" s="19" t="str">
        <x:v>Laminált padló klikkes fektetése</x:v>
      </x:c>
      <x:c r="F282" s="19" t="str">
        <x:v>m²</x:v>
      </x:c>
      <x:c r="G282" s="113" t="n">
        <x:v>2500</x:v>
      </x:c>
      <x:c r="H282" s="113" t="n">
        <x:v>3500</x:v>
      </x:c>
      <x:c r="I282" s="114" t="n">
        <x:v>0.55</x:v>
      </x:c>
      <x:c r="J282" s="113" t="n">
        <x:f>ROUND(H282*I282/Beallitasok!$B$7,0)*Beallitasok!$B$7</x:f>
        <x:v>1950</x:v>
      </x:c>
      <x:c r="K282" s="19" t="n">
        <x:v>1</x:v>
      </x:c>
      <x:c r="L282" s="19" t="n">
        <x:v>1</x:v>
      </x:c>
      <x:c r="M282" s="113" t="n">
        <x:f>K282*Beallitasok!$B$2+L282*Beallitasok!$B$3</x:f>
        <x:v>60000</x:v>
      </x:c>
      <x:c r="N282" s="115" t="n">
        <x:v>35</x:v>
      </x:c>
      <x:c r="O282" s="113" t="n">
        <x:f>IFERROR(M282/N282,"")</x:f>
        <x:v>1714.2857142857142</x:v>
      </x:c>
      <x:c r="P282" s="116" t="n">
        <x:f>Beallitasok!$B$5</x:f>
        <x:v>1.15</x:v>
      </x:c>
      <x:c r="Q282" s="113" t="n">
        <x:f>IFERROR(ROUND(O282*P282/Beallitasok!$B$7,0)*Beallitasok!$B$7,"")</x:f>
        <x:v>1950</x:v>
      </x:c>
      <x:c r="R282" s="113"/>
      <x:c r="S282" s="113" t="n">
        <x:f>IF(Q282="","",Q282+IF(R282="",0,R282))</x:f>
        <x:v>1950</x:v>
      </x:c>
      <x:c r="T282" s="113" t="n">
        <x:f>M282*Beallitasok!$B$4</x:f>
        <x:v>300000</x:v>
      </x:c>
      <x:c r="U282" s="115" t="n">
        <x:f>N282*Beallitasok!$B$4</x:f>
        <x:v>175</x:v>
      </x:c>
      <x:c r="V282" s="113"/>
      <x:c r="W282" s="113" t="str">
        <x:f>IF(V282="","",V282-J282)</x:f>
      </x:c>
      <x:c r="X282" s="19"/>
      <x:c r="Y282" s="113" t="n">
        <x:f>IF(S282="","",J282-S282)</x:f>
        <x:v>0</x:v>
      </x:c>
      <x:c r="Z282" s="19" t="str">
        <x:f>IF(AA282="IGEN",IF(J282&lt;S282,"GÉPIGÉNY + KRITIKUS: gépdíj nélkül is alacsony a plafon","GÉPIGÉNY: a saját egységár gépdíj nélkül értendő"),IF(J282&lt;S282,"KRITIKUS: alvállalkozói plafon &lt; saját terhelt egységköltség",IF(J282&lt;S282*Beallitasok!$B$6,"SZŰK TARTALÉK: 10% alatti tartalék","OK")))</x:f>
        <x:v>SZŰK TARTALÉK: 10% alatti tartalék</x:v>
      </x:c>
      <x:c r="AA282" s="19" t="str">
        <x:v>NEM</x:v>
      </x:c>
      <x:c r="AB282" s="19" t="str">
        <x:v>https://joszaki.hu/arak/parkettazas</x:v>
      </x:c>
      <x:c r="AC282" s="19" t="str">
        <x:v>2026 piaci alsó sáv; felhasználói árkorlátokkal ellenőrizve</x:v>
      </x:c>
      <x:c r="AD282" s="19" t="str"/>
    </x:row>
    <x:row r="283">
      <x:c r="A283" s="19" t="str">
        <x:v>AR-0282</x:v>
      </x:c>
      <x:c r="B283" s="19" t="str">
        <x:v>13 Befejező munkák</x:v>
      </x:c>
      <x:c r="C283" s="19" t="str">
        <x:v>Festés és burkolás</x:v>
      </x:c>
      <x:c r="D283" s="19" t="str">
        <x:v>Mindegyik</x:v>
      </x:c>
      <x:c r="E283" s="19" t="str">
        <x:v>Vinyl/SPC klikkes padló fektetése</x:v>
      </x:c>
      <x:c r="F283" s="19" t="str">
        <x:v>m²</x:v>
      </x:c>
      <x:c r="G283" s="113" t="n">
        <x:v>2800</x:v>
      </x:c>
      <x:c r="H283" s="113" t="n">
        <x:v>4200</x:v>
      </x:c>
      <x:c r="I283" s="114" t="n">
        <x:v>0.55</x:v>
      </x:c>
      <x:c r="J283" s="113" t="n">
        <x:f>ROUND(H283*I283/Beallitasok!$B$7,0)*Beallitasok!$B$7</x:f>
        <x:v>2300</x:v>
      </x:c>
      <x:c r="K283" s="19" t="n">
        <x:v>1</x:v>
      </x:c>
      <x:c r="L283" s="19" t="n">
        <x:v>1</x:v>
      </x:c>
      <x:c r="M283" s="113" t="n">
        <x:f>K283*Beallitasok!$B$2+L283*Beallitasok!$B$3</x:f>
        <x:v>60000</x:v>
      </x:c>
      <x:c r="N283" s="115" t="n">
        <x:v>30</x:v>
      </x:c>
      <x:c r="O283" s="113" t="n">
        <x:f>IFERROR(M283/N283,"")</x:f>
        <x:v>2000</x:v>
      </x:c>
      <x:c r="P283" s="116" t="n">
        <x:f>Beallitasok!$B$5</x:f>
        <x:v>1.15</x:v>
      </x:c>
      <x:c r="Q283" s="113" t="n">
        <x:f>IFERROR(ROUND(O283*P283/Beallitasok!$B$7,0)*Beallitasok!$B$7,"")</x:f>
        <x:v>2300</x:v>
      </x:c>
      <x:c r="R283" s="113"/>
      <x:c r="S283" s="113" t="n">
        <x:f>IF(Q283="","",Q283+IF(R283="",0,R283))</x:f>
        <x:v>2300</x:v>
      </x:c>
      <x:c r="T283" s="113" t="n">
        <x:f>M283*Beallitasok!$B$4</x:f>
        <x:v>300000</x:v>
      </x:c>
      <x:c r="U283" s="115" t="n">
        <x:f>N283*Beallitasok!$B$4</x:f>
        <x:v>150</x:v>
      </x:c>
      <x:c r="V283" s="113"/>
      <x:c r="W283" s="113" t="str">
        <x:f>IF(V283="","",V283-J283)</x:f>
      </x:c>
      <x:c r="X283" s="19"/>
      <x:c r="Y283" s="113" t="n">
        <x:f>IF(S283="","",J283-S283)</x:f>
        <x:v>0</x:v>
      </x:c>
      <x:c r="Z283" s="19" t="str">
        <x:f>IF(AA283="IGEN",IF(J283&lt;S283,"GÉPIGÉNY + KRITIKUS: gépdíj nélkül is alacsony a plafon","GÉPIGÉNY: a saját egységár gépdíj nélkül értendő"),IF(J283&lt;S283,"KRITIKUS: alvállalkozói plafon &lt; saját terhelt egységköltség",IF(J283&lt;S283*Beallitasok!$B$6,"SZŰK TARTALÉK: 10% alatti tartalék","OK")))</x:f>
        <x:v>SZŰK TARTALÉK: 10% alatti tartalék</x:v>
      </x:c>
      <x:c r="AA283" s="19" t="str">
        <x:v>NEM</x:v>
      </x:c>
      <x:c r="AB283" s="19" t="str">
        <x:v>https://joszaki.hu/arak/parkettazas</x:v>
      </x:c>
      <x:c r="AC283" s="19" t="str">
        <x:v>2026 piaci alsó sáv; felhasználói árkorlátokkal ellenőrizve</x:v>
      </x:c>
      <x:c r="AD283" s="19" t="str"/>
    </x:row>
    <x:row r="284">
      <x:c r="A284" s="19" t="str">
        <x:v>AR-0283</x:v>
      </x:c>
      <x:c r="B284" s="19" t="str">
        <x:v>13 Befejező munkák</x:v>
      </x:c>
      <x:c r="C284" s="19" t="str">
        <x:v>Festés és burkolás</x:v>
      </x:c>
      <x:c r="D284" s="19" t="str">
        <x:v>Mindegyik</x:v>
      </x:c>
      <x:c r="E284" s="19" t="str">
        <x:v>Ragasztott vinyl padló fektetése</x:v>
      </x:c>
      <x:c r="F284" s="19" t="str">
        <x:v>m²</x:v>
      </x:c>
      <x:c r="G284" s="113" t="n">
        <x:v>3500</x:v>
      </x:c>
      <x:c r="H284" s="113" t="n">
        <x:v>5200</x:v>
      </x:c>
      <x:c r="I284" s="114" t="n">
        <x:v>0.55</x:v>
      </x:c>
      <x:c r="J284" s="113" t="n">
        <x:f>ROUND(H284*I284/Beallitasok!$B$7,0)*Beallitasok!$B$7</x:f>
        <x:v>2850</x:v>
      </x:c>
      <x:c r="K284" s="19" t="n">
        <x:v>1</x:v>
      </x:c>
      <x:c r="L284" s="19" t="n">
        <x:v>1</x:v>
      </x:c>
      <x:c r="M284" s="113" t="n">
        <x:f>K284*Beallitasok!$B$2+L284*Beallitasok!$B$3</x:f>
        <x:v>60000</x:v>
      </x:c>
      <x:c r="N284" s="115" t="n">
        <x:v>22</x:v>
      </x:c>
      <x:c r="O284" s="113" t="n">
        <x:f>IFERROR(M284/N284,"")</x:f>
        <x:v>2727.2727272727275</x:v>
      </x:c>
      <x:c r="P284" s="116" t="n">
        <x:f>Beallitasok!$B$5</x:f>
        <x:v>1.15</x:v>
      </x:c>
      <x:c r="Q284" s="113" t="n">
        <x:f>IFERROR(ROUND(O284*P284/Beallitasok!$B$7,0)*Beallitasok!$B$7,"")</x:f>
        <x:v>3150</x:v>
      </x:c>
      <x:c r="R284" s="113"/>
      <x:c r="S284" s="113" t="n">
        <x:f>IF(Q284="","",Q284+IF(R284="",0,R284))</x:f>
        <x:v>3150</x:v>
      </x:c>
      <x:c r="T284" s="113" t="n">
        <x:f>M284*Beallitasok!$B$4</x:f>
        <x:v>300000</x:v>
      </x:c>
      <x:c r="U284" s="115" t="n">
        <x:f>N284*Beallitasok!$B$4</x:f>
        <x:v>110</x:v>
      </x:c>
      <x:c r="V284" s="113"/>
      <x:c r="W284" s="113" t="str">
        <x:f>IF(V284="","",V284-J284)</x:f>
      </x:c>
      <x:c r="X284" s="19"/>
      <x:c r="Y284" s="113" t="n">
        <x:f>IF(S284="","",J284-S284)</x:f>
        <x:v>-300</x:v>
      </x:c>
      <x:c r="Z284" s="19" t="str">
        <x:f>IF(AA284="IGEN",IF(J284&lt;S284,"GÉPIGÉNY + KRITIKUS: gépdíj nélkül is alacsony a plafon","GÉPIGÉNY: a saját egységár gépdíj nélkül értendő"),IF(J284&lt;S284,"KRITIKUS: alvállalkozói plafon &lt; saját terhelt egységköltség",IF(J284&lt;S284*Beallitasok!$B$6,"SZŰK TARTALÉK: 10% alatti tartalék","OK")))</x:f>
        <x:v>KRITIKUS: alvállalkozói plafon &lt; saját terhelt egységköltség</x:v>
      </x:c>
      <x:c r="AA284" s="19" t="str">
        <x:v>NEM</x:v>
      </x:c>
      <x:c r="AB284" s="19" t="str">
        <x:v>https://joszaki.hu/arak/parkettazas</x:v>
      </x:c>
      <x:c r="AC284" s="19" t="str">
        <x:v>2026 piaci alsó sáv; felhasználói árkorlátokkal ellenőrizve</x:v>
      </x:c>
      <x:c r="AD284" s="19" t="str"/>
    </x:row>
    <x:row r="285">
      <x:c r="A285" s="19" t="str">
        <x:v>AR-0284</x:v>
      </x:c>
      <x:c r="B285" s="19" t="str">
        <x:v>13 Befejező munkák</x:v>
      </x:c>
      <x:c r="C285" s="19" t="str">
        <x:v>Festés és burkolás</x:v>
      </x:c>
      <x:c r="D285" s="19" t="str">
        <x:v>Mindegyik</x:v>
      </x:c>
      <x:c r="E285" s="19" t="str">
        <x:v>Szalagparketta úsztatott fektetése</x:v>
      </x:c>
      <x:c r="F285" s="19" t="str">
        <x:v>m²</x:v>
      </x:c>
      <x:c r="G285" s="113" t="n">
        <x:v>3200</x:v>
      </x:c>
      <x:c r="H285" s="113" t="n">
        <x:v>4800</x:v>
      </x:c>
      <x:c r="I285" s="114" t="n">
        <x:v>0.55</x:v>
      </x:c>
      <x:c r="J285" s="113" t="n">
        <x:f>ROUND(H285*I285/Beallitasok!$B$7,0)*Beallitasok!$B$7</x:f>
        <x:v>2650</x:v>
      </x:c>
      <x:c r="K285" s="19" t="n">
        <x:v>1</x:v>
      </x:c>
      <x:c r="L285" s="19" t="n">
        <x:v>1</x:v>
      </x:c>
      <x:c r="M285" s="113" t="n">
        <x:f>K285*Beallitasok!$B$2+L285*Beallitasok!$B$3</x:f>
        <x:v>60000</x:v>
      </x:c>
      <x:c r="N285" s="115" t="n">
        <x:v>26</x:v>
      </x:c>
      <x:c r="O285" s="113" t="n">
        <x:f>IFERROR(M285/N285,"")</x:f>
        <x:v>2307.6923076923076</x:v>
      </x:c>
      <x:c r="P285" s="116" t="n">
        <x:f>Beallitasok!$B$5</x:f>
        <x:v>1.15</x:v>
      </x:c>
      <x:c r="Q285" s="113" t="n">
        <x:f>IFERROR(ROUND(O285*P285/Beallitasok!$B$7,0)*Beallitasok!$B$7,"")</x:f>
        <x:v>2650</x:v>
      </x:c>
      <x:c r="R285" s="113"/>
      <x:c r="S285" s="113" t="n">
        <x:f>IF(Q285="","",Q285+IF(R285="",0,R285))</x:f>
        <x:v>2650</x:v>
      </x:c>
      <x:c r="T285" s="113" t="n">
        <x:f>M285*Beallitasok!$B$4</x:f>
        <x:v>300000</x:v>
      </x:c>
      <x:c r="U285" s="115" t="n">
        <x:f>N285*Beallitasok!$B$4</x:f>
        <x:v>130</x:v>
      </x:c>
      <x:c r="V285" s="113"/>
      <x:c r="W285" s="113" t="str">
        <x:f>IF(V285="","",V285-J285)</x:f>
      </x:c>
      <x:c r="X285" s="19"/>
      <x:c r="Y285" s="113" t="n">
        <x:f>IF(S285="","",J285-S285)</x:f>
        <x:v>0</x:v>
      </x:c>
      <x:c r="Z285" s="19" t="str">
        <x:f>IF(AA285="IGEN",IF(J285&lt;S285,"GÉPIGÉNY + KRITIKUS: gépdíj nélkül is alacsony a plafon","GÉPIGÉNY: a saját egységár gépdíj nélkül értendő"),IF(J285&lt;S285,"KRITIKUS: alvállalkozói plafon &lt; saját terhelt egységköltség",IF(J285&lt;S285*Beallitasok!$B$6,"SZŰK TARTALÉK: 10% alatti tartalék","OK")))</x:f>
        <x:v>SZŰK TARTALÉK: 10% alatti tartalék</x:v>
      </x:c>
      <x:c r="AA285" s="19" t="str">
        <x:v>NEM</x:v>
      </x:c>
      <x:c r="AB285" s="19" t="str">
        <x:v>https://joszaki.hu/arak/parkettazas</x:v>
      </x:c>
      <x:c r="AC285" s="19" t="str">
        <x:v>2026 piaci alsó sáv; felhasználói árkorlátokkal ellenőrizve</x:v>
      </x:c>
      <x:c r="AD285" s="19" t="str"/>
    </x:row>
    <x:row r="286">
      <x:c r="A286" s="19" t="str">
        <x:v>AR-0285</x:v>
      </x:c>
      <x:c r="B286" s="19" t="str">
        <x:v>13 Befejező munkák</x:v>
      </x:c>
      <x:c r="C286" s="19" t="str">
        <x:v>Festés és burkolás</x:v>
      </x:c>
      <x:c r="D286" s="19" t="str">
        <x:v>Mindegyik</x:v>
      </x:c>
      <x:c r="E286" s="19" t="str">
        <x:v>Fa parketta ragasztott fektetése</x:v>
      </x:c>
      <x:c r="F286" s="19" t="str">
        <x:v>m²</x:v>
      </x:c>
      <x:c r="G286" s="113" t="n">
        <x:v>4800</x:v>
      </x:c>
      <x:c r="H286" s="113" t="n">
        <x:v>7200</x:v>
      </x:c>
      <x:c r="I286" s="114" t="n">
        <x:v>0.6</x:v>
      </x:c>
      <x:c r="J286" s="113" t="n">
        <x:f>ROUND(H286*I286/Beallitasok!$B$7,0)*Beallitasok!$B$7</x:f>
        <x:v>4300</x:v>
      </x:c>
      <x:c r="K286" s="19" t="n">
        <x:v>1</x:v>
      </x:c>
      <x:c r="L286" s="19" t="n">
        <x:v>1</x:v>
      </x:c>
      <x:c r="M286" s="113" t="n">
        <x:f>K286*Beallitasok!$B$2+L286*Beallitasok!$B$3</x:f>
        <x:v>60000</x:v>
      </x:c>
      <x:c r="N286" s="115" t="n">
        <x:v>16</x:v>
      </x:c>
      <x:c r="O286" s="113" t="n">
        <x:f>IFERROR(M286/N286,"")</x:f>
        <x:v>3750</x:v>
      </x:c>
      <x:c r="P286" s="116" t="n">
        <x:f>Beallitasok!$B$5</x:f>
        <x:v>1.15</x:v>
      </x:c>
      <x:c r="Q286" s="113" t="n">
        <x:f>IFERROR(ROUND(O286*P286/Beallitasok!$B$7,0)*Beallitasok!$B$7,"")</x:f>
        <x:v>4300</x:v>
      </x:c>
      <x:c r="R286" s="113"/>
      <x:c r="S286" s="113" t="n">
        <x:f>IF(Q286="","",Q286+IF(R286="",0,R286))</x:f>
        <x:v>4300</x:v>
      </x:c>
      <x:c r="T286" s="113" t="n">
        <x:f>M286*Beallitasok!$B$4</x:f>
        <x:v>300000</x:v>
      </x:c>
      <x:c r="U286" s="115" t="n">
        <x:f>N286*Beallitasok!$B$4</x:f>
        <x:v>80</x:v>
      </x:c>
      <x:c r="V286" s="113"/>
      <x:c r="W286" s="113" t="str">
        <x:f>IF(V286="","",V286-J286)</x:f>
      </x:c>
      <x:c r="X286" s="19"/>
      <x:c r="Y286" s="113" t="n">
        <x:f>IF(S286="","",J286-S286)</x:f>
        <x:v>0</x:v>
      </x:c>
      <x:c r="Z286" s="19" t="str">
        <x:f>IF(AA286="IGEN",IF(J286&lt;S286,"GÉPIGÉNY + KRITIKUS: gépdíj nélkül is alacsony a plafon","GÉPIGÉNY: a saját egységár gépdíj nélkül értendő"),IF(J286&lt;S286,"KRITIKUS: alvállalkozói plafon &lt; saját terhelt egységköltség",IF(J286&lt;S286*Beallitasok!$B$6,"SZŰK TARTALÉK: 10% alatti tartalék","OK")))</x:f>
        <x:v>SZŰK TARTALÉK: 10% alatti tartalék</x:v>
      </x:c>
      <x:c r="AA286" s="19" t="str">
        <x:v>NEM</x:v>
      </x:c>
      <x:c r="AB286" s="19" t="str">
        <x:v>https://joszaki.hu/arak/parkettazas</x:v>
      </x:c>
      <x:c r="AC286" s="19" t="str">
        <x:v>2026 piaci alsó sáv; felhasználói árkorlátokkal ellenőrizve</x:v>
      </x:c>
      <x:c r="AD286" s="19" t="str"/>
    </x:row>
    <x:row r="287">
      <x:c r="A287" s="19" t="str">
        <x:v>AR-0286</x:v>
      </x:c>
      <x:c r="B287" s="19" t="str">
        <x:v>13 Befejező munkák</x:v>
      </x:c>
      <x:c r="C287" s="19" t="str">
        <x:v>Festés és burkolás</x:v>
      </x:c>
      <x:c r="D287" s="19" t="str">
        <x:v>Mindegyik</x:v>
      </x:c>
      <x:c r="E287" s="19" t="str">
        <x:v>Padlószegély szerelése</x:v>
      </x:c>
      <x:c r="F287" s="19" t="str">
        <x:v>fm</x:v>
      </x:c>
      <x:c r="G287" s="113" t="n">
        <x:v>1200</x:v>
      </x:c>
      <x:c r="H287" s="113" t="n">
        <x:v>1800</x:v>
      </x:c>
      <x:c r="I287" s="114" t="n">
        <x:v>0.55</x:v>
      </x:c>
      <x:c r="J287" s="113" t="n">
        <x:f>ROUND(H287*I287/Beallitasok!$B$7,0)*Beallitasok!$B$7</x:f>
        <x:v>1000</x:v>
      </x:c>
      <x:c r="K287" s="19" t="n">
        <x:v>1</x:v>
      </x:c>
      <x:c r="L287" s="19" t="n">
        <x:v>1</x:v>
      </x:c>
      <x:c r="M287" s="113" t="n">
        <x:f>K287*Beallitasok!$B$2+L287*Beallitasok!$B$3</x:f>
        <x:v>60000</x:v>
      </x:c>
      <x:c r="N287" s="115" t="n">
        <x:v>45</x:v>
      </x:c>
      <x:c r="O287" s="113" t="n">
        <x:f>IFERROR(M287/N287,"")</x:f>
        <x:v>1333.3333333333333</x:v>
      </x:c>
      <x:c r="P287" s="116" t="n">
        <x:f>Beallitasok!$B$5</x:f>
        <x:v>1.15</x:v>
      </x:c>
      <x:c r="Q287" s="113" t="n">
        <x:f>IFERROR(ROUND(O287*P287/Beallitasok!$B$7,0)*Beallitasok!$B$7,"")</x:f>
        <x:v>1550</x:v>
      </x:c>
      <x:c r="R287" s="113"/>
      <x:c r="S287" s="113" t="n">
        <x:f>IF(Q287="","",Q287+IF(R287="",0,R287))</x:f>
        <x:v>1550</x:v>
      </x:c>
      <x:c r="T287" s="113" t="n">
        <x:f>M287*Beallitasok!$B$4</x:f>
        <x:v>300000</x:v>
      </x:c>
      <x:c r="U287" s="115" t="n">
        <x:f>N287*Beallitasok!$B$4</x:f>
        <x:v>225</x:v>
      </x:c>
      <x:c r="V287" s="113"/>
      <x:c r="W287" s="113" t="str">
        <x:f>IF(V287="","",V287-J287)</x:f>
      </x:c>
      <x:c r="X287" s="19"/>
      <x:c r="Y287" s="113" t="n">
        <x:f>IF(S287="","",J287-S287)</x:f>
        <x:v>-550</x:v>
      </x:c>
      <x:c r="Z287" s="19" t="str">
        <x:f>IF(AA287="IGEN",IF(J287&lt;S287,"GÉPIGÉNY + KRITIKUS: gépdíj nélkül is alacsony a plafon","GÉPIGÉNY: a saját egységár gépdíj nélkül értendő"),IF(J287&lt;S287,"KRITIKUS: alvállalkozói plafon &lt; saját terhelt egységköltség",IF(J287&lt;S287*Beallitasok!$B$6,"SZŰK TARTALÉK: 10% alatti tartalék","OK")))</x:f>
        <x:v>KRITIKUS: alvállalkozói plafon &lt; saját terhelt egységköltség</x:v>
      </x:c>
      <x:c r="AA287" s="19" t="str">
        <x:v>NEM</x:v>
      </x:c>
      <x:c r="AB287" s="19" t="str">
        <x:v>https://joszaki.hu/arak/parkettazas</x:v>
      </x:c>
      <x:c r="AC287" s="19" t="str">
        <x:v>2026 piaci alsó sáv; felhasználói árkorlátokkal ellenőrizve</x:v>
      </x:c>
      <x:c r="AD287" s="19" t="str"/>
    </x:row>
    <x:row r="288">
      <x:c r="A288" s="19" t="str">
        <x:v>AR-0287</x:v>
      </x:c>
      <x:c r="B288" s="19" t="str">
        <x:v>14 Épületgépészet</x:v>
      </x:c>
      <x:c r="C288" s="19" t="str">
        <x:v>Víz, csatorna, szaniter</x:v>
      </x:c>
      <x:c r="D288" s="19" t="str">
        <x:v>Mindegyik</x:v>
      </x:c>
      <x:c r="E288" s="19" t="str">
        <x:v>Hidegvíz alapvezeték fektetése falban/padlóban</x:v>
      </x:c>
      <x:c r="F288" s="19" t="str">
        <x:v>fm</x:v>
      </x:c>
      <x:c r="G288" s="113" t="n">
        <x:v>3000</x:v>
      </x:c>
      <x:c r="H288" s="113" t="n">
        <x:v>4500</x:v>
      </x:c>
      <x:c r="I288" s="114" t="n">
        <x:v>0.6</x:v>
      </x:c>
      <x:c r="J288" s="113" t="n">
        <x:f>ROUND(H288*I288/Beallitasok!$B$7,0)*Beallitasok!$B$7</x:f>
        <x:v>2700</x:v>
      </x:c>
      <x:c r="K288" s="19" t="n">
        <x:v>2</x:v>
      </x:c>
      <x:c r="L288" s="19" t="n">
        <x:v>1</x:v>
      </x:c>
      <x:c r="M288" s="113" t="n">
        <x:f>K288*Beallitasok!$B$2+L288*Beallitasok!$B$3</x:f>
        <x:v>95000</x:v>
      </x:c>
      <x:c r="N288" s="115" t="n">
        <x:v>35</x:v>
      </x:c>
      <x:c r="O288" s="113" t="n">
        <x:f>IFERROR(M288/N288,"")</x:f>
        <x:v>2714.285714285714</x:v>
      </x:c>
      <x:c r="P288" s="116" t="n">
        <x:f>Beallitasok!$B$5</x:f>
        <x:v>1.15</x:v>
      </x:c>
      <x:c r="Q288" s="113" t="n">
        <x:f>IFERROR(ROUND(O288*P288/Beallitasok!$B$7,0)*Beallitasok!$B$7,"")</x:f>
        <x:v>3100</x:v>
      </x:c>
      <x:c r="R288" s="113"/>
      <x:c r="S288" s="113" t="n">
        <x:f>IF(Q288="","",Q288+IF(R288="",0,R288))</x:f>
        <x:v>3100</x:v>
      </x:c>
      <x:c r="T288" s="113" t="n">
        <x:f>M288*Beallitasok!$B$4</x:f>
        <x:v>475000</x:v>
      </x:c>
      <x:c r="U288" s="115" t="n">
        <x:f>N288*Beallitasok!$B$4</x:f>
        <x:v>175</x:v>
      </x:c>
      <x:c r="V288" s="113"/>
      <x:c r="W288" s="113" t="str">
        <x:f>IF(V288="","",V288-J288)</x:f>
      </x:c>
      <x:c r="X288" s="19"/>
      <x:c r="Y288" s="113" t="n">
        <x:f>IF(S288="","",J288-S288)</x:f>
        <x:v>-400</x:v>
      </x:c>
      <x:c r="Z288" s="19" t="str">
        <x:f>IF(AA288="IGEN",IF(J288&lt;S288,"GÉPIGÉNY + KRITIKUS: gépdíj nélkül is alacsony a plafon","GÉPIGÉNY: a saját egységár gépdíj nélkül értendő"),IF(J288&lt;S288,"KRITIKUS: alvállalkozói plafon &lt; saját terhelt egységköltség",IF(J288&lt;S288*Beallitasok!$B$6,"SZŰK TARTALÉK: 10% alatti tartalék","OK")))</x:f>
        <x:v>KRITIKUS: alvállalkozói plafon &lt; saját terhelt egységköltség</x:v>
      </x:c>
      <x:c r="AA288" s="19" t="str">
        <x:v>NEM</x:v>
      </x:c>
      <x:c r="AB288" s="19" t="str">
        <x:v>https://joszaki.hu/arak/vizhalozat-kiepites</x:v>
      </x:c>
      <x:c r="AC288" s="19" t="str">
        <x:v>2026 víz-/csatornaszerelési piaci alsó sáv és pontnorma</x:v>
      </x:c>
      <x:c r="AD288" s="19" t="str">
        <x:v>Szerelvény, csőanyag, falvésés, helyreállítás és kiszállás külön, ha nincs nevesítve.</x:v>
      </x:c>
    </x:row>
    <x:row r="289">
      <x:c r="A289" s="19" t="str">
        <x:v>AR-0288</x:v>
      </x:c>
      <x:c r="B289" s="19" t="str">
        <x:v>14 Épületgépészet</x:v>
      </x:c>
      <x:c r="C289" s="19" t="str">
        <x:v>Víz, csatorna, szaniter</x:v>
      </x:c>
      <x:c r="D289" s="19" t="str">
        <x:v>Mindegyik</x:v>
      </x:c>
      <x:c r="E289" s="19" t="str">
        <x:v>Melegvíz alapvezeték fektetése falban/padlóban</x:v>
      </x:c>
      <x:c r="F289" s="19" t="str">
        <x:v>fm</x:v>
      </x:c>
      <x:c r="G289" s="113" t="n">
        <x:v>3200</x:v>
      </x:c>
      <x:c r="H289" s="113" t="n">
        <x:v>4800</x:v>
      </x:c>
      <x:c r="I289" s="114" t="n">
        <x:v>0.6</x:v>
      </x:c>
      <x:c r="J289" s="113" t="n">
        <x:f>ROUND(H289*I289/Beallitasok!$B$7,0)*Beallitasok!$B$7</x:f>
        <x:v>2900</x:v>
      </x:c>
      <x:c r="K289" s="19" t="n">
        <x:v>2</x:v>
      </x:c>
      <x:c r="L289" s="19" t="n">
        <x:v>1</x:v>
      </x:c>
      <x:c r="M289" s="113" t="n">
        <x:f>K289*Beallitasok!$B$2+L289*Beallitasok!$B$3</x:f>
        <x:v>95000</x:v>
      </x:c>
      <x:c r="N289" s="115" t="n">
        <x:v>32</x:v>
      </x:c>
      <x:c r="O289" s="113" t="n">
        <x:f>IFERROR(M289/N289,"")</x:f>
        <x:v>2968.75</x:v>
      </x:c>
      <x:c r="P289" s="116" t="n">
        <x:f>Beallitasok!$B$5</x:f>
        <x:v>1.15</x:v>
      </x:c>
      <x:c r="Q289" s="113" t="n">
        <x:f>IFERROR(ROUND(O289*P289/Beallitasok!$B$7,0)*Beallitasok!$B$7,"")</x:f>
        <x:v>3400</x:v>
      </x:c>
      <x:c r="R289" s="113"/>
      <x:c r="S289" s="113" t="n">
        <x:f>IF(Q289="","",Q289+IF(R289="",0,R289))</x:f>
        <x:v>3400</x:v>
      </x:c>
      <x:c r="T289" s="113" t="n">
        <x:f>M289*Beallitasok!$B$4</x:f>
        <x:v>475000</x:v>
      </x:c>
      <x:c r="U289" s="115" t="n">
        <x:f>N289*Beallitasok!$B$4</x:f>
        <x:v>160</x:v>
      </x:c>
      <x:c r="V289" s="113"/>
      <x:c r="W289" s="113" t="str">
        <x:f>IF(V289="","",V289-J289)</x:f>
      </x:c>
      <x:c r="X289" s="19"/>
      <x:c r="Y289" s="113" t="n">
        <x:f>IF(S289="","",J289-S289)</x:f>
        <x:v>-500</x:v>
      </x:c>
      <x:c r="Z289" s="19" t="str">
        <x:f>IF(AA289="IGEN",IF(J289&lt;S289,"GÉPIGÉNY + KRITIKUS: gépdíj nélkül is alacsony a plafon","GÉPIGÉNY: a saját egységár gépdíj nélkül értendő"),IF(J289&lt;S289,"KRITIKUS: alvállalkozói plafon &lt; saját terhelt egységköltség",IF(J289&lt;S289*Beallitasok!$B$6,"SZŰK TARTALÉK: 10% alatti tartalék","OK")))</x:f>
        <x:v>KRITIKUS: alvállalkozói plafon &lt; saját terhelt egységköltség</x:v>
      </x:c>
      <x:c r="AA289" s="19" t="str">
        <x:v>NEM</x:v>
      </x:c>
      <x:c r="AB289" s="19" t="str">
        <x:v>https://joszaki.hu/arak/vizhalozat-kiepites</x:v>
      </x:c>
      <x:c r="AC289" s="19" t="str">
        <x:v>2026 víz-/csatornaszerelési piaci alsó sáv és pontnorma</x:v>
      </x:c>
      <x:c r="AD289" s="19" t="str">
        <x:v>Szerelvény, csőanyag, falvésés, helyreállítás és kiszállás külön, ha nincs nevesítve.</x:v>
      </x:c>
    </x:row>
    <x:row r="290">
      <x:c r="A290" s="19" t="str">
        <x:v>AR-0289</x:v>
      </x:c>
      <x:c r="B290" s="19" t="str">
        <x:v>14 Épületgépészet</x:v>
      </x:c>
      <x:c r="C290" s="19" t="str">
        <x:v>Víz, csatorna, szaniter</x:v>
      </x:c>
      <x:c r="D290" s="19" t="str">
        <x:v>Mindegyik</x:v>
      </x:c>
      <x:c r="E290" s="19" t="str">
        <x:v>Cirkulációs vezeték fektetése</x:v>
      </x:c>
      <x:c r="F290" s="19" t="str">
        <x:v>fm</x:v>
      </x:c>
      <x:c r="G290" s="113" t="n">
        <x:v>3000</x:v>
      </x:c>
      <x:c r="H290" s="113" t="n">
        <x:v>4500</x:v>
      </x:c>
      <x:c r="I290" s="114" t="n">
        <x:v>0.6</x:v>
      </x:c>
      <x:c r="J290" s="113" t="n">
        <x:f>ROUND(H290*I290/Beallitasok!$B$7,0)*Beallitasok!$B$7</x:f>
        <x:v>2700</x:v>
      </x:c>
      <x:c r="K290" s="19" t="n">
        <x:v>2</x:v>
      </x:c>
      <x:c r="L290" s="19" t="n">
        <x:v>1</x:v>
      </x:c>
      <x:c r="M290" s="113" t="n">
        <x:f>K290*Beallitasok!$B$2+L290*Beallitasok!$B$3</x:f>
        <x:v>95000</x:v>
      </x:c>
      <x:c r="N290" s="115" t="n">
        <x:v>35</x:v>
      </x:c>
      <x:c r="O290" s="113" t="n">
        <x:f>IFERROR(M290/N290,"")</x:f>
        <x:v>2714.285714285714</x:v>
      </x:c>
      <x:c r="P290" s="116" t="n">
        <x:f>Beallitasok!$B$5</x:f>
        <x:v>1.15</x:v>
      </x:c>
      <x:c r="Q290" s="113" t="n">
        <x:f>IFERROR(ROUND(O290*P290/Beallitasok!$B$7,0)*Beallitasok!$B$7,"")</x:f>
        <x:v>3100</x:v>
      </x:c>
      <x:c r="R290" s="113"/>
      <x:c r="S290" s="113" t="n">
        <x:f>IF(Q290="","",Q290+IF(R290="",0,R290))</x:f>
        <x:v>3100</x:v>
      </x:c>
      <x:c r="T290" s="113" t="n">
        <x:f>M290*Beallitasok!$B$4</x:f>
        <x:v>475000</x:v>
      </x:c>
      <x:c r="U290" s="115" t="n">
        <x:f>N290*Beallitasok!$B$4</x:f>
        <x:v>175</x:v>
      </x:c>
      <x:c r="V290" s="113"/>
      <x:c r="W290" s="113" t="str">
        <x:f>IF(V290="","",V290-J290)</x:f>
      </x:c>
      <x:c r="X290" s="19"/>
      <x:c r="Y290" s="113" t="n">
        <x:f>IF(S290="","",J290-S290)</x:f>
        <x:v>-400</x:v>
      </x:c>
      <x:c r="Z290" s="19" t="str">
        <x:f>IF(AA290="IGEN",IF(J290&lt;S290,"GÉPIGÉNY + KRITIKUS: gépdíj nélkül is alacsony a plafon","GÉPIGÉNY: a saját egységár gépdíj nélkül értendő"),IF(J290&lt;S290,"KRITIKUS: alvállalkozói plafon &lt; saját terhelt egységköltség",IF(J290&lt;S290*Beallitasok!$B$6,"SZŰK TARTALÉK: 10% alatti tartalék","OK")))</x:f>
        <x:v>KRITIKUS: alvállalkozói plafon &lt; saját terhelt egységköltség</x:v>
      </x:c>
      <x:c r="AA290" s="19" t="str">
        <x:v>NEM</x:v>
      </x:c>
      <x:c r="AB290" s="19" t="str">
        <x:v>https://joszaki.hu/arak/vizhalozat-kiepites</x:v>
      </x:c>
      <x:c r="AC290" s="19" t="str">
        <x:v>2026 víz-/csatornaszerelési piaci alsó sáv és pontnorma</x:v>
      </x:c>
      <x:c r="AD290" s="19" t="str">
        <x:v>Szerelvény, csőanyag, falvésés, helyreállítás és kiszállás külön, ha nincs nevesítve.</x:v>
      </x:c>
    </x:row>
    <x:row r="291">
      <x:c r="A291" s="19" t="str">
        <x:v>AR-0290</x:v>
      </x:c>
      <x:c r="B291" s="19" t="str">
        <x:v>14 Épületgépészet</x:v>
      </x:c>
      <x:c r="C291" s="19" t="str">
        <x:v>Víz, csatorna, szaniter</x:v>
      </x:c>
      <x:c r="D291" s="19" t="str">
        <x:v>Mindegyik</x:v>
      </x:c>
      <x:c r="E291" s="19" t="str">
        <x:v>Vízvezeték szerelvénykiállás fali korongig</x:v>
      </x:c>
      <x:c r="F291" s="19" t="str">
        <x:v>db</x:v>
      </x:c>
      <x:c r="G291" s="113" t="n">
        <x:v>18000</x:v>
      </x:c>
      <x:c r="H291" s="113" t="n">
        <x:v>26000</x:v>
      </x:c>
      <x:c r="I291" s="114" t="n">
        <x:v>0.6</x:v>
      </x:c>
      <x:c r="J291" s="113" t="n">
        <x:f>ROUND(H291*I291/Beallitasok!$B$7,0)*Beallitasok!$B$7</x:f>
        <x:v>15600</x:v>
      </x:c>
      <x:c r="K291" s="19" t="n">
        <x:v>2</x:v>
      </x:c>
      <x:c r="L291" s="19" t="n">
        <x:v>1</x:v>
      </x:c>
      <x:c r="M291" s="113" t="n">
        <x:f>K291*Beallitasok!$B$2+L291*Beallitasok!$B$3</x:f>
        <x:v>95000</x:v>
      </x:c>
      <x:c r="N291" s="115" t="n">
        <x:v>5</x:v>
      </x:c>
      <x:c r="O291" s="113" t="n">
        <x:f>IFERROR(M291/N291,"")</x:f>
        <x:v>19000</x:v>
      </x:c>
      <x:c r="P291" s="116" t="n">
        <x:f>Beallitasok!$B$5</x:f>
        <x:v>1.15</x:v>
      </x:c>
      <x:c r="Q291" s="113" t="n">
        <x:f>IFERROR(ROUND(O291*P291/Beallitasok!$B$7,0)*Beallitasok!$B$7,"")</x:f>
        <x:v>21850</x:v>
      </x:c>
      <x:c r="R291" s="113"/>
      <x:c r="S291" s="113" t="n">
        <x:f>IF(Q291="","",Q291+IF(R291="",0,R291))</x:f>
        <x:v>21850</x:v>
      </x:c>
      <x:c r="T291" s="113" t="n">
        <x:f>M291*Beallitasok!$B$4</x:f>
        <x:v>475000</x:v>
      </x:c>
      <x:c r="U291" s="115" t="n">
        <x:f>N291*Beallitasok!$B$4</x:f>
        <x:v>25</x:v>
      </x:c>
      <x:c r="V291" s="113"/>
      <x:c r="W291" s="113" t="str">
        <x:f>IF(V291="","",V291-J291)</x:f>
      </x:c>
      <x:c r="X291" s="19"/>
      <x:c r="Y291" s="113" t="n">
        <x:f>IF(S291="","",J291-S291)</x:f>
        <x:v>-6250</x:v>
      </x:c>
      <x:c r="Z291" s="19" t="str">
        <x:f>IF(AA291="IGEN",IF(J291&lt;S291,"GÉPIGÉNY + KRITIKUS: gépdíj nélkül is alacsony a plafon","GÉPIGÉNY: a saját egységár gépdíj nélkül értendő"),IF(J291&lt;S291,"KRITIKUS: alvállalkozói plafon &lt; saját terhelt egységköltség",IF(J291&lt;S291*Beallitasok!$B$6,"SZŰK TARTALÉK: 10% alatti tartalék","OK")))</x:f>
        <x:v>KRITIKUS: alvállalkozói plafon &lt; saját terhelt egységköltség</x:v>
      </x:c>
      <x:c r="AA291" s="19" t="str">
        <x:v>NEM</x:v>
      </x:c>
      <x:c r="AB291" s="19" t="str">
        <x:v>https://joszaki.hu/arak/vizhalozat-kiepites</x:v>
      </x:c>
      <x:c r="AC291" s="19" t="str">
        <x:v>2026 víz-/csatornaszerelési piaci alsó sáv és pontnorma</x:v>
      </x:c>
      <x:c r="AD291" s="19" t="str">
        <x:v>Szerelvény, csőanyag, falvésés, helyreállítás és kiszállás külön, ha nincs nevesítve.</x:v>
      </x:c>
    </x:row>
    <x:row r="292">
      <x:c r="A292" s="19" t="str">
        <x:v>AR-0291</x:v>
      </x:c>
      <x:c r="B292" s="19" t="str">
        <x:v>14 Épületgépészet</x:v>
      </x:c>
      <x:c r="C292" s="19" t="str">
        <x:v>Víz, csatorna, szaniter</x:v>
      </x:c>
      <x:c r="D292" s="19" t="str">
        <x:v>Mindegyik</x:v>
      </x:c>
      <x:c r="E292" s="19" t="str">
        <x:v>Kerti csap kiállás kialakítása</x:v>
      </x:c>
      <x:c r="F292" s="19" t="str">
        <x:v>db</x:v>
      </x:c>
      <x:c r="G292" s="113" t="n">
        <x:v>12000</x:v>
      </x:c>
      <x:c r="H292" s="113" t="n">
        <x:v>18000</x:v>
      </x:c>
      <x:c r="I292" s="114" t="n">
        <x:v>0.6</x:v>
      </x:c>
      <x:c r="J292" s="113" t="n">
        <x:f>ROUND(H292*I292/Beallitasok!$B$7,0)*Beallitasok!$B$7</x:f>
        <x:v>10800</x:v>
      </x:c>
      <x:c r="K292" s="19" t="n">
        <x:v>2</x:v>
      </x:c>
      <x:c r="L292" s="19" t="n">
        <x:v>1</x:v>
      </x:c>
      <x:c r="M292" s="113" t="n">
        <x:f>K292*Beallitasok!$B$2+L292*Beallitasok!$B$3</x:f>
        <x:v>95000</x:v>
      </x:c>
      <x:c r="N292" s="115" t="n">
        <x:v>5</x:v>
      </x:c>
      <x:c r="O292" s="113" t="n">
        <x:f>IFERROR(M292/N292,"")</x:f>
        <x:v>19000</x:v>
      </x:c>
      <x:c r="P292" s="116" t="n">
        <x:f>Beallitasok!$B$5</x:f>
        <x:v>1.15</x:v>
      </x:c>
      <x:c r="Q292" s="113" t="n">
        <x:f>IFERROR(ROUND(O292*P292/Beallitasok!$B$7,0)*Beallitasok!$B$7,"")</x:f>
        <x:v>21850</x:v>
      </x:c>
      <x:c r="R292" s="113"/>
      <x:c r="S292" s="113" t="n">
        <x:f>IF(Q292="","",Q292+IF(R292="",0,R292))</x:f>
        <x:v>21850</x:v>
      </x:c>
      <x:c r="T292" s="113" t="n">
        <x:f>M292*Beallitasok!$B$4</x:f>
        <x:v>475000</x:v>
      </x:c>
      <x:c r="U292" s="115" t="n">
        <x:f>N292*Beallitasok!$B$4</x:f>
        <x:v>25</x:v>
      </x:c>
      <x:c r="V292" s="113"/>
      <x:c r="W292" s="113" t="str">
        <x:f>IF(V292="","",V292-J292)</x:f>
      </x:c>
      <x:c r="X292" s="19"/>
      <x:c r="Y292" s="113" t="n">
        <x:f>IF(S292="","",J292-S292)</x:f>
        <x:v>-11050</x:v>
      </x:c>
      <x:c r="Z292" s="19" t="str">
        <x:f>IF(AA292="IGEN",IF(J292&lt;S292,"GÉPIGÉNY + KRITIKUS: gépdíj nélkül is alacsony a plafon","GÉPIGÉNY: a saját egységár gépdíj nélkül értendő"),IF(J292&lt;S292,"KRITIKUS: alvállalkozói plafon &lt; saját terhelt egységköltség",IF(J292&lt;S292*Beallitasok!$B$6,"SZŰK TARTALÉK: 10% alatti tartalék","OK")))</x:f>
        <x:v>KRITIKUS: alvállalkozói plafon &lt; saját terhelt egységköltség</x:v>
      </x:c>
      <x:c r="AA292" s="19" t="str">
        <x:v>NEM</x:v>
      </x:c>
      <x:c r="AB292" s="19" t="str">
        <x:v>https://joszaki.hu/arak/vizhalozat-kiepites</x:v>
      </x:c>
      <x:c r="AC292" s="19" t="str">
        <x:v>2026 víz-/csatornaszerelési piaci alsó sáv és pontnorma</x:v>
      </x:c>
      <x:c r="AD292" s="19" t="str">
        <x:v>Szerelvény, csőanyag, falvésés, helyreállítás és kiszállás külön, ha nincs nevesítve.</x:v>
      </x:c>
    </x:row>
    <x:row r="293">
      <x:c r="A293" s="19" t="str">
        <x:v>AR-0292</x:v>
      </x:c>
      <x:c r="B293" s="19" t="str">
        <x:v>14 Épületgépészet</x:v>
      </x:c>
      <x:c r="C293" s="19" t="str">
        <x:v>Víz, csatorna, szaniter</x:v>
      </x:c>
      <x:c r="D293" s="19" t="str">
        <x:v>Mindegyik</x:v>
      </x:c>
      <x:c r="E293" s="19" t="str">
        <x:v>Belső szennyvízvezeték DN50 fektetése</x:v>
      </x:c>
      <x:c r="F293" s="19" t="str">
        <x:v>fm</x:v>
      </x:c>
      <x:c r="G293" s="113" t="n">
        <x:v>3500</x:v>
      </x:c>
      <x:c r="H293" s="113" t="n">
        <x:v>5200</x:v>
      </x:c>
      <x:c r="I293" s="114" t="n">
        <x:v>0.6</x:v>
      </x:c>
      <x:c r="J293" s="113" t="n">
        <x:f>ROUND(H293*I293/Beallitasok!$B$7,0)*Beallitasok!$B$7</x:f>
        <x:v>3100</x:v>
      </x:c>
      <x:c r="K293" s="19" t="n">
        <x:v>2</x:v>
      </x:c>
      <x:c r="L293" s="19" t="n">
        <x:v>1</x:v>
      </x:c>
      <x:c r="M293" s="113" t="n">
        <x:f>K293*Beallitasok!$B$2+L293*Beallitasok!$B$3</x:f>
        <x:v>95000</x:v>
      </x:c>
      <x:c r="N293" s="115" t="n">
        <x:v>28</x:v>
      </x:c>
      <x:c r="O293" s="113" t="n">
        <x:f>IFERROR(M293/N293,"")</x:f>
        <x:v>3392.8571428571427</x:v>
      </x:c>
      <x:c r="P293" s="116" t="n">
        <x:f>Beallitasok!$B$5</x:f>
        <x:v>1.15</x:v>
      </x:c>
      <x:c r="Q293" s="113" t="n">
        <x:f>IFERROR(ROUND(O293*P293/Beallitasok!$B$7,0)*Beallitasok!$B$7,"")</x:f>
        <x:v>3900</x:v>
      </x:c>
      <x:c r="R293" s="113"/>
      <x:c r="S293" s="113" t="n">
        <x:f>IF(Q293="","",Q293+IF(R293="",0,R293))</x:f>
        <x:v>3900</x:v>
      </x:c>
      <x:c r="T293" s="113" t="n">
        <x:f>M293*Beallitasok!$B$4</x:f>
        <x:v>475000</x:v>
      </x:c>
      <x:c r="U293" s="115" t="n">
        <x:f>N293*Beallitasok!$B$4</x:f>
        <x:v>140</x:v>
      </x:c>
      <x:c r="V293" s="113"/>
      <x:c r="W293" s="113" t="str">
        <x:f>IF(V293="","",V293-J293)</x:f>
      </x:c>
      <x:c r="X293" s="19"/>
      <x:c r="Y293" s="113" t="n">
        <x:f>IF(S293="","",J293-S293)</x:f>
        <x:v>-800</x:v>
      </x:c>
      <x:c r="Z293" s="19" t="str">
        <x:f>IF(AA293="IGEN",IF(J293&lt;S293,"GÉPIGÉNY + KRITIKUS: gépdíj nélkül is alacsony a plafon","GÉPIGÉNY: a saját egységár gépdíj nélkül értendő"),IF(J293&lt;S293,"KRITIKUS: alvállalkozói plafon &lt; saját terhelt egységköltség",IF(J293&lt;S293*Beallitasok!$B$6,"SZŰK TARTALÉK: 10% alatti tartalék","OK")))</x:f>
        <x:v>KRITIKUS: alvállalkozói plafon &lt; saját terhelt egységköltség</x:v>
      </x:c>
      <x:c r="AA293" s="19" t="str">
        <x:v>NEM</x:v>
      </x:c>
      <x:c r="AB293" s="19" t="str">
        <x:v>https://joszaki.hu/arak/csatornazas</x:v>
      </x:c>
      <x:c r="AC293" s="19" t="str">
        <x:v>2026 víz-/csatornaszerelési piaci alsó sáv és pontnorma</x:v>
      </x:c>
      <x:c r="AD293" s="19" t="str">
        <x:v>Szerelvény, csőanyag, falvésés, helyreállítás és kiszállás külön, ha nincs nevesítve.</x:v>
      </x:c>
    </x:row>
    <x:row r="294">
      <x:c r="A294" s="19" t="str">
        <x:v>AR-0293</x:v>
      </x:c>
      <x:c r="B294" s="19" t="str">
        <x:v>14 Épületgépészet</x:v>
      </x:c>
      <x:c r="C294" s="19" t="str">
        <x:v>Víz, csatorna, szaniter</x:v>
      </x:c>
      <x:c r="D294" s="19" t="str">
        <x:v>Mindegyik</x:v>
      </x:c>
      <x:c r="E294" s="19" t="str">
        <x:v>Belső szennyvízvezeték DN110 fektetése</x:v>
      </x:c>
      <x:c r="F294" s="19" t="str">
        <x:v>fm</x:v>
      </x:c>
      <x:c r="G294" s="113" t="n">
        <x:v>4500</x:v>
      </x:c>
      <x:c r="H294" s="113" t="n">
        <x:v>6800</x:v>
      </x:c>
      <x:c r="I294" s="114" t="n">
        <x:v>0.6</x:v>
      </x:c>
      <x:c r="J294" s="113" t="n">
        <x:f>ROUND(H294*I294/Beallitasok!$B$7,0)*Beallitasok!$B$7</x:f>
        <x:v>4100</x:v>
      </x:c>
      <x:c r="K294" s="19" t="n">
        <x:v>2</x:v>
      </x:c>
      <x:c r="L294" s="19" t="n">
        <x:v>1</x:v>
      </x:c>
      <x:c r="M294" s="113" t="n">
        <x:f>K294*Beallitasok!$B$2+L294*Beallitasok!$B$3</x:f>
        <x:v>95000</x:v>
      </x:c>
      <x:c r="N294" s="115" t="n">
        <x:v>22</x:v>
      </x:c>
      <x:c r="O294" s="113" t="n">
        <x:f>IFERROR(M294/N294,"")</x:f>
        <x:v>4318.181818181818</x:v>
      </x:c>
      <x:c r="P294" s="116" t="n">
        <x:f>Beallitasok!$B$5</x:f>
        <x:v>1.15</x:v>
      </x:c>
      <x:c r="Q294" s="113" t="n">
        <x:f>IFERROR(ROUND(O294*P294/Beallitasok!$B$7,0)*Beallitasok!$B$7,"")</x:f>
        <x:v>4950</x:v>
      </x:c>
      <x:c r="R294" s="113"/>
      <x:c r="S294" s="113" t="n">
        <x:f>IF(Q294="","",Q294+IF(R294="",0,R294))</x:f>
        <x:v>4950</x:v>
      </x:c>
      <x:c r="T294" s="113" t="n">
        <x:f>M294*Beallitasok!$B$4</x:f>
        <x:v>475000</x:v>
      </x:c>
      <x:c r="U294" s="115" t="n">
        <x:f>N294*Beallitasok!$B$4</x:f>
        <x:v>110</x:v>
      </x:c>
      <x:c r="V294" s="113"/>
      <x:c r="W294" s="113" t="str">
        <x:f>IF(V294="","",V294-J294)</x:f>
      </x:c>
      <x:c r="X294" s="19"/>
      <x:c r="Y294" s="113" t="n">
        <x:f>IF(S294="","",J294-S294)</x:f>
        <x:v>-850</x:v>
      </x:c>
      <x:c r="Z294" s="19" t="str">
        <x:f>IF(AA294="IGEN",IF(J294&lt;S294,"GÉPIGÉNY + KRITIKUS: gépdíj nélkül is alacsony a plafon","GÉPIGÉNY: a saját egységár gépdíj nélkül értendő"),IF(J294&lt;S294,"KRITIKUS: alvállalkozói plafon &lt; saját terhelt egységköltség",IF(J294&lt;S294*Beallitasok!$B$6,"SZŰK TARTALÉK: 10% alatti tartalék","OK")))</x:f>
        <x:v>KRITIKUS: alvállalkozói plafon &lt; saját terhelt egységköltség</x:v>
      </x:c>
      <x:c r="AA294" s="19" t="str">
        <x:v>NEM</x:v>
      </x:c>
      <x:c r="AB294" s="19" t="str">
        <x:v>https://joszaki.hu/arak/csatornazas</x:v>
      </x:c>
      <x:c r="AC294" s="19" t="str">
        <x:v>2026 víz-/csatornaszerelési piaci alsó sáv és pontnorma</x:v>
      </x:c>
      <x:c r="AD294" s="19" t="str">
        <x:v>Szerelvény, csőanyag, falvésés, helyreállítás és kiszállás külön, ha nincs nevesítve.</x:v>
      </x:c>
    </x:row>
    <x:row r="295">
      <x:c r="A295" s="19" t="str">
        <x:v>AR-0294</x:v>
      </x:c>
      <x:c r="B295" s="19" t="str">
        <x:v>14 Épületgépészet</x:v>
      </x:c>
      <x:c r="C295" s="19" t="str">
        <x:v>Víz, csatorna, szaniter</x:v>
      </x:c>
      <x:c r="D295" s="19" t="str">
        <x:v>Mindegyik</x:v>
      </x:c>
      <x:c r="E295" s="19" t="str">
        <x:v>Kültéri csatornavezeték fektetése árokban, földmunka nélkül</x:v>
      </x:c>
      <x:c r="F295" s="19" t="str">
        <x:v>fm</x:v>
      </x:c>
      <x:c r="G295" s="113" t="n">
        <x:v>5000</x:v>
      </x:c>
      <x:c r="H295" s="113" t="n">
        <x:v>7500</x:v>
      </x:c>
      <x:c r="I295" s="114" t="n">
        <x:v>0.6</x:v>
      </x:c>
      <x:c r="J295" s="113" t="n">
        <x:f>ROUND(H295*I295/Beallitasok!$B$7,0)*Beallitasok!$B$7</x:f>
        <x:v>4500</x:v>
      </x:c>
      <x:c r="K295" s="19" t="n">
        <x:v>2</x:v>
      </x:c>
      <x:c r="L295" s="19" t="n">
        <x:v>1</x:v>
      </x:c>
      <x:c r="M295" s="113" t="n">
        <x:f>K295*Beallitasok!$B$2+L295*Beallitasok!$B$3</x:f>
        <x:v>95000</x:v>
      </x:c>
      <x:c r="N295" s="115" t="n">
        <x:v>20</x:v>
      </x:c>
      <x:c r="O295" s="113" t="n">
        <x:f>IFERROR(M295/N295,"")</x:f>
        <x:v>4750</x:v>
      </x:c>
      <x:c r="P295" s="116" t="n">
        <x:f>Beallitasok!$B$5</x:f>
        <x:v>1.15</x:v>
      </x:c>
      <x:c r="Q295" s="113" t="n">
        <x:f>IFERROR(ROUND(O295*P295/Beallitasok!$B$7,0)*Beallitasok!$B$7,"")</x:f>
        <x:v>5450</x:v>
      </x:c>
      <x:c r="R295" s="113"/>
      <x:c r="S295" s="113" t="n">
        <x:f>IF(Q295="","",Q295+IF(R295="",0,R295))</x:f>
        <x:v>5450</x:v>
      </x:c>
      <x:c r="T295" s="113" t="n">
        <x:f>M295*Beallitasok!$B$4</x:f>
        <x:v>475000</x:v>
      </x:c>
      <x:c r="U295" s="115" t="n">
        <x:f>N295*Beallitasok!$B$4</x:f>
        <x:v>100</x:v>
      </x:c>
      <x:c r="V295" s="113"/>
      <x:c r="W295" s="113" t="str">
        <x:f>IF(V295="","",V295-J295)</x:f>
      </x:c>
      <x:c r="X295" s="19"/>
      <x:c r="Y295" s="113" t="n">
        <x:f>IF(S295="","",J295-S295)</x:f>
        <x:v>-950</x:v>
      </x:c>
      <x:c r="Z295" s="19" t="str">
        <x:f>IF(AA295="IGEN",IF(J295&lt;S295,"GÉPIGÉNY + KRITIKUS: gépdíj nélkül is alacsony a plafon","GÉPIGÉNY: a saját egységár gépdíj nélkül értendő"),IF(J295&lt;S295,"KRITIKUS: alvállalkozói plafon &lt; saját terhelt egységköltség",IF(J295&lt;S295*Beallitasok!$B$6,"SZŰK TARTALÉK: 10% alatti tartalék","OK")))</x:f>
        <x:v>KRITIKUS: alvállalkozói plafon &lt; saját terhelt egységköltség</x:v>
      </x:c>
      <x:c r="AA295" s="19" t="str">
        <x:v>NEM</x:v>
      </x:c>
      <x:c r="AB295" s="19" t="str">
        <x:v>https://joszaki.hu/arak/csatornazas</x:v>
      </x:c>
      <x:c r="AC295" s="19" t="str">
        <x:v>2026 víz-/csatornaszerelési piaci alsó sáv és pontnorma</x:v>
      </x:c>
      <x:c r="AD295" s="19" t="str">
        <x:v>Szerelvény, csőanyag, falvésés, helyreállítás és kiszállás külön, ha nincs nevesítve.</x:v>
      </x:c>
    </x:row>
    <x:row r="296">
      <x:c r="A296" s="19" t="str">
        <x:v>AR-0295</x:v>
      </x:c>
      <x:c r="B296" s="19" t="str">
        <x:v>14 Épületgépészet</x:v>
      </x:c>
      <x:c r="C296" s="19" t="str">
        <x:v>Víz, csatorna, szaniter</x:v>
      </x:c>
      <x:c r="D296" s="19" t="str">
        <x:v>Mindegyik</x:v>
      </x:c>
      <x:c r="E296" s="19" t="str">
        <x:v>Csatorna tisztítóidom beépítése</x:v>
      </x:c>
      <x:c r="F296" s="19" t="str">
        <x:v>db</x:v>
      </x:c>
      <x:c r="G296" s="113" t="n">
        <x:v>6500</x:v>
      </x:c>
      <x:c r="H296" s="113" t="n">
        <x:v>9500</x:v>
      </x:c>
      <x:c r="I296" s="114" t="n">
        <x:v>0.6</x:v>
      </x:c>
      <x:c r="J296" s="113" t="n">
        <x:f>ROUND(H296*I296/Beallitasok!$B$7,0)*Beallitasok!$B$7</x:f>
        <x:v>5700</x:v>
      </x:c>
      <x:c r="K296" s="19" t="n">
        <x:v>2</x:v>
      </x:c>
      <x:c r="L296" s="19" t="n">
        <x:v>1</x:v>
      </x:c>
      <x:c r="M296" s="113" t="n">
        <x:f>K296*Beallitasok!$B$2+L296*Beallitasok!$B$3</x:f>
        <x:v>95000</x:v>
      </x:c>
      <x:c r="N296" s="115" t="n">
        <x:v>7</x:v>
      </x:c>
      <x:c r="O296" s="113" t="n">
        <x:f>IFERROR(M296/N296,"")</x:f>
        <x:v>13571.42857142857</x:v>
      </x:c>
      <x:c r="P296" s="116" t="n">
        <x:f>Beallitasok!$B$5</x:f>
        <x:v>1.15</x:v>
      </x:c>
      <x:c r="Q296" s="113" t="n">
        <x:f>IFERROR(ROUND(O296*P296/Beallitasok!$B$7,0)*Beallitasok!$B$7,"")</x:f>
        <x:v>15600</x:v>
      </x:c>
      <x:c r="R296" s="113"/>
      <x:c r="S296" s="113" t="n">
        <x:f>IF(Q296="","",Q296+IF(R296="",0,R296))</x:f>
        <x:v>15600</x:v>
      </x:c>
      <x:c r="T296" s="113" t="n">
        <x:f>M296*Beallitasok!$B$4</x:f>
        <x:v>475000</x:v>
      </x:c>
      <x:c r="U296" s="115" t="n">
        <x:f>N296*Beallitasok!$B$4</x:f>
        <x:v>35</x:v>
      </x:c>
      <x:c r="V296" s="113"/>
      <x:c r="W296" s="113" t="str">
        <x:f>IF(V296="","",V296-J296)</x:f>
      </x:c>
      <x:c r="X296" s="19"/>
      <x:c r="Y296" s="113" t="n">
        <x:f>IF(S296="","",J296-S296)</x:f>
        <x:v>-9900</x:v>
      </x:c>
      <x:c r="Z296" s="19" t="str">
        <x:f>IF(AA296="IGEN",IF(J296&lt;S296,"GÉPIGÉNY + KRITIKUS: gépdíj nélkül is alacsony a plafon","GÉPIGÉNY: a saját egységár gépdíj nélkül értendő"),IF(J296&lt;S296,"KRITIKUS: alvállalkozói plafon &lt; saját terhelt egységköltség",IF(J296&lt;S296*Beallitasok!$B$6,"SZŰK TARTALÉK: 10% alatti tartalék","OK")))</x:f>
        <x:v>KRITIKUS: alvállalkozói plafon &lt; saját terhelt egységköltség</x:v>
      </x:c>
      <x:c r="AA296" s="19" t="str">
        <x:v>NEM</x:v>
      </x:c>
      <x:c r="AB296" s="19" t="str">
        <x:v>https://joszaki.hu/arak/csatornazas</x:v>
      </x:c>
      <x:c r="AC296" s="19" t="str">
        <x:v>2026 víz-/csatornaszerelési piaci alsó sáv és pontnorma</x:v>
      </x:c>
      <x:c r="AD296" s="19" t="str">
        <x:v>Szerelvény, csőanyag, falvésés, helyreállítás és kiszállás külön, ha nincs nevesítve.</x:v>
      </x:c>
    </x:row>
    <x:row r="297">
      <x:c r="A297" s="19" t="str">
        <x:v>AR-0296</x:v>
      </x:c>
      <x:c r="B297" s="19" t="str">
        <x:v>14 Épületgépészet</x:v>
      </x:c>
      <x:c r="C297" s="19" t="str">
        <x:v>Víz, csatorna, szaniter</x:v>
      </x:c>
      <x:c r="D297" s="19" t="str">
        <x:v>Mindegyik</x:v>
      </x:c>
      <x:c r="E297" s="19" t="str">
        <x:v>Padlóösszefolyó beépítése és szintbe állítása</x:v>
      </x:c>
      <x:c r="F297" s="19" t="str">
        <x:v>db</x:v>
      </x:c>
      <x:c r="G297" s="113" t="n">
        <x:v>8000</x:v>
      </x:c>
      <x:c r="H297" s="113" t="n">
        <x:v>12000</x:v>
      </x:c>
      <x:c r="I297" s="114" t="n">
        <x:v>0.6</x:v>
      </x:c>
      <x:c r="J297" s="113" t="n">
        <x:f>ROUND(H297*I297/Beallitasok!$B$7,0)*Beallitasok!$B$7</x:f>
        <x:v>7200</x:v>
      </x:c>
      <x:c r="K297" s="19" t="n">
        <x:v>2</x:v>
      </x:c>
      <x:c r="L297" s="19" t="n">
        <x:v>1</x:v>
      </x:c>
      <x:c r="M297" s="113" t="n">
        <x:f>K297*Beallitasok!$B$2+L297*Beallitasok!$B$3</x:f>
        <x:v>95000</x:v>
      </x:c>
      <x:c r="N297" s="115" t="n">
        <x:v>5</x:v>
      </x:c>
      <x:c r="O297" s="113" t="n">
        <x:f>IFERROR(M297/N297,"")</x:f>
        <x:v>19000</x:v>
      </x:c>
      <x:c r="P297" s="116" t="n">
        <x:f>Beallitasok!$B$5</x:f>
        <x:v>1.15</x:v>
      </x:c>
      <x:c r="Q297" s="113" t="n">
        <x:f>IFERROR(ROUND(O297*P297/Beallitasok!$B$7,0)*Beallitasok!$B$7,"")</x:f>
        <x:v>21850</x:v>
      </x:c>
      <x:c r="R297" s="113"/>
      <x:c r="S297" s="113" t="n">
        <x:f>IF(Q297="","",Q297+IF(R297="",0,R297))</x:f>
        <x:v>21850</x:v>
      </x:c>
      <x:c r="T297" s="113" t="n">
        <x:f>M297*Beallitasok!$B$4</x:f>
        <x:v>475000</x:v>
      </x:c>
      <x:c r="U297" s="115" t="n">
        <x:f>N297*Beallitasok!$B$4</x:f>
        <x:v>25</x:v>
      </x:c>
      <x:c r="V297" s="113"/>
      <x:c r="W297" s="113" t="str">
        <x:f>IF(V297="","",V297-J297)</x:f>
      </x:c>
      <x:c r="X297" s="19"/>
      <x:c r="Y297" s="113" t="n">
        <x:f>IF(S297="","",J297-S297)</x:f>
        <x:v>-14650</x:v>
      </x:c>
      <x:c r="Z297" s="19" t="str">
        <x:f>IF(AA297="IGEN",IF(J297&lt;S297,"GÉPIGÉNY + KRITIKUS: gépdíj nélkül is alacsony a plafon","GÉPIGÉNY: a saját egységár gépdíj nélkül értendő"),IF(J297&lt;S297,"KRITIKUS: alvállalkozói plafon &lt; saját terhelt egységköltség",IF(J297&lt;S297*Beallitasok!$B$6,"SZŰK TARTALÉK: 10% alatti tartalék","OK")))</x:f>
        <x:v>KRITIKUS: alvállalkozói plafon &lt; saját terhelt egységköltség</x:v>
      </x:c>
      <x:c r="AA297" s="19" t="str">
        <x:v>NEM</x:v>
      </x:c>
      <x:c r="AB297" s="19" t="str">
        <x:v>https://joszaki.hu/arak/vizhalozat-kiepites</x:v>
      </x:c>
      <x:c r="AC297" s="19" t="str">
        <x:v>2026 víz-/csatornaszerelési piaci alsó sáv és pontnorma</x:v>
      </x:c>
      <x:c r="AD297" s="19" t="str">
        <x:v>Szerelvény, csőanyag, falvésés, helyreállítás és kiszállás külön, ha nincs nevesítve.</x:v>
      </x:c>
    </x:row>
    <x:row r="298">
      <x:c r="A298" s="19" t="str">
        <x:v>AR-0297</x:v>
      </x:c>
      <x:c r="B298" s="19" t="str">
        <x:v>14 Épületgépészet</x:v>
      </x:c>
      <x:c r="C298" s="19" t="str">
        <x:v>Víz, csatorna, szaniter</x:v>
      </x:c>
      <x:c r="D298" s="19" t="str">
        <x:v>Mindegyik</x:v>
      </x:c>
      <x:c r="E298" s="19" t="str">
        <x:v>Falba épített WC-tartály szerelőkeret beépítése</x:v>
      </x:c>
      <x:c r="F298" s="19" t="str">
        <x:v>db</x:v>
      </x:c>
      <x:c r="G298" s="113" t="n">
        <x:v>18000</x:v>
      </x:c>
      <x:c r="H298" s="113" t="n">
        <x:v>28000</x:v>
      </x:c>
      <x:c r="I298" s="114" t="n">
        <x:v>0.6</x:v>
      </x:c>
      <x:c r="J298" s="113" t="n">
        <x:f>ROUND(H298*I298/Beallitasok!$B$7,0)*Beallitasok!$B$7</x:f>
        <x:v>16800</x:v>
      </x:c>
      <x:c r="K298" s="19" t="n">
        <x:v>2</x:v>
      </x:c>
      <x:c r="L298" s="19" t="n">
        <x:v>1</x:v>
      </x:c>
      <x:c r="M298" s="113" t="n">
        <x:f>K298*Beallitasok!$B$2+L298*Beallitasok!$B$3</x:f>
        <x:v>95000</x:v>
      </x:c>
      <x:c r="N298" s="115" t="n">
        <x:v>3</x:v>
      </x:c>
      <x:c r="O298" s="113" t="n">
        <x:f>IFERROR(M298/N298,"")</x:f>
        <x:v>31666.666666666668</x:v>
      </x:c>
      <x:c r="P298" s="116" t="n">
        <x:f>Beallitasok!$B$5</x:f>
        <x:v>1.15</x:v>
      </x:c>
      <x:c r="Q298" s="113" t="n">
        <x:f>IFERROR(ROUND(O298*P298/Beallitasok!$B$7,0)*Beallitasok!$B$7,"")</x:f>
        <x:v>36400</x:v>
      </x:c>
      <x:c r="R298" s="113"/>
      <x:c r="S298" s="113" t="n">
        <x:f>IF(Q298="","",Q298+IF(R298="",0,R298))</x:f>
        <x:v>36400</x:v>
      </x:c>
      <x:c r="T298" s="113" t="n">
        <x:f>M298*Beallitasok!$B$4</x:f>
        <x:v>475000</x:v>
      </x:c>
      <x:c r="U298" s="115" t="n">
        <x:f>N298*Beallitasok!$B$4</x:f>
        <x:v>15</x:v>
      </x:c>
      <x:c r="V298" s="113"/>
      <x:c r="W298" s="113" t="str">
        <x:f>IF(V298="","",V298-J298)</x:f>
      </x:c>
      <x:c r="X298" s="19"/>
      <x:c r="Y298" s="113" t="n">
        <x:f>IF(S298="","",J298-S298)</x:f>
        <x:v>-19600</x:v>
      </x:c>
      <x:c r="Z298" s="19" t="str">
        <x:f>IF(AA298="IGEN",IF(J298&lt;S298,"GÉPIGÉNY + KRITIKUS: gépdíj nélkül is alacsony a plafon","GÉPIGÉNY: a saját egységár gépdíj nélkül értendő"),IF(J298&lt;S298,"KRITIKUS: alvállalkozói plafon &lt; saját terhelt egységköltség",IF(J298&lt;S298*Beallitasok!$B$6,"SZŰK TARTALÉK: 10% alatti tartalék","OK")))</x:f>
        <x:v>KRITIKUS: alvállalkozói plafon &lt; saját terhelt egységköltség</x:v>
      </x:c>
      <x:c r="AA298" s="19" t="str">
        <x:v>NEM</x:v>
      </x:c>
      <x:c r="AB298" s="19" t="str">
        <x:v>https://joszaki.hu/arak/vizhalozat-kiepites</x:v>
      </x:c>
      <x:c r="AC298" s="19" t="str">
        <x:v>2026 víz-/csatornaszerelési piaci alsó sáv és pontnorma</x:v>
      </x:c>
      <x:c r="AD298" s="19" t="str">
        <x:v>Szerelvény, csőanyag, falvésés, helyreállítás és kiszállás külön, ha nincs nevesítve.</x:v>
      </x:c>
    </x:row>
    <x:row r="299">
      <x:c r="A299" s="19" t="str">
        <x:v>AR-0298</x:v>
      </x:c>
      <x:c r="B299" s="19" t="str">
        <x:v>14 Épületgépészet</x:v>
      </x:c>
      <x:c r="C299" s="19" t="str">
        <x:v>Víz, csatorna, szaniter</x:v>
      </x:c>
      <x:c r="D299" s="19" t="str">
        <x:v>Mindegyik</x:v>
      </x:c>
      <x:c r="E299" s="19" t="str">
        <x:v>Fali WC-csésze felszerelése és bekötése</x:v>
      </x:c>
      <x:c r="F299" s="19" t="str">
        <x:v>db</x:v>
      </x:c>
      <x:c r="G299" s="113" t="n">
        <x:v>12000</x:v>
      </x:c>
      <x:c r="H299" s="113" t="n">
        <x:v>18000</x:v>
      </x:c>
      <x:c r="I299" s="114" t="n">
        <x:v>0.6</x:v>
      </x:c>
      <x:c r="J299" s="113" t="n">
        <x:f>ROUND(H299*I299/Beallitasok!$B$7,0)*Beallitasok!$B$7</x:f>
        <x:v>10800</x:v>
      </x:c>
      <x:c r="K299" s="19" t="n">
        <x:v>1</x:v>
      </x:c>
      <x:c r="L299" s="19" t="n">
        <x:v>1</x:v>
      </x:c>
      <x:c r="M299" s="113" t="n">
        <x:f>K299*Beallitasok!$B$2+L299*Beallitasok!$B$3</x:f>
        <x:v>60000</x:v>
      </x:c>
      <x:c r="N299" s="115" t="n">
        <x:v>4</x:v>
      </x:c>
      <x:c r="O299" s="113" t="n">
        <x:f>IFERROR(M299/N299,"")</x:f>
        <x:v>15000</x:v>
      </x:c>
      <x:c r="P299" s="116" t="n">
        <x:f>Beallitasok!$B$5</x:f>
        <x:v>1.15</x:v>
      </x:c>
      <x:c r="Q299" s="113" t="n">
        <x:f>IFERROR(ROUND(O299*P299/Beallitasok!$B$7,0)*Beallitasok!$B$7,"")</x:f>
        <x:v>17250</x:v>
      </x:c>
      <x:c r="R299" s="113"/>
      <x:c r="S299" s="113" t="n">
        <x:f>IF(Q299="","",Q299+IF(R299="",0,R299))</x:f>
        <x:v>17250</x:v>
      </x:c>
      <x:c r="T299" s="113" t="n">
        <x:f>M299*Beallitasok!$B$4</x:f>
        <x:v>300000</x:v>
      </x:c>
      <x:c r="U299" s="115" t="n">
        <x:f>N299*Beallitasok!$B$4</x:f>
        <x:v>20</x:v>
      </x:c>
      <x:c r="V299" s="113"/>
      <x:c r="W299" s="113" t="str">
        <x:f>IF(V299="","",V299-J299)</x:f>
      </x:c>
      <x:c r="X299" s="19"/>
      <x:c r="Y299" s="113" t="n">
        <x:f>IF(S299="","",J299-S299)</x:f>
        <x:v>-6450</x:v>
      </x:c>
      <x:c r="Z299" s="19" t="str">
        <x:f>IF(AA299="IGEN",IF(J299&lt;S299,"GÉPIGÉNY + KRITIKUS: gépdíj nélkül is alacsony a plafon","GÉPIGÉNY: a saját egységár gépdíj nélkül értendő"),IF(J299&lt;S299,"KRITIKUS: alvállalkozói plafon &lt; saját terhelt egységköltség",IF(J299&lt;S299*Beallitasok!$B$6,"SZŰK TARTALÉK: 10% alatti tartalék","OK")))</x:f>
        <x:v>KRITIKUS: alvállalkozói plafon &lt; saját terhelt egységköltség</x:v>
      </x:c>
      <x:c r="AA299" s="19" t="str">
        <x:v>NEM</x:v>
      </x:c>
      <x:c r="AB299" s="19" t="str">
        <x:v>https://joszaki.hu/arak/vizhalozat-kiepites</x:v>
      </x:c>
      <x:c r="AC299" s="19" t="str">
        <x:v>2026 víz-/csatornaszerelési piaci alsó sáv és pontnorma</x:v>
      </x:c>
      <x:c r="AD299" s="19" t="str">
        <x:v>Szerelvény, csőanyag, falvésés, helyreállítás és kiszállás külön, ha nincs nevesítve.</x:v>
      </x:c>
    </x:row>
    <x:row r="300">
      <x:c r="A300" s="19" t="str">
        <x:v>AR-0299</x:v>
      </x:c>
      <x:c r="B300" s="19" t="str">
        <x:v>14 Épületgépészet</x:v>
      </x:c>
      <x:c r="C300" s="19" t="str">
        <x:v>Víz, csatorna, szaniter</x:v>
      </x:c>
      <x:c r="D300" s="19" t="str">
        <x:v>Mindegyik</x:v>
      </x:c>
      <x:c r="E300" s="19" t="str">
        <x:v>Álló WC-csésze felszerelése és bekötése</x:v>
      </x:c>
      <x:c r="F300" s="19" t="str">
        <x:v>db</x:v>
      </x:c>
      <x:c r="G300" s="113" t="n">
        <x:v>9000</x:v>
      </x:c>
      <x:c r="H300" s="113" t="n">
        <x:v>14000</x:v>
      </x:c>
      <x:c r="I300" s="114" t="n">
        <x:v>0.6</x:v>
      </x:c>
      <x:c r="J300" s="113" t="n">
        <x:f>ROUND(H300*I300/Beallitasok!$B$7,0)*Beallitasok!$B$7</x:f>
        <x:v>8400</x:v>
      </x:c>
      <x:c r="K300" s="19" t="n">
        <x:v>1</x:v>
      </x:c>
      <x:c r="L300" s="19" t="n">
        <x:v>1</x:v>
      </x:c>
      <x:c r="M300" s="113" t="n">
        <x:f>K300*Beallitasok!$B$2+L300*Beallitasok!$B$3</x:f>
        <x:v>60000</x:v>
      </x:c>
      <x:c r="N300" s="115" t="n">
        <x:v>5</x:v>
      </x:c>
      <x:c r="O300" s="113" t="n">
        <x:f>IFERROR(M300/N300,"")</x:f>
        <x:v>12000</x:v>
      </x:c>
      <x:c r="P300" s="116" t="n">
        <x:f>Beallitasok!$B$5</x:f>
        <x:v>1.15</x:v>
      </x:c>
      <x:c r="Q300" s="113" t="n">
        <x:f>IFERROR(ROUND(O300*P300/Beallitasok!$B$7,0)*Beallitasok!$B$7,"")</x:f>
        <x:v>13800</x:v>
      </x:c>
      <x:c r="R300" s="113"/>
      <x:c r="S300" s="113" t="n">
        <x:f>IF(Q300="","",Q300+IF(R300="",0,R300))</x:f>
        <x:v>13800</x:v>
      </x:c>
      <x:c r="T300" s="113" t="n">
        <x:f>M300*Beallitasok!$B$4</x:f>
        <x:v>300000</x:v>
      </x:c>
      <x:c r="U300" s="115" t="n">
        <x:f>N300*Beallitasok!$B$4</x:f>
        <x:v>25</x:v>
      </x:c>
      <x:c r="V300" s="113"/>
      <x:c r="W300" s="113" t="str">
        <x:f>IF(V300="","",V300-J300)</x:f>
      </x:c>
      <x:c r="X300" s="19"/>
      <x:c r="Y300" s="113" t="n">
        <x:f>IF(S300="","",J300-S300)</x:f>
        <x:v>-5400</x:v>
      </x:c>
      <x:c r="Z300" s="19" t="str">
        <x:f>IF(AA300="IGEN",IF(J300&lt;S300,"GÉPIGÉNY + KRITIKUS: gépdíj nélkül is alacsony a plafon","GÉPIGÉNY: a saját egységár gépdíj nélkül értendő"),IF(J300&lt;S300,"KRITIKUS: alvállalkozói plafon &lt; saját terhelt egységköltség",IF(J300&lt;S300*Beallitasok!$B$6,"SZŰK TARTALÉK: 10% alatti tartalék","OK")))</x:f>
        <x:v>KRITIKUS: alvállalkozói plafon &lt; saját terhelt egységköltség</x:v>
      </x:c>
      <x:c r="AA300" s="19" t="str">
        <x:v>NEM</x:v>
      </x:c>
      <x:c r="AB300" s="19" t="str">
        <x:v>https://joszaki.hu/arak/vizhalozat-kiepites</x:v>
      </x:c>
      <x:c r="AC300" s="19" t="str">
        <x:v>2026 víz-/csatornaszerelési piaci alsó sáv és pontnorma</x:v>
      </x:c>
      <x:c r="AD300" s="19" t="str">
        <x:v>Szerelvény, csőanyag, falvésés, helyreállítás és kiszállás külön, ha nincs nevesítve.</x:v>
      </x:c>
    </x:row>
    <x:row r="301">
      <x:c r="A301" s="19" t="str">
        <x:v>AR-0300</x:v>
      </x:c>
      <x:c r="B301" s="19" t="str">
        <x:v>14 Épületgépészet</x:v>
      </x:c>
      <x:c r="C301" s="19" t="str">
        <x:v>Víz, csatorna, szaniter</x:v>
      </x:c>
      <x:c r="D301" s="19" t="str">
        <x:v>Mindegyik</x:v>
      </x:c>
      <x:c r="E301" s="19" t="str">
        <x:v>Mosdó felszerelése és szifon bekötése</x:v>
      </x:c>
      <x:c r="F301" s="19" t="str">
        <x:v>db</x:v>
      </x:c>
      <x:c r="G301" s="113" t="n">
        <x:v>10000</x:v>
      </x:c>
      <x:c r="H301" s="113" t="n">
        <x:v>15000</x:v>
      </x:c>
      <x:c r="I301" s="114" t="n">
        <x:v>0.6</x:v>
      </x:c>
      <x:c r="J301" s="113" t="n">
        <x:f>ROUND(H301*I301/Beallitasok!$B$7,0)*Beallitasok!$B$7</x:f>
        <x:v>9000</x:v>
      </x:c>
      <x:c r="K301" s="19" t="n">
        <x:v>1</x:v>
      </x:c>
      <x:c r="L301" s="19" t="n">
        <x:v>1</x:v>
      </x:c>
      <x:c r="M301" s="113" t="n">
        <x:f>K301*Beallitasok!$B$2+L301*Beallitasok!$B$3</x:f>
        <x:v>60000</x:v>
      </x:c>
      <x:c r="N301" s="115" t="n">
        <x:v>5</x:v>
      </x:c>
      <x:c r="O301" s="113" t="n">
        <x:f>IFERROR(M301/N301,"")</x:f>
        <x:v>12000</x:v>
      </x:c>
      <x:c r="P301" s="116" t="n">
        <x:f>Beallitasok!$B$5</x:f>
        <x:v>1.15</x:v>
      </x:c>
      <x:c r="Q301" s="113" t="n">
        <x:f>IFERROR(ROUND(O301*P301/Beallitasok!$B$7,0)*Beallitasok!$B$7,"")</x:f>
        <x:v>13800</x:v>
      </x:c>
      <x:c r="R301" s="113"/>
      <x:c r="S301" s="113" t="n">
        <x:f>IF(Q301="","",Q301+IF(R301="",0,R301))</x:f>
        <x:v>13800</x:v>
      </x:c>
      <x:c r="T301" s="113" t="n">
        <x:f>M301*Beallitasok!$B$4</x:f>
        <x:v>300000</x:v>
      </x:c>
      <x:c r="U301" s="115" t="n">
        <x:f>N301*Beallitasok!$B$4</x:f>
        <x:v>25</x:v>
      </x:c>
      <x:c r="V301" s="113"/>
      <x:c r="W301" s="113" t="str">
        <x:f>IF(V301="","",V301-J301)</x:f>
      </x:c>
      <x:c r="X301" s="19"/>
      <x:c r="Y301" s="113" t="n">
        <x:f>IF(S301="","",J301-S301)</x:f>
        <x:v>-4800</x:v>
      </x:c>
      <x:c r="Z301" s="19" t="str">
        <x:f>IF(AA301="IGEN",IF(J301&lt;S301,"GÉPIGÉNY + KRITIKUS: gépdíj nélkül is alacsony a plafon","GÉPIGÉNY: a saját egységár gépdíj nélkül értendő"),IF(J301&lt;S301,"KRITIKUS: alvállalkozói plafon &lt; saját terhelt egységköltség",IF(J301&lt;S301*Beallitasok!$B$6,"SZŰK TARTALÉK: 10% alatti tartalék","OK")))</x:f>
        <x:v>KRITIKUS: alvállalkozói plafon &lt; saját terhelt egységköltség</x:v>
      </x:c>
      <x:c r="AA301" s="19" t="str">
        <x:v>NEM</x:v>
      </x:c>
      <x:c r="AB301" s="19" t="str">
        <x:v>https://joszaki.hu/arak/vizhalozat-kiepites</x:v>
      </x:c>
      <x:c r="AC301" s="19" t="str">
        <x:v>2026 víz-/csatornaszerelési piaci alsó sáv és pontnorma</x:v>
      </x:c>
      <x:c r="AD301" s="19" t="str">
        <x:v>Szerelvény, csőanyag, falvésés, helyreállítás és kiszállás külön, ha nincs nevesítve.</x:v>
      </x:c>
    </x:row>
    <x:row r="302">
      <x:c r="A302" s="19" t="str">
        <x:v>AR-0301</x:v>
      </x:c>
      <x:c r="B302" s="19" t="str">
        <x:v>14 Épületgépészet</x:v>
      </x:c>
      <x:c r="C302" s="19" t="str">
        <x:v>Víz, csatorna, szaniter</x:v>
      </x:c>
      <x:c r="D302" s="19" t="str">
        <x:v>Mindegyik</x:v>
      </x:c>
      <x:c r="E302" s="19" t="str">
        <x:v>Mosogató bekötése</x:v>
      </x:c>
      <x:c r="F302" s="19" t="str">
        <x:v>db</x:v>
      </x:c>
      <x:c r="G302" s="113" t="n">
        <x:v>9000</x:v>
      </x:c>
      <x:c r="H302" s="113" t="n">
        <x:v>14000</x:v>
      </x:c>
      <x:c r="I302" s="114" t="n">
        <x:v>0.6</x:v>
      </x:c>
      <x:c r="J302" s="113" t="n">
        <x:f>ROUND(H302*I302/Beallitasok!$B$7,0)*Beallitasok!$B$7</x:f>
        <x:v>8400</x:v>
      </x:c>
      <x:c r="K302" s="19" t="n">
        <x:v>1</x:v>
      </x:c>
      <x:c r="L302" s="19" t="n">
        <x:v>1</x:v>
      </x:c>
      <x:c r="M302" s="113" t="n">
        <x:f>K302*Beallitasok!$B$2+L302*Beallitasok!$B$3</x:f>
        <x:v>60000</x:v>
      </x:c>
      <x:c r="N302" s="115" t="n">
        <x:v>5</x:v>
      </x:c>
      <x:c r="O302" s="113" t="n">
        <x:f>IFERROR(M302/N302,"")</x:f>
        <x:v>12000</x:v>
      </x:c>
      <x:c r="P302" s="116" t="n">
        <x:f>Beallitasok!$B$5</x:f>
        <x:v>1.15</x:v>
      </x:c>
      <x:c r="Q302" s="113" t="n">
        <x:f>IFERROR(ROUND(O302*P302/Beallitasok!$B$7,0)*Beallitasok!$B$7,"")</x:f>
        <x:v>13800</x:v>
      </x:c>
      <x:c r="R302" s="113"/>
      <x:c r="S302" s="113" t="n">
        <x:f>IF(Q302="","",Q302+IF(R302="",0,R302))</x:f>
        <x:v>13800</x:v>
      </x:c>
      <x:c r="T302" s="113" t="n">
        <x:f>M302*Beallitasok!$B$4</x:f>
        <x:v>300000</x:v>
      </x:c>
      <x:c r="U302" s="115" t="n">
        <x:f>N302*Beallitasok!$B$4</x:f>
        <x:v>25</x:v>
      </x:c>
      <x:c r="V302" s="113"/>
      <x:c r="W302" s="113" t="str">
        <x:f>IF(V302="","",V302-J302)</x:f>
      </x:c>
      <x:c r="X302" s="19"/>
      <x:c r="Y302" s="113" t="n">
        <x:f>IF(S302="","",J302-S302)</x:f>
        <x:v>-5400</x:v>
      </x:c>
      <x:c r="Z302" s="19" t="str">
        <x:f>IF(AA302="IGEN",IF(J302&lt;S302,"GÉPIGÉNY + KRITIKUS: gépdíj nélkül is alacsony a plafon","GÉPIGÉNY: a saját egységár gépdíj nélkül értendő"),IF(J302&lt;S302,"KRITIKUS: alvállalkozói plafon &lt; saját terhelt egységköltség",IF(J302&lt;S302*Beallitasok!$B$6,"SZŰK TARTALÉK: 10% alatti tartalék","OK")))</x:f>
        <x:v>KRITIKUS: alvállalkozói plafon &lt; saját terhelt egységköltség</x:v>
      </x:c>
      <x:c r="AA302" s="19" t="str">
        <x:v>NEM</x:v>
      </x:c>
      <x:c r="AB302" s="19" t="str">
        <x:v>https://joszaki.hu/arak/vizhalozat-kiepites</x:v>
      </x:c>
      <x:c r="AC302" s="19" t="str">
        <x:v>2026 víz-/csatornaszerelési piaci alsó sáv és pontnorma</x:v>
      </x:c>
      <x:c r="AD302" s="19" t="str">
        <x:v>Szerelvény, csőanyag, falvésés, helyreállítás és kiszállás külön, ha nincs nevesítve.</x:v>
      </x:c>
    </x:row>
    <x:row r="303">
      <x:c r="A303" s="19" t="str">
        <x:v>AR-0302</x:v>
      </x:c>
      <x:c r="B303" s="19" t="str">
        <x:v>14 Épületgépészet</x:v>
      </x:c>
      <x:c r="C303" s="19" t="str">
        <x:v>Víz, csatorna, szaniter</x:v>
      </x:c>
      <x:c r="D303" s="19" t="str">
        <x:v>Mindegyik</x:v>
      </x:c>
      <x:c r="E303" s="19" t="str">
        <x:v>Kád beállítása és bekötése</x:v>
      </x:c>
      <x:c r="F303" s="19" t="str">
        <x:v>db</x:v>
      </x:c>
      <x:c r="G303" s="113" t="n">
        <x:v>22000</x:v>
      </x:c>
      <x:c r="H303" s="113" t="n">
        <x:v>33000</x:v>
      </x:c>
      <x:c r="I303" s="114" t="n">
        <x:v>0.6</x:v>
      </x:c>
      <x:c r="J303" s="113" t="n">
        <x:f>ROUND(H303*I303/Beallitasok!$B$7,0)*Beallitasok!$B$7</x:f>
        <x:v>19800</x:v>
      </x:c>
      <x:c r="K303" s="19" t="n">
        <x:v>2</x:v>
      </x:c>
      <x:c r="L303" s="19" t="n">
        <x:v>1</x:v>
      </x:c>
      <x:c r="M303" s="113" t="n">
        <x:f>K303*Beallitasok!$B$2+L303*Beallitasok!$B$3</x:f>
        <x:v>95000</x:v>
      </x:c>
      <x:c r="N303" s="115" t="n">
        <x:v>2</x:v>
      </x:c>
      <x:c r="O303" s="113" t="n">
        <x:f>IFERROR(M303/N303,"")</x:f>
        <x:v>47500</x:v>
      </x:c>
      <x:c r="P303" s="116" t="n">
        <x:f>Beallitasok!$B$5</x:f>
        <x:v>1.15</x:v>
      </x:c>
      <x:c r="Q303" s="113" t="n">
        <x:f>IFERROR(ROUND(O303*P303/Beallitasok!$B$7,0)*Beallitasok!$B$7,"")</x:f>
        <x:v>54600</x:v>
      </x:c>
      <x:c r="R303" s="113"/>
      <x:c r="S303" s="113" t="n">
        <x:f>IF(Q303="","",Q303+IF(R303="",0,R303))</x:f>
        <x:v>54600</x:v>
      </x:c>
      <x:c r="T303" s="113" t="n">
        <x:f>M303*Beallitasok!$B$4</x:f>
        <x:v>475000</x:v>
      </x:c>
      <x:c r="U303" s="115" t="n">
        <x:f>N303*Beallitasok!$B$4</x:f>
        <x:v>10</x:v>
      </x:c>
      <x:c r="V303" s="113"/>
      <x:c r="W303" s="113" t="str">
        <x:f>IF(V303="","",V303-J303)</x:f>
      </x:c>
      <x:c r="X303" s="19"/>
      <x:c r="Y303" s="113" t="n">
        <x:f>IF(S303="","",J303-S303)</x:f>
        <x:v>-34800</x:v>
      </x:c>
      <x:c r="Z303" s="19" t="str">
        <x:f>IF(AA303="IGEN",IF(J303&lt;S303,"GÉPIGÉNY + KRITIKUS: gépdíj nélkül is alacsony a plafon","GÉPIGÉNY: a saját egységár gépdíj nélkül értendő"),IF(J303&lt;S303,"KRITIKUS: alvállalkozói plafon &lt; saját terhelt egységköltség",IF(J303&lt;S303*Beallitasok!$B$6,"SZŰK TARTALÉK: 10% alatti tartalék","OK")))</x:f>
        <x:v>KRITIKUS: alvállalkozói plafon &lt; saját terhelt egységköltség</x:v>
      </x:c>
      <x:c r="AA303" s="19" t="str">
        <x:v>NEM</x:v>
      </x:c>
      <x:c r="AB303" s="19" t="str">
        <x:v>https://joszaki.hu/arak/vizhalozat-kiepites</x:v>
      </x:c>
      <x:c r="AC303" s="19" t="str">
        <x:v>2026 víz-/csatornaszerelési piaci alsó sáv és pontnorma</x:v>
      </x:c>
      <x:c r="AD303" s="19" t="str">
        <x:v>Szerelvény, csőanyag, falvésés, helyreállítás és kiszállás külön, ha nincs nevesítve.</x:v>
      </x:c>
    </x:row>
    <x:row r="304">
      <x:c r="A304" s="19" t="str">
        <x:v>AR-0303</x:v>
      </x:c>
      <x:c r="B304" s="19" t="str">
        <x:v>14 Épületgépészet</x:v>
      </x:c>
      <x:c r="C304" s="19" t="str">
        <x:v>Víz, csatorna, szaniter</x:v>
      </x:c>
      <x:c r="D304" s="19" t="str">
        <x:v>Mindegyik</x:v>
      </x:c>
      <x:c r="E304" s="19" t="str">
        <x:v>Zuhanytálca beállítása és bekötése</x:v>
      </x:c>
      <x:c r="F304" s="19" t="str">
        <x:v>db</x:v>
      </x:c>
      <x:c r="G304" s="113" t="n">
        <x:v>18000</x:v>
      </x:c>
      <x:c r="H304" s="113" t="n">
        <x:v>28000</x:v>
      </x:c>
      <x:c r="I304" s="114" t="n">
        <x:v>0.6</x:v>
      </x:c>
      <x:c r="J304" s="113" t="n">
        <x:f>ROUND(H304*I304/Beallitasok!$B$7,0)*Beallitasok!$B$7</x:f>
        <x:v>16800</x:v>
      </x:c>
      <x:c r="K304" s="19" t="n">
        <x:v>2</x:v>
      </x:c>
      <x:c r="L304" s="19" t="n">
        <x:v>1</x:v>
      </x:c>
      <x:c r="M304" s="113" t="n">
        <x:f>K304*Beallitasok!$B$2+L304*Beallitasok!$B$3</x:f>
        <x:v>95000</x:v>
      </x:c>
      <x:c r="N304" s="115" t="n">
        <x:v>2.5</x:v>
      </x:c>
      <x:c r="O304" s="113" t="n">
        <x:f>IFERROR(M304/N304,"")</x:f>
        <x:v>38000</x:v>
      </x:c>
      <x:c r="P304" s="116" t="n">
        <x:f>Beallitasok!$B$5</x:f>
        <x:v>1.15</x:v>
      </x:c>
      <x:c r="Q304" s="113" t="n">
        <x:f>IFERROR(ROUND(O304*P304/Beallitasok!$B$7,0)*Beallitasok!$B$7,"")</x:f>
        <x:v>43700</x:v>
      </x:c>
      <x:c r="R304" s="113"/>
      <x:c r="S304" s="113" t="n">
        <x:f>IF(Q304="","",Q304+IF(R304="",0,R304))</x:f>
        <x:v>43700</x:v>
      </x:c>
      <x:c r="T304" s="113" t="n">
        <x:f>M304*Beallitasok!$B$4</x:f>
        <x:v>475000</x:v>
      </x:c>
      <x:c r="U304" s="115" t="n">
        <x:f>N304*Beallitasok!$B$4</x:f>
        <x:v>12.5</x:v>
      </x:c>
      <x:c r="V304" s="113"/>
      <x:c r="W304" s="113" t="str">
        <x:f>IF(V304="","",V304-J304)</x:f>
      </x:c>
      <x:c r="X304" s="19"/>
      <x:c r="Y304" s="113" t="n">
        <x:f>IF(S304="","",J304-S304)</x:f>
        <x:v>-26900</x:v>
      </x:c>
      <x:c r="Z304" s="19" t="str">
        <x:f>IF(AA304="IGEN",IF(J304&lt;S304,"GÉPIGÉNY + KRITIKUS: gépdíj nélkül is alacsony a plafon","GÉPIGÉNY: a saját egységár gépdíj nélkül értendő"),IF(J304&lt;S304,"KRITIKUS: alvállalkozói plafon &lt; saját terhelt egységköltség",IF(J304&lt;S304*Beallitasok!$B$6,"SZŰK TARTALÉK: 10% alatti tartalék","OK")))</x:f>
        <x:v>KRITIKUS: alvállalkozói plafon &lt; saját terhelt egységköltség</x:v>
      </x:c>
      <x:c r="AA304" s="19" t="str">
        <x:v>NEM</x:v>
      </x:c>
      <x:c r="AB304" s="19" t="str">
        <x:v>https://joszaki.hu/arak/vizhalozat-kiepites</x:v>
      </x:c>
      <x:c r="AC304" s="19" t="str">
        <x:v>2026 víz-/csatornaszerelési piaci alsó sáv és pontnorma</x:v>
      </x:c>
      <x:c r="AD304" s="19" t="str">
        <x:v>Szerelvény, csőanyag, falvésés, helyreállítás és kiszállás külön, ha nincs nevesítve.</x:v>
      </x:c>
    </x:row>
    <x:row r="305">
      <x:c r="A305" s="19" t="str">
        <x:v>AR-0304</x:v>
      </x:c>
      <x:c r="B305" s="19" t="str">
        <x:v>14 Épületgépészet</x:v>
      </x:c>
      <x:c r="C305" s="19" t="str">
        <x:v>Víz, csatorna, szaniter</x:v>
      </x:c>
      <x:c r="D305" s="19" t="str">
        <x:v>Mindegyik</x:v>
      </x:c>
      <x:c r="E305" s="19" t="str">
        <x:v>Épített zuhany folyóka beépítése</x:v>
      </x:c>
      <x:c r="F305" s="19" t="str">
        <x:v>db</x:v>
      </x:c>
      <x:c r="G305" s="113" t="n">
        <x:v>18000</x:v>
      </x:c>
      <x:c r="H305" s="113" t="n">
        <x:v>28000</x:v>
      </x:c>
      <x:c r="I305" s="114" t="n">
        <x:v>0.6</x:v>
      </x:c>
      <x:c r="J305" s="113" t="n">
        <x:f>ROUND(H305*I305/Beallitasok!$B$7,0)*Beallitasok!$B$7</x:f>
        <x:v>16800</x:v>
      </x:c>
      <x:c r="K305" s="19" t="n">
        <x:v>2</x:v>
      </x:c>
      <x:c r="L305" s="19" t="n">
        <x:v>1</x:v>
      </x:c>
      <x:c r="M305" s="113" t="n">
        <x:f>K305*Beallitasok!$B$2+L305*Beallitasok!$B$3</x:f>
        <x:v>95000</x:v>
      </x:c>
      <x:c r="N305" s="115" t="n">
        <x:v>2.5</x:v>
      </x:c>
      <x:c r="O305" s="113" t="n">
        <x:f>IFERROR(M305/N305,"")</x:f>
        <x:v>38000</x:v>
      </x:c>
      <x:c r="P305" s="116" t="n">
        <x:f>Beallitasok!$B$5</x:f>
        <x:v>1.15</x:v>
      </x:c>
      <x:c r="Q305" s="113" t="n">
        <x:f>IFERROR(ROUND(O305*P305/Beallitasok!$B$7,0)*Beallitasok!$B$7,"")</x:f>
        <x:v>43700</x:v>
      </x:c>
      <x:c r="R305" s="113"/>
      <x:c r="S305" s="113" t="n">
        <x:f>IF(Q305="","",Q305+IF(R305="",0,R305))</x:f>
        <x:v>43700</x:v>
      </x:c>
      <x:c r="T305" s="113" t="n">
        <x:f>M305*Beallitasok!$B$4</x:f>
        <x:v>475000</x:v>
      </x:c>
      <x:c r="U305" s="115" t="n">
        <x:f>N305*Beallitasok!$B$4</x:f>
        <x:v>12.5</x:v>
      </x:c>
      <x:c r="V305" s="113"/>
      <x:c r="W305" s="113" t="str">
        <x:f>IF(V305="","",V305-J305)</x:f>
      </x:c>
      <x:c r="X305" s="19"/>
      <x:c r="Y305" s="113" t="n">
        <x:f>IF(S305="","",J305-S305)</x:f>
        <x:v>-26900</x:v>
      </x:c>
      <x:c r="Z305" s="19" t="str">
        <x:f>IF(AA305="IGEN",IF(J305&lt;S305,"GÉPIGÉNY + KRITIKUS: gépdíj nélkül is alacsony a plafon","GÉPIGÉNY: a saját egységár gépdíj nélkül értendő"),IF(J305&lt;S305,"KRITIKUS: alvállalkozói plafon &lt; saját terhelt egységköltség",IF(J305&lt;S305*Beallitasok!$B$6,"SZŰK TARTALÉK: 10% alatti tartalék","OK")))</x:f>
        <x:v>KRITIKUS: alvállalkozói plafon &lt; saját terhelt egységköltség</x:v>
      </x:c>
      <x:c r="AA305" s="19" t="str">
        <x:v>NEM</x:v>
      </x:c>
      <x:c r="AB305" s="19" t="str">
        <x:v>https://joszaki.hu/arak/vizhalozat-kiepites</x:v>
      </x:c>
      <x:c r="AC305" s="19" t="str">
        <x:v>2026 víz-/csatornaszerelési piaci alsó sáv és pontnorma</x:v>
      </x:c>
      <x:c r="AD305" s="19" t="str">
        <x:v>Szerelvény, csőanyag, falvésés, helyreállítás és kiszállás külön, ha nincs nevesítve.</x:v>
      </x:c>
    </x:row>
    <x:row r="306">
      <x:c r="A306" s="19" t="str">
        <x:v>AR-0305</x:v>
      </x:c>
      <x:c r="B306" s="19" t="str">
        <x:v>14 Épületgépészet</x:v>
      </x:c>
      <x:c r="C306" s="19" t="str">
        <x:v>Víz, csatorna, szaniter</x:v>
      </x:c>
      <x:c r="D306" s="19" t="str">
        <x:v>Mindegyik</x:v>
      </x:c>
      <x:c r="E306" s="19" t="str">
        <x:v>Csaptelep felszerelése meglévő kiállásra</x:v>
      </x:c>
      <x:c r="F306" s="19" t="str">
        <x:v>db</x:v>
      </x:c>
      <x:c r="G306" s="113" t="n">
        <x:v>7000</x:v>
      </x:c>
      <x:c r="H306" s="113" t="n">
        <x:v>10500</x:v>
      </x:c>
      <x:c r="I306" s="114" t="n">
        <x:v>0.6</x:v>
      </x:c>
      <x:c r="J306" s="113" t="n">
        <x:f>ROUND(H306*I306/Beallitasok!$B$7,0)*Beallitasok!$B$7</x:f>
        <x:v>6300</x:v>
      </x:c>
      <x:c r="K306" s="19" t="n">
        <x:v>1</x:v>
      </x:c>
      <x:c r="L306" s="19" t="n">
        <x:v>1</x:v>
      </x:c>
      <x:c r="M306" s="113" t="n">
        <x:f>K306*Beallitasok!$B$2+L306*Beallitasok!$B$3</x:f>
        <x:v>60000</x:v>
      </x:c>
      <x:c r="N306" s="115" t="n">
        <x:v>6</x:v>
      </x:c>
      <x:c r="O306" s="113" t="n">
        <x:f>IFERROR(M306/N306,"")</x:f>
        <x:v>10000</x:v>
      </x:c>
      <x:c r="P306" s="116" t="n">
        <x:f>Beallitasok!$B$5</x:f>
        <x:v>1.15</x:v>
      </x:c>
      <x:c r="Q306" s="113" t="n">
        <x:f>IFERROR(ROUND(O306*P306/Beallitasok!$B$7,0)*Beallitasok!$B$7,"")</x:f>
        <x:v>11500</x:v>
      </x:c>
      <x:c r="R306" s="113"/>
      <x:c r="S306" s="113" t="n">
        <x:f>IF(Q306="","",Q306+IF(R306="",0,R306))</x:f>
        <x:v>11500</x:v>
      </x:c>
      <x:c r="T306" s="113" t="n">
        <x:f>M306*Beallitasok!$B$4</x:f>
        <x:v>300000</x:v>
      </x:c>
      <x:c r="U306" s="115" t="n">
        <x:f>N306*Beallitasok!$B$4</x:f>
        <x:v>30</x:v>
      </x:c>
      <x:c r="V306" s="113"/>
      <x:c r="W306" s="113" t="str">
        <x:f>IF(V306="","",V306-J306)</x:f>
      </x:c>
      <x:c r="X306" s="19"/>
      <x:c r="Y306" s="113" t="n">
        <x:f>IF(S306="","",J306-S306)</x:f>
        <x:v>-5200</x:v>
      </x:c>
      <x:c r="Z306" s="19" t="str">
        <x:f>IF(AA306="IGEN",IF(J306&lt;S306,"GÉPIGÉNY + KRITIKUS: gépdíj nélkül is alacsony a plafon","GÉPIGÉNY: a saját egységár gépdíj nélkül értendő"),IF(J306&lt;S306,"KRITIKUS: alvállalkozói plafon &lt; saját terhelt egységköltség",IF(J306&lt;S306*Beallitasok!$B$6,"SZŰK TARTALÉK: 10% alatti tartalék","OK")))</x:f>
        <x:v>KRITIKUS: alvállalkozói plafon &lt; saját terhelt egységköltség</x:v>
      </x:c>
      <x:c r="AA306" s="19" t="str">
        <x:v>NEM</x:v>
      </x:c>
      <x:c r="AB306" s="19" t="str">
        <x:v>https://joszaki.hu/arak/vizhalozat-kiepites</x:v>
      </x:c>
      <x:c r="AC306" s="19" t="str">
        <x:v>2026 víz-/csatornaszerelési piaci alsó sáv és pontnorma</x:v>
      </x:c>
      <x:c r="AD306" s="19" t="str">
        <x:v>Szerelvény, csőanyag, falvésés, helyreállítás és kiszállás külön, ha nincs nevesítve.</x:v>
      </x:c>
    </x:row>
    <x:row r="307">
      <x:c r="A307" s="19" t="str">
        <x:v>AR-0306</x:v>
      </x:c>
      <x:c r="B307" s="19" t="str">
        <x:v>14 Épületgépészet</x:v>
      </x:c>
      <x:c r="C307" s="19" t="str">
        <x:v>Víz, csatorna, szaniter</x:v>
      </x:c>
      <x:c r="D307" s="19" t="str">
        <x:v>Mindegyik</x:v>
      </x:c>
      <x:c r="E307" s="19" t="str">
        <x:v>Mosógép/mosogatógép víz- és lefolyócsatlakozás</x:v>
      </x:c>
      <x:c r="F307" s="19" t="str">
        <x:v>db</x:v>
      </x:c>
      <x:c r="G307" s="113" t="n">
        <x:v>6500</x:v>
      </x:c>
      <x:c r="H307" s="113" t="n">
        <x:v>9500</x:v>
      </x:c>
      <x:c r="I307" s="114" t="n">
        <x:v>0.6</x:v>
      </x:c>
      <x:c r="J307" s="113" t="n">
        <x:f>ROUND(H307*I307/Beallitasok!$B$7,0)*Beallitasok!$B$7</x:f>
        <x:v>5700</x:v>
      </x:c>
      <x:c r="K307" s="19" t="n">
        <x:v>1</x:v>
      </x:c>
      <x:c r="L307" s="19" t="n">
        <x:v>1</x:v>
      </x:c>
      <x:c r="M307" s="113" t="n">
        <x:f>K307*Beallitasok!$B$2+L307*Beallitasok!$B$3</x:f>
        <x:v>60000</x:v>
      </x:c>
      <x:c r="N307" s="115" t="n">
        <x:v>7</x:v>
      </x:c>
      <x:c r="O307" s="113" t="n">
        <x:f>IFERROR(M307/N307,"")</x:f>
        <x:v>8571.42857142857</x:v>
      </x:c>
      <x:c r="P307" s="116" t="n">
        <x:f>Beallitasok!$B$5</x:f>
        <x:v>1.15</x:v>
      </x:c>
      <x:c r="Q307" s="113" t="n">
        <x:f>IFERROR(ROUND(O307*P307/Beallitasok!$B$7,0)*Beallitasok!$B$7,"")</x:f>
        <x:v>9850</x:v>
      </x:c>
      <x:c r="R307" s="113"/>
      <x:c r="S307" s="113" t="n">
        <x:f>IF(Q307="","",Q307+IF(R307="",0,R307))</x:f>
        <x:v>9850</x:v>
      </x:c>
      <x:c r="T307" s="113" t="n">
        <x:f>M307*Beallitasok!$B$4</x:f>
        <x:v>300000</x:v>
      </x:c>
      <x:c r="U307" s="115" t="n">
        <x:f>N307*Beallitasok!$B$4</x:f>
        <x:v>35</x:v>
      </x:c>
      <x:c r="V307" s="113"/>
      <x:c r="W307" s="113" t="str">
        <x:f>IF(V307="","",V307-J307)</x:f>
      </x:c>
      <x:c r="X307" s="19"/>
      <x:c r="Y307" s="113" t="n">
        <x:f>IF(S307="","",J307-S307)</x:f>
        <x:v>-4150</x:v>
      </x:c>
      <x:c r="Z307" s="19" t="str">
        <x:f>IF(AA307="IGEN",IF(J307&lt;S307,"GÉPIGÉNY + KRITIKUS: gépdíj nélkül is alacsony a plafon","GÉPIGÉNY: a saját egységár gépdíj nélkül értendő"),IF(J307&lt;S307,"KRITIKUS: alvállalkozói plafon &lt; saját terhelt egységköltség",IF(J307&lt;S307*Beallitasok!$B$6,"SZŰK TARTALÉK: 10% alatti tartalék","OK")))</x:f>
        <x:v>KRITIKUS: alvállalkozói plafon &lt; saját terhelt egységköltség</x:v>
      </x:c>
      <x:c r="AA307" s="19" t="str">
        <x:v>NEM</x:v>
      </x:c>
      <x:c r="AB307" s="19" t="str">
        <x:v>https://joszaki.hu/arak/vizhalozat-kiepites</x:v>
      </x:c>
      <x:c r="AC307" s="19" t="str">
        <x:v>2026 víz-/csatornaszerelési piaci alsó sáv és pontnorma</x:v>
      </x:c>
      <x:c r="AD307" s="19" t="str">
        <x:v>Szerelvény, csőanyag, falvésés, helyreállítás és kiszállás külön, ha nincs nevesítve.</x:v>
      </x:c>
    </x:row>
    <x:row r="308">
      <x:c r="A308" s="19" t="str">
        <x:v>AR-0307</x:v>
      </x:c>
      <x:c r="B308" s="19" t="str">
        <x:v>14 Épületgépészet</x:v>
      </x:c>
      <x:c r="C308" s="19" t="str">
        <x:v>Víz, csatorna, szaniter</x:v>
      </x:c>
      <x:c r="D308" s="19" t="str">
        <x:v>Mindegyik</x:v>
      </x:c>
      <x:c r="E308" s="19" t="str">
        <x:v>Villanybojler falra szerelése és vízoldali bekötése</x:v>
      </x:c>
      <x:c r="F308" s="19" t="str">
        <x:v>db</x:v>
      </x:c>
      <x:c r="G308" s="113" t="n">
        <x:v>20000</x:v>
      </x:c>
      <x:c r="H308" s="113" t="n">
        <x:v>30000</x:v>
      </x:c>
      <x:c r="I308" s="114" t="n">
        <x:v>0.6</x:v>
      </x:c>
      <x:c r="J308" s="113" t="n">
        <x:f>ROUND(H308*I308/Beallitasok!$B$7,0)*Beallitasok!$B$7</x:f>
        <x:v>18000</x:v>
      </x:c>
      <x:c r="K308" s="19" t="n">
        <x:v>2</x:v>
      </x:c>
      <x:c r="L308" s="19" t="n">
        <x:v>1</x:v>
      </x:c>
      <x:c r="M308" s="113" t="n">
        <x:f>K308*Beallitasok!$B$2+L308*Beallitasok!$B$3</x:f>
        <x:v>95000</x:v>
      </x:c>
      <x:c r="N308" s="115" t="n">
        <x:v>2</x:v>
      </x:c>
      <x:c r="O308" s="113" t="n">
        <x:f>IFERROR(M308/N308,"")</x:f>
        <x:v>47500</x:v>
      </x:c>
      <x:c r="P308" s="116" t="n">
        <x:f>Beallitasok!$B$5</x:f>
        <x:v>1.15</x:v>
      </x:c>
      <x:c r="Q308" s="113" t="n">
        <x:f>IFERROR(ROUND(O308*P308/Beallitasok!$B$7,0)*Beallitasok!$B$7,"")</x:f>
        <x:v>54600</x:v>
      </x:c>
      <x:c r="R308" s="113"/>
      <x:c r="S308" s="113" t="n">
        <x:f>IF(Q308="","",Q308+IF(R308="",0,R308))</x:f>
        <x:v>54600</x:v>
      </x:c>
      <x:c r="T308" s="113" t="n">
        <x:f>M308*Beallitasok!$B$4</x:f>
        <x:v>475000</x:v>
      </x:c>
      <x:c r="U308" s="115" t="n">
        <x:f>N308*Beallitasok!$B$4</x:f>
        <x:v>10</x:v>
      </x:c>
      <x:c r="V308" s="113"/>
      <x:c r="W308" s="113" t="str">
        <x:f>IF(V308="","",V308-J308)</x:f>
      </x:c>
      <x:c r="X308" s="19"/>
      <x:c r="Y308" s="113" t="n">
        <x:f>IF(S308="","",J308-S308)</x:f>
        <x:v>-36600</x:v>
      </x:c>
      <x:c r="Z308" s="19" t="str">
        <x:f>IF(AA308="IGEN",IF(J308&lt;S308,"GÉPIGÉNY + KRITIKUS: gépdíj nélkül is alacsony a plafon","GÉPIGÉNY: a saját egységár gépdíj nélkül értendő"),IF(J308&lt;S308,"KRITIKUS: alvállalkozói plafon &lt; saját terhelt egységköltség",IF(J308&lt;S308*Beallitasok!$B$6,"SZŰK TARTALÉK: 10% alatti tartalék","OK")))</x:f>
        <x:v>KRITIKUS: alvállalkozói plafon &lt; saját terhelt egységköltség</x:v>
      </x:c>
      <x:c r="AA308" s="19" t="str">
        <x:v>NEM</x:v>
      </x:c>
      <x:c r="AB308" s="19" t="str">
        <x:v>https://joszaki.hu/arak/vizhalozat-kiepites</x:v>
      </x:c>
      <x:c r="AC308" s="19" t="str">
        <x:v>2026 víz-/csatornaszerelési piaci alsó sáv és pontnorma</x:v>
      </x:c>
      <x:c r="AD308" s="19" t="str">
        <x:v>Szerelvény, csőanyag, falvésés, helyreállítás és kiszállás külön, ha nincs nevesítve.</x:v>
      </x:c>
    </x:row>
    <x:row r="309">
      <x:c r="A309" s="19" t="str">
        <x:v>AR-0308</x:v>
      </x:c>
      <x:c r="B309" s="19" t="str">
        <x:v>14 Épületgépészet</x:v>
      </x:c>
      <x:c r="C309" s="19" t="str">
        <x:v>Víz, csatorna, szaniter</x:v>
      </x:c>
      <x:c r="D309" s="19" t="str">
        <x:v>Mindegyik</x:v>
      </x:c>
      <x:c r="E309" s="19" t="str">
        <x:v>Vízlágyító hidraulikai bekötése</x:v>
      </x:c>
      <x:c r="F309" s="19" t="str">
        <x:v>db</x:v>
      </x:c>
      <x:c r="G309" s="113" t="n">
        <x:v>35000</x:v>
      </x:c>
      <x:c r="H309" s="113" t="n">
        <x:v>52000</x:v>
      </x:c>
      <x:c r="I309" s="114" t="n">
        <x:v>0.65</x:v>
      </x:c>
      <x:c r="J309" s="113" t="n">
        <x:f>ROUND(H309*I309/Beallitasok!$B$7,0)*Beallitasok!$B$7</x:f>
        <x:v>33800</x:v>
      </x:c>
      <x:c r="K309" s="19" t="n">
        <x:v>2</x:v>
      </x:c>
      <x:c r="L309" s="19" t="n">
        <x:v>1</x:v>
      </x:c>
      <x:c r="M309" s="113" t="n">
        <x:f>K309*Beallitasok!$B$2+L309*Beallitasok!$B$3</x:f>
        <x:v>95000</x:v>
      </x:c>
      <x:c r="N309" s="115" t="n">
        <x:v>1.5</x:v>
      </x:c>
      <x:c r="O309" s="113" t="n">
        <x:f>IFERROR(M309/N309,"")</x:f>
        <x:v>63333.333333333336</x:v>
      </x:c>
      <x:c r="P309" s="116" t="n">
        <x:f>Beallitasok!$B$5</x:f>
        <x:v>1.15</x:v>
      </x:c>
      <x:c r="Q309" s="113" t="n">
        <x:f>IFERROR(ROUND(O309*P309/Beallitasok!$B$7,0)*Beallitasok!$B$7,"")</x:f>
        <x:v>72850</x:v>
      </x:c>
      <x:c r="R309" s="113"/>
      <x:c r="S309" s="113" t="n">
        <x:f>IF(Q309="","",Q309+IF(R309="",0,R309))</x:f>
        <x:v>72850</x:v>
      </x:c>
      <x:c r="T309" s="113" t="n">
        <x:f>M309*Beallitasok!$B$4</x:f>
        <x:v>475000</x:v>
      </x:c>
      <x:c r="U309" s="115" t="n">
        <x:f>N309*Beallitasok!$B$4</x:f>
        <x:v>7.5</x:v>
      </x:c>
      <x:c r="V309" s="113"/>
      <x:c r="W309" s="113" t="str">
        <x:f>IF(V309="","",V309-J309)</x:f>
      </x:c>
      <x:c r="X309" s="19"/>
      <x:c r="Y309" s="113" t="n">
        <x:f>IF(S309="","",J309-S309)</x:f>
        <x:v>-39050</x:v>
      </x:c>
      <x:c r="Z309" s="19" t="str">
        <x:f>IF(AA309="IGEN",IF(J309&lt;S309,"GÉPIGÉNY + KRITIKUS: gépdíj nélkül is alacsony a plafon","GÉPIGÉNY: a saját egységár gépdíj nélkül értendő"),IF(J309&lt;S309,"KRITIKUS: alvállalkozói plafon &lt; saját terhelt egységköltség",IF(J309&lt;S309*Beallitasok!$B$6,"SZŰK TARTALÉK: 10% alatti tartalék","OK")))</x:f>
        <x:v>KRITIKUS: alvállalkozói plafon &lt; saját terhelt egységköltség</x:v>
      </x:c>
      <x:c r="AA309" s="19" t="str">
        <x:v>NEM</x:v>
      </x:c>
      <x:c r="AB309" s="19" t="str">
        <x:v>https://joszaki.hu/arak/vizhalozat-kiepites</x:v>
      </x:c>
      <x:c r="AC309" s="19" t="str">
        <x:v>2026 víz-/csatornaszerelési piaci alsó sáv és pontnorma</x:v>
      </x:c>
      <x:c r="AD309" s="19" t="str">
        <x:v>Szerelvény, csőanyag, falvésés, helyreállítás és kiszállás külön, ha nincs nevesítve.</x:v>
      </x:c>
    </x:row>
    <x:row r="310">
      <x:c r="A310" s="19" t="str">
        <x:v>AR-0309</x:v>
      </x:c>
      <x:c r="B310" s="19" t="str">
        <x:v>14 Épületgépészet</x:v>
      </x:c>
      <x:c r="C310" s="19" t="str">
        <x:v>Víz, csatorna, szaniter</x:v>
      </x:c>
      <x:c r="D310" s="19" t="str">
        <x:v>Mindegyik</x:v>
      </x:c>
      <x:c r="E310" s="19" t="str">
        <x:v>Nyomáspróba és jegyzőkönyvezés családi háznál</x:v>
      </x:c>
      <x:c r="F310" s="19" t="str">
        <x:v>rendszer</x:v>
      </x:c>
      <x:c r="G310" s="113" t="n">
        <x:v>45000</x:v>
      </x:c>
      <x:c r="H310" s="113" t="n">
        <x:v>65000</x:v>
      </x:c>
      <x:c r="I310" s="114" t="n">
        <x:v>0.65</x:v>
      </x:c>
      <x:c r="J310" s="113" t="n">
        <x:f>ROUND(H310*I310/Beallitasok!$B$7,0)*Beallitasok!$B$7</x:f>
        <x:v>42250</x:v>
      </x:c>
      <x:c r="K310" s="19" t="n">
        <x:v>2</x:v>
      </x:c>
      <x:c r="L310" s="19" t="n">
        <x:v>0</x:v>
      </x:c>
      <x:c r="M310" s="113" t="n">
        <x:f>K310*Beallitasok!$B$2+L310*Beallitasok!$B$3</x:f>
        <x:v>70000</x:v>
      </x:c>
      <x:c r="N310" s="115" t="n">
        <x:v>1</x:v>
      </x:c>
      <x:c r="O310" s="113" t="n">
        <x:f>IFERROR(M310/N310,"")</x:f>
        <x:v>70000</x:v>
      </x:c>
      <x:c r="P310" s="116" t="n">
        <x:f>Beallitasok!$B$5</x:f>
        <x:v>1.15</x:v>
      </x:c>
      <x:c r="Q310" s="113" t="n">
        <x:f>IFERROR(ROUND(O310*P310/Beallitasok!$B$7,0)*Beallitasok!$B$7,"")</x:f>
        <x:v>80500</x:v>
      </x:c>
      <x:c r="R310" s="113"/>
      <x:c r="S310" s="113" t="n">
        <x:f>IF(Q310="","",Q310+IF(R310="",0,R310))</x:f>
        <x:v>80500</x:v>
      </x:c>
      <x:c r="T310" s="113" t="n">
        <x:f>M310*Beallitasok!$B$4</x:f>
        <x:v>350000</x:v>
      </x:c>
      <x:c r="U310" s="115" t="n">
        <x:f>N310*Beallitasok!$B$4</x:f>
        <x:v>5</x:v>
      </x:c>
      <x:c r="V310" s="113"/>
      <x:c r="W310" s="113" t="str">
        <x:f>IF(V310="","",V310-J310)</x:f>
      </x:c>
      <x:c r="X310" s="19"/>
      <x:c r="Y310" s="113" t="n">
        <x:f>IF(S310="","",J310-S310)</x:f>
        <x:v>-38250</x:v>
      </x:c>
      <x:c r="Z310" s="19" t="str">
        <x:f>IF(AA310="IGEN",IF(J310&lt;S310,"GÉPIGÉNY + KRITIKUS: gépdíj nélkül is alacsony a plafon","GÉPIGÉNY: a saját egységár gépdíj nélkül értendő"),IF(J310&lt;S310,"KRITIKUS: alvállalkozói plafon &lt; saját terhelt egységköltség",IF(J310&lt;S310*Beallitasok!$B$6,"SZŰK TARTALÉK: 10% alatti tartalék","OK")))</x:f>
        <x:v>KRITIKUS: alvállalkozói plafon &lt; saját terhelt egységköltség</x:v>
      </x:c>
      <x:c r="AA310" s="19" t="str">
        <x:v>NEM</x:v>
      </x:c>
      <x:c r="AB310" s="19" t="str">
        <x:v>https://joszaki.hu/arak/vizhalozat-kiepites</x:v>
      </x:c>
      <x:c r="AC310" s="19" t="str">
        <x:v>2026 víz-/csatornaszerelési piaci alsó sáv és pontnorma</x:v>
      </x:c>
      <x:c r="AD310" s="19" t="str">
        <x:v>Szerelvény, csőanyag, falvésés, helyreállítás és kiszállás külön, ha nincs nevesítve.</x:v>
      </x:c>
    </x:row>
    <x:row r="311">
      <x:c r="A311" s="19" t="str">
        <x:v>AR-0310</x:v>
      </x:c>
      <x:c r="B311" s="19" t="str">
        <x:v>15 Épületgépészet</x:v>
      </x:c>
      <x:c r="C311" s="19" t="str">
        <x:v>Fűtés, hűtés és szellőzés</x:v>
      </x:c>
      <x:c r="D311" s="19" t="str">
        <x:v>Mindegyik</x:v>
      </x:c>
      <x:c r="E311" s="19" t="str">
        <x:v>Padlófűtés cső fektetése rendszerlemezre</x:v>
      </x:c>
      <x:c r="F311" s="19" t="str">
        <x:v>m²</x:v>
      </x:c>
      <x:c r="G311" s="113" t="n">
        <x:v>4500</x:v>
      </x:c>
      <x:c r="H311" s="113" t="n">
        <x:v>7500</x:v>
      </x:c>
      <x:c r="I311" s="114" t="n">
        <x:v>0.6</x:v>
      </x:c>
      <x:c r="J311" s="113" t="n">
        <x:f>ROUND(H311*I311/Beallitasok!$B$7,0)*Beallitasok!$B$7</x:f>
        <x:v>4500</x:v>
      </x:c>
      <x:c r="K311" s="19" t="n">
        <x:v>2</x:v>
      </x:c>
      <x:c r="L311" s="19" t="n">
        <x:v>1</x:v>
      </x:c>
      <x:c r="M311" s="113" t="n">
        <x:f>K311*Beallitasok!$B$2+L311*Beallitasok!$B$3</x:f>
        <x:v>95000</x:v>
      </x:c>
      <x:c r="N311" s="115" t="n">
        <x:v>38</x:v>
      </x:c>
      <x:c r="O311" s="113" t="n">
        <x:f>IFERROR(M311/N311,"")</x:f>
        <x:v>2500</x:v>
      </x:c>
      <x:c r="P311" s="116" t="n">
        <x:f>Beallitasok!$B$5</x:f>
        <x:v>1.15</x:v>
      </x:c>
      <x:c r="Q311" s="113" t="n">
        <x:f>IFERROR(ROUND(O311*P311/Beallitasok!$B$7,0)*Beallitasok!$B$7,"")</x:f>
        <x:v>2900</x:v>
      </x:c>
      <x:c r="R311" s="113"/>
      <x:c r="S311" s="113" t="n">
        <x:f>IF(Q311="","",Q311+IF(R311="",0,R311))</x:f>
        <x:v>2900</x:v>
      </x:c>
      <x:c r="T311" s="113" t="n">
        <x:f>M311*Beallitasok!$B$4</x:f>
        <x:v>475000</x:v>
      </x:c>
      <x:c r="U311" s="115" t="n">
        <x:f>N311*Beallitasok!$B$4</x:f>
        <x:v>190</x:v>
      </x:c>
      <x:c r="V311" s="113"/>
      <x:c r="W311" s="113" t="str">
        <x:f>IF(V311="","",V311-J311)</x:f>
      </x:c>
      <x:c r="X311" s="19"/>
      <x:c r="Y311" s="113" t="n">
        <x:f>IF(S311="","",J311-S311)</x:f>
        <x:v>1600</x:v>
      </x:c>
      <x:c r="Z311" s="19" t="str">
        <x:f>IF(AA311="IGEN",IF(J311&lt;S311,"GÉPIGÉNY + KRITIKUS: gépdíj nélkül is alacsony a plafon","GÉPIGÉNY: a saját egységár gépdíj nélkül értendő"),IF(J311&lt;S311,"KRITIKUS: alvállalkozói plafon &lt; saját terhelt egységköltség",IF(J311&lt;S311*Beallitasok!$B$6,"SZŰK TARTALÉK: 10% alatti tartalék","OK")))</x:f>
        <x:v>OK</x:v>
      </x:c>
      <x:c r="AA311" s="19" t="str">
        <x:v>NEM</x:v>
      </x:c>
      <x:c r="AB311" s="19" t="str">
        <x:v>https://joszaki.hu/arak/padlofutes-szereles</x:v>
      </x:c>
      <x:c r="AC311" s="19" t="str">
        <x:v>2026 fűtés/hőszivattyú/klíma/légtechnika alsó ársáv</x:v>
      </x:c>
      <x:c r="AD311" s="19" t="str">
        <x:v>Készülék, csőanyag, hűtőközeg, villamos betáp, beüzemelői díj és hatósági dokumentáció külön.</x:v>
      </x:c>
    </x:row>
    <x:row r="312">
      <x:c r="A312" s="19" t="str">
        <x:v>AR-0311</x:v>
      </x:c>
      <x:c r="B312" s="19" t="str">
        <x:v>15 Épületgépészet</x:v>
      </x:c>
      <x:c r="C312" s="19" t="str">
        <x:v>Fűtés, hűtés és szellőzés</x:v>
      </x:c>
      <x:c r="D312" s="19" t="str">
        <x:v>Mindegyik</x:v>
      </x:c>
      <x:c r="E312" s="19" t="str">
        <x:v>Padlófűtési osztó-gyűjtő felszerelése</x:v>
      </x:c>
      <x:c r="F312" s="19" t="str">
        <x:v>db</x:v>
      </x:c>
      <x:c r="G312" s="113" t="n">
        <x:v>35000</x:v>
      </x:c>
      <x:c r="H312" s="113" t="n">
        <x:v>52000</x:v>
      </x:c>
      <x:c r="I312" s="114" t="n">
        <x:v>0.6</x:v>
      </x:c>
      <x:c r="J312" s="113" t="n">
        <x:f>ROUND(H312*I312/Beallitasok!$B$7,0)*Beallitasok!$B$7</x:f>
        <x:v>31200</x:v>
      </x:c>
      <x:c r="K312" s="19" t="n">
        <x:v>2</x:v>
      </x:c>
      <x:c r="L312" s="19" t="n">
        <x:v>1</x:v>
      </x:c>
      <x:c r="M312" s="113" t="n">
        <x:f>K312*Beallitasok!$B$2+L312*Beallitasok!$B$3</x:f>
        <x:v>95000</x:v>
      </x:c>
      <x:c r="N312" s="115" t="n">
        <x:v>1.5</x:v>
      </x:c>
      <x:c r="O312" s="113" t="n">
        <x:f>IFERROR(M312/N312,"")</x:f>
        <x:v>63333.333333333336</x:v>
      </x:c>
      <x:c r="P312" s="116" t="n">
        <x:f>Beallitasok!$B$5</x:f>
        <x:v>1.15</x:v>
      </x:c>
      <x:c r="Q312" s="113" t="n">
        <x:f>IFERROR(ROUND(O312*P312/Beallitasok!$B$7,0)*Beallitasok!$B$7,"")</x:f>
        <x:v>72850</x:v>
      </x:c>
      <x:c r="R312" s="113"/>
      <x:c r="S312" s="113" t="n">
        <x:f>IF(Q312="","",Q312+IF(R312="",0,R312))</x:f>
        <x:v>72850</x:v>
      </x:c>
      <x:c r="T312" s="113" t="n">
        <x:f>M312*Beallitasok!$B$4</x:f>
        <x:v>475000</x:v>
      </x:c>
      <x:c r="U312" s="115" t="n">
        <x:f>N312*Beallitasok!$B$4</x:f>
        <x:v>7.5</x:v>
      </x:c>
      <x:c r="V312" s="113"/>
      <x:c r="W312" s="113" t="str">
        <x:f>IF(V312="","",V312-J312)</x:f>
      </x:c>
      <x:c r="X312" s="19"/>
      <x:c r="Y312" s="113" t="n">
        <x:f>IF(S312="","",J312-S312)</x:f>
        <x:v>-41650</x:v>
      </x:c>
      <x:c r="Z312" s="19" t="str">
        <x:f>IF(AA312="IGEN",IF(J312&lt;S312,"GÉPIGÉNY + KRITIKUS: gépdíj nélkül is alacsony a plafon","GÉPIGÉNY: a saját egységár gépdíj nélkül értendő"),IF(J312&lt;S312,"KRITIKUS: alvállalkozói plafon &lt; saját terhelt egységköltség",IF(J312&lt;S312*Beallitasok!$B$6,"SZŰK TARTALÉK: 10% alatti tartalék","OK")))</x:f>
        <x:v>KRITIKUS: alvállalkozói plafon &lt; saját terhelt egységköltség</x:v>
      </x:c>
      <x:c r="AA312" s="19" t="str">
        <x:v>NEM</x:v>
      </x:c>
      <x:c r="AB312" s="19" t="str">
        <x:v>https://joszaki.hu/arak/futesi-rendszer-kiepites</x:v>
      </x:c>
      <x:c r="AC312" s="19" t="str">
        <x:v>2026 fűtés/hőszivattyú/klíma/légtechnika alsó ársáv</x:v>
      </x:c>
      <x:c r="AD312" s="19" t="str">
        <x:v>Készülék, csőanyag, hűtőközeg, villamos betáp, beüzemelői díj és hatósági dokumentáció külön.</x:v>
      </x:c>
    </x:row>
    <x:row r="313">
      <x:c r="A313" s="19" t="str">
        <x:v>AR-0312</x:v>
      </x:c>
      <x:c r="B313" s="19" t="str">
        <x:v>15 Épületgépészet</x:v>
      </x:c>
      <x:c r="C313" s="19" t="str">
        <x:v>Fűtés, hűtés és szellőzés</x:v>
      </x:c>
      <x:c r="D313" s="19" t="str">
        <x:v>Mindegyik</x:v>
      </x:c>
      <x:c r="E313" s="19" t="str">
        <x:v>Padlófűtési kör bekötése osztó-gyűjtőre</x:v>
      </x:c>
      <x:c r="F313" s="19" t="str">
        <x:v>kör</x:v>
      </x:c>
      <x:c r="G313" s="113" t="n">
        <x:v>8000</x:v>
      </x:c>
      <x:c r="H313" s="113" t="n">
        <x:v>12000</x:v>
      </x:c>
      <x:c r="I313" s="114" t="n">
        <x:v>0.6</x:v>
      </x:c>
      <x:c r="J313" s="113" t="n">
        <x:f>ROUND(H313*I313/Beallitasok!$B$7,0)*Beallitasok!$B$7</x:f>
        <x:v>7200</x:v>
      </x:c>
      <x:c r="K313" s="19" t="n">
        <x:v>2</x:v>
      </x:c>
      <x:c r="L313" s="19" t="n">
        <x:v>1</x:v>
      </x:c>
      <x:c r="M313" s="113" t="n">
        <x:f>K313*Beallitasok!$B$2+L313*Beallitasok!$B$3</x:f>
        <x:v>95000</x:v>
      </x:c>
      <x:c r="N313" s="115" t="n">
        <x:v>6</x:v>
      </x:c>
      <x:c r="O313" s="113" t="n">
        <x:f>IFERROR(M313/N313,"")</x:f>
        <x:v>15833.333333333334</x:v>
      </x:c>
      <x:c r="P313" s="116" t="n">
        <x:f>Beallitasok!$B$5</x:f>
        <x:v>1.15</x:v>
      </x:c>
      <x:c r="Q313" s="113" t="n">
        <x:f>IFERROR(ROUND(O313*P313/Beallitasok!$B$7,0)*Beallitasok!$B$7,"")</x:f>
        <x:v>18200</x:v>
      </x:c>
      <x:c r="R313" s="113"/>
      <x:c r="S313" s="113" t="n">
        <x:f>IF(Q313="","",Q313+IF(R313="",0,R313))</x:f>
        <x:v>18200</x:v>
      </x:c>
      <x:c r="T313" s="113" t="n">
        <x:f>M313*Beallitasok!$B$4</x:f>
        <x:v>475000</x:v>
      </x:c>
      <x:c r="U313" s="115" t="n">
        <x:f>N313*Beallitasok!$B$4</x:f>
        <x:v>30</x:v>
      </x:c>
      <x:c r="V313" s="113"/>
      <x:c r="W313" s="113" t="str">
        <x:f>IF(V313="","",V313-J313)</x:f>
      </x:c>
      <x:c r="X313" s="19"/>
      <x:c r="Y313" s="113" t="n">
        <x:f>IF(S313="","",J313-S313)</x:f>
        <x:v>-11000</x:v>
      </x:c>
      <x:c r="Z313" s="19" t="str">
        <x:f>IF(AA313="IGEN",IF(J313&lt;S313,"GÉPIGÉNY + KRITIKUS: gépdíj nélkül is alacsony a plafon","GÉPIGÉNY: a saját egységár gépdíj nélkül értendő"),IF(J313&lt;S313,"KRITIKUS: alvállalkozói plafon &lt; saját terhelt egységköltség",IF(J313&lt;S313*Beallitasok!$B$6,"SZŰK TARTALÉK: 10% alatti tartalék","OK")))</x:f>
        <x:v>KRITIKUS: alvállalkozói plafon &lt; saját terhelt egységköltség</x:v>
      </x:c>
      <x:c r="AA313" s="19" t="str">
        <x:v>NEM</x:v>
      </x:c>
      <x:c r="AB313" s="19" t="str">
        <x:v>https://joszaki.hu/arak/padlofutes-szereles</x:v>
      </x:c>
      <x:c r="AC313" s="19" t="str">
        <x:v>2026 fűtés/hőszivattyú/klíma/légtechnika alsó ársáv</x:v>
      </x:c>
      <x:c r="AD313" s="19" t="str">
        <x:v>Készülék, csőanyag, hűtőközeg, villamos betáp, beüzemelői díj és hatósági dokumentáció külön.</x:v>
      </x:c>
    </x:row>
    <x:row r="314">
      <x:c r="A314" s="19" t="str">
        <x:v>AR-0313</x:v>
      </x:c>
      <x:c r="B314" s="19" t="str">
        <x:v>15 Épületgépészet</x:v>
      </x:c>
      <x:c r="C314" s="19" t="str">
        <x:v>Fűtés, hűtés és szellőzés</x:v>
      </x:c>
      <x:c r="D314" s="19" t="str">
        <x:v>Mindegyik</x:v>
      </x:c>
      <x:c r="E314" s="19" t="str">
        <x:v>Padlófűtés nyomáspróba és dokumentálás</x:v>
      </x:c>
      <x:c r="F314" s="19" t="str">
        <x:v>rendszer</x:v>
      </x:c>
      <x:c r="G314" s="113" t="n">
        <x:v>45000</x:v>
      </x:c>
      <x:c r="H314" s="113" t="n">
        <x:v>65000</x:v>
      </x:c>
      <x:c r="I314" s="114" t="n">
        <x:v>0.65</x:v>
      </x:c>
      <x:c r="J314" s="113" t="n">
        <x:f>ROUND(H314*I314/Beallitasok!$B$7,0)*Beallitasok!$B$7</x:f>
        <x:v>42250</x:v>
      </x:c>
      <x:c r="K314" s="19" t="n">
        <x:v>2</x:v>
      </x:c>
      <x:c r="L314" s="19" t="n">
        <x:v>0</x:v>
      </x:c>
      <x:c r="M314" s="113" t="n">
        <x:f>K314*Beallitasok!$B$2+L314*Beallitasok!$B$3</x:f>
        <x:v>70000</x:v>
      </x:c>
      <x:c r="N314" s="115" t="n">
        <x:v>1</x:v>
      </x:c>
      <x:c r="O314" s="113" t="n">
        <x:f>IFERROR(M314/N314,"")</x:f>
        <x:v>70000</x:v>
      </x:c>
      <x:c r="P314" s="116" t="n">
        <x:f>Beallitasok!$B$5</x:f>
        <x:v>1.15</x:v>
      </x:c>
      <x:c r="Q314" s="113" t="n">
        <x:f>IFERROR(ROUND(O314*P314/Beallitasok!$B$7,0)*Beallitasok!$B$7,"")</x:f>
        <x:v>80500</x:v>
      </x:c>
      <x:c r="R314" s="113"/>
      <x:c r="S314" s="113" t="n">
        <x:f>IF(Q314="","",Q314+IF(R314="",0,R314))</x:f>
        <x:v>80500</x:v>
      </x:c>
      <x:c r="T314" s="113" t="n">
        <x:f>M314*Beallitasok!$B$4</x:f>
        <x:v>350000</x:v>
      </x:c>
      <x:c r="U314" s="115" t="n">
        <x:f>N314*Beallitasok!$B$4</x:f>
        <x:v>5</x:v>
      </x:c>
      <x:c r="V314" s="113"/>
      <x:c r="W314" s="113" t="str">
        <x:f>IF(V314="","",V314-J314)</x:f>
      </x:c>
      <x:c r="X314" s="19"/>
      <x:c r="Y314" s="113" t="n">
        <x:f>IF(S314="","",J314-S314)</x:f>
        <x:v>-38250</x:v>
      </x:c>
      <x:c r="Z314" s="19" t="str">
        <x:f>IF(AA314="IGEN",IF(J314&lt;S314,"GÉPIGÉNY + KRITIKUS: gépdíj nélkül is alacsony a plafon","GÉPIGÉNY: a saját egységár gépdíj nélkül értendő"),IF(J314&lt;S314,"KRITIKUS: alvállalkozói plafon &lt; saját terhelt egységköltség",IF(J314&lt;S314*Beallitasok!$B$6,"SZŰK TARTALÉK: 10% alatti tartalék","OK")))</x:f>
        <x:v>KRITIKUS: alvállalkozói plafon &lt; saját terhelt egységköltség</x:v>
      </x:c>
      <x:c r="AA314" s="19" t="str">
        <x:v>NEM</x:v>
      </x:c>
      <x:c r="AB314" s="19" t="str">
        <x:v>https://joszaki.hu/arak/padlofutes-szereles</x:v>
      </x:c>
      <x:c r="AC314" s="19" t="str">
        <x:v>2026 fűtés/hőszivattyú/klíma/légtechnika alsó ársáv</x:v>
      </x:c>
      <x:c r="AD314" s="19" t="str">
        <x:v>Készülék, csőanyag, hűtőközeg, villamos betáp, beüzemelői díj és hatósági dokumentáció külön.</x:v>
      </x:c>
    </x:row>
    <x:row r="315">
      <x:c r="A315" s="19" t="str">
        <x:v>AR-0314</x:v>
      </x:c>
      <x:c r="B315" s="19" t="str">
        <x:v>15 Épületgépészet</x:v>
      </x:c>
      <x:c r="C315" s="19" t="str">
        <x:v>Fűtés, hűtés és szellőzés</x:v>
      </x:c>
      <x:c r="D315" s="19" t="str">
        <x:v>Mindegyik</x:v>
      </x:c>
      <x:c r="E315" s="19" t="str">
        <x:v>Radiátoros fűtési csőpár fektetése</x:v>
      </x:c>
      <x:c r="F315" s="19" t="str">
        <x:v>fm</x:v>
      </x:c>
      <x:c r="G315" s="113" t="n">
        <x:v>4200</x:v>
      </x:c>
      <x:c r="H315" s="113" t="n">
        <x:v>6200</x:v>
      </x:c>
      <x:c r="I315" s="114" t="n">
        <x:v>0.6</x:v>
      </x:c>
      <x:c r="J315" s="113" t="n">
        <x:f>ROUND(H315*I315/Beallitasok!$B$7,0)*Beallitasok!$B$7</x:f>
        <x:v>3700</x:v>
      </x:c>
      <x:c r="K315" s="19" t="n">
        <x:v>2</x:v>
      </x:c>
      <x:c r="L315" s="19" t="n">
        <x:v>1</x:v>
      </x:c>
      <x:c r="M315" s="113" t="n">
        <x:f>K315*Beallitasok!$B$2+L315*Beallitasok!$B$3</x:f>
        <x:v>95000</x:v>
      </x:c>
      <x:c r="N315" s="115" t="n">
        <x:v>28</x:v>
      </x:c>
      <x:c r="O315" s="113" t="n">
        <x:f>IFERROR(M315/N315,"")</x:f>
        <x:v>3392.8571428571427</x:v>
      </x:c>
      <x:c r="P315" s="116" t="n">
        <x:f>Beallitasok!$B$5</x:f>
        <x:v>1.15</x:v>
      </x:c>
      <x:c r="Q315" s="113" t="n">
        <x:f>IFERROR(ROUND(O315*P315/Beallitasok!$B$7,0)*Beallitasok!$B$7,"")</x:f>
        <x:v>3900</x:v>
      </x:c>
      <x:c r="R315" s="113"/>
      <x:c r="S315" s="113" t="n">
        <x:f>IF(Q315="","",Q315+IF(R315="",0,R315))</x:f>
        <x:v>3900</x:v>
      </x:c>
      <x:c r="T315" s="113" t="n">
        <x:f>M315*Beallitasok!$B$4</x:f>
        <x:v>475000</x:v>
      </x:c>
      <x:c r="U315" s="115" t="n">
        <x:f>N315*Beallitasok!$B$4</x:f>
        <x:v>140</x:v>
      </x:c>
      <x:c r="V315" s="113"/>
      <x:c r="W315" s="113" t="str">
        <x:f>IF(V315="","",V315-J315)</x:f>
      </x:c>
      <x:c r="X315" s="19"/>
      <x:c r="Y315" s="113" t="n">
        <x:f>IF(S315="","",J315-S315)</x:f>
        <x:v>-200</x:v>
      </x:c>
      <x:c r="Z315" s="19" t="str">
        <x:f>IF(AA315="IGEN",IF(J315&lt;S315,"GÉPIGÉNY + KRITIKUS: gépdíj nélkül is alacsony a plafon","GÉPIGÉNY: a saját egységár gépdíj nélkül értendő"),IF(J315&lt;S315,"KRITIKUS: alvállalkozói plafon &lt; saját terhelt egységköltség",IF(J315&lt;S315*Beallitasok!$B$6,"SZŰK TARTALÉK: 10% alatti tartalék","OK")))</x:f>
        <x:v>KRITIKUS: alvállalkozói plafon &lt; saját terhelt egységköltség</x:v>
      </x:c>
      <x:c r="AA315" s="19" t="str">
        <x:v>NEM</x:v>
      </x:c>
      <x:c r="AB315" s="19" t="str">
        <x:v>https://joszaki.hu/arak/futesi-rendszer-kiepites</x:v>
      </x:c>
      <x:c r="AC315" s="19" t="str">
        <x:v>2026 fűtés/hőszivattyú/klíma/légtechnika alsó ársáv</x:v>
      </x:c>
      <x:c r="AD315" s="19" t="str">
        <x:v>Készülék, csőanyag, hűtőközeg, villamos betáp, beüzemelői díj és hatósági dokumentáció külön.</x:v>
      </x:c>
    </x:row>
    <x:row r="316">
      <x:c r="A316" s="19" t="str">
        <x:v>AR-0315</x:v>
      </x:c>
      <x:c r="B316" s="19" t="str">
        <x:v>15 Épületgépészet</x:v>
      </x:c>
      <x:c r="C316" s="19" t="str">
        <x:v>Fűtés, hűtés és szellőzés</x:v>
      </x:c>
      <x:c r="D316" s="19" t="str">
        <x:v>Mindegyik</x:v>
      </x:c>
      <x:c r="E316" s="19" t="str">
        <x:v>Radiátorkiállás kialakítása</x:v>
      </x:c>
      <x:c r="F316" s="19" t="str">
        <x:v>db</x:v>
      </x:c>
      <x:c r="G316" s="113" t="n">
        <x:v>14000</x:v>
      </x:c>
      <x:c r="H316" s="113" t="n">
        <x:v>21000</x:v>
      </x:c>
      <x:c r="I316" s="114" t="n">
        <x:v>0.6</x:v>
      </x:c>
      <x:c r="J316" s="113" t="n">
        <x:f>ROUND(H316*I316/Beallitasok!$B$7,0)*Beallitasok!$B$7</x:f>
        <x:v>12600</x:v>
      </x:c>
      <x:c r="K316" s="19" t="n">
        <x:v>2</x:v>
      </x:c>
      <x:c r="L316" s="19" t="n">
        <x:v>1</x:v>
      </x:c>
      <x:c r="M316" s="113" t="n">
        <x:f>K316*Beallitasok!$B$2+L316*Beallitasok!$B$3</x:f>
        <x:v>95000</x:v>
      </x:c>
      <x:c r="N316" s="115" t="n">
        <x:v>4</x:v>
      </x:c>
      <x:c r="O316" s="113" t="n">
        <x:f>IFERROR(M316/N316,"")</x:f>
        <x:v>23750</x:v>
      </x:c>
      <x:c r="P316" s="116" t="n">
        <x:f>Beallitasok!$B$5</x:f>
        <x:v>1.15</x:v>
      </x:c>
      <x:c r="Q316" s="113" t="n">
        <x:f>IFERROR(ROUND(O316*P316/Beallitasok!$B$7,0)*Beallitasok!$B$7,"")</x:f>
        <x:v>27300</x:v>
      </x:c>
      <x:c r="R316" s="113"/>
      <x:c r="S316" s="113" t="n">
        <x:f>IF(Q316="","",Q316+IF(R316="",0,R316))</x:f>
        <x:v>27300</x:v>
      </x:c>
      <x:c r="T316" s="113" t="n">
        <x:f>M316*Beallitasok!$B$4</x:f>
        <x:v>475000</x:v>
      </x:c>
      <x:c r="U316" s="115" t="n">
        <x:f>N316*Beallitasok!$B$4</x:f>
        <x:v>20</x:v>
      </x:c>
      <x:c r="V316" s="113"/>
      <x:c r="W316" s="113" t="str">
        <x:f>IF(V316="","",V316-J316)</x:f>
      </x:c>
      <x:c r="X316" s="19"/>
      <x:c r="Y316" s="113" t="n">
        <x:f>IF(S316="","",J316-S316)</x:f>
        <x:v>-14700</x:v>
      </x:c>
      <x:c r="Z316" s="19" t="str">
        <x:f>IF(AA316="IGEN",IF(J316&lt;S316,"GÉPIGÉNY + KRITIKUS: gépdíj nélkül is alacsony a plafon","GÉPIGÉNY: a saját egységár gépdíj nélkül értendő"),IF(J316&lt;S316,"KRITIKUS: alvállalkozói plafon &lt; saját terhelt egységköltség",IF(J316&lt;S316*Beallitasok!$B$6,"SZŰK TARTALÉK: 10% alatti tartalék","OK")))</x:f>
        <x:v>KRITIKUS: alvállalkozói plafon &lt; saját terhelt egységköltség</x:v>
      </x:c>
      <x:c r="AA316" s="19" t="str">
        <x:v>NEM</x:v>
      </x:c>
      <x:c r="AB316" s="19" t="str">
        <x:v>https://joszaki.hu/arak/futesi-rendszer-kiepites</x:v>
      </x:c>
      <x:c r="AC316" s="19" t="str">
        <x:v>2026 fűtés/hőszivattyú/klíma/légtechnika alsó ársáv</x:v>
      </x:c>
      <x:c r="AD316" s="19" t="str">
        <x:v>Készülék, csőanyag, hűtőközeg, villamos betáp, beüzemelői díj és hatósági dokumentáció külön.</x:v>
      </x:c>
    </x:row>
    <x:row r="317">
      <x:c r="A317" s="19" t="str">
        <x:v>AR-0316</x:v>
      </x:c>
      <x:c r="B317" s="19" t="str">
        <x:v>15 Épületgépészet</x:v>
      </x:c>
      <x:c r="C317" s="19" t="str">
        <x:v>Fűtés, hűtés és szellőzés</x:v>
      </x:c>
      <x:c r="D317" s="19" t="str">
        <x:v>Mindegyik</x:v>
      </x:c>
      <x:c r="E317" s="19" t="str">
        <x:v>Radiátor felszerelése és bekötése</x:v>
      </x:c>
      <x:c r="F317" s="19" t="str">
        <x:v>db</x:v>
      </x:c>
      <x:c r="G317" s="113" t="n">
        <x:v>12000</x:v>
      </x:c>
      <x:c r="H317" s="113" t="n">
        <x:v>18000</x:v>
      </x:c>
      <x:c r="I317" s="114" t="n">
        <x:v>0.6</x:v>
      </x:c>
      <x:c r="J317" s="113" t="n">
        <x:f>ROUND(H317*I317/Beallitasok!$B$7,0)*Beallitasok!$B$7</x:f>
        <x:v>10800</x:v>
      </x:c>
      <x:c r="K317" s="19" t="n">
        <x:v>2</x:v>
      </x:c>
      <x:c r="L317" s="19" t="n">
        <x:v>1</x:v>
      </x:c>
      <x:c r="M317" s="113" t="n">
        <x:f>K317*Beallitasok!$B$2+L317*Beallitasok!$B$3</x:f>
        <x:v>95000</x:v>
      </x:c>
      <x:c r="N317" s="115" t="n">
        <x:v>4</x:v>
      </x:c>
      <x:c r="O317" s="113" t="n">
        <x:f>IFERROR(M317/N317,"")</x:f>
        <x:v>23750</x:v>
      </x:c>
      <x:c r="P317" s="116" t="n">
        <x:f>Beallitasok!$B$5</x:f>
        <x:v>1.15</x:v>
      </x:c>
      <x:c r="Q317" s="113" t="n">
        <x:f>IFERROR(ROUND(O317*P317/Beallitasok!$B$7,0)*Beallitasok!$B$7,"")</x:f>
        <x:v>27300</x:v>
      </x:c>
      <x:c r="R317" s="113"/>
      <x:c r="S317" s="113" t="n">
        <x:f>IF(Q317="","",Q317+IF(R317="",0,R317))</x:f>
        <x:v>27300</x:v>
      </x:c>
      <x:c r="T317" s="113" t="n">
        <x:f>M317*Beallitasok!$B$4</x:f>
        <x:v>475000</x:v>
      </x:c>
      <x:c r="U317" s="115" t="n">
        <x:f>N317*Beallitasok!$B$4</x:f>
        <x:v>20</x:v>
      </x:c>
      <x:c r="V317" s="113"/>
      <x:c r="W317" s="113" t="str">
        <x:f>IF(V317="","",V317-J317)</x:f>
      </x:c>
      <x:c r="X317" s="19"/>
      <x:c r="Y317" s="113" t="n">
        <x:f>IF(S317="","",J317-S317)</x:f>
        <x:v>-16500</x:v>
      </x:c>
      <x:c r="Z317" s="19" t="str">
        <x:f>IF(AA317="IGEN",IF(J317&lt;S317,"GÉPIGÉNY + KRITIKUS: gépdíj nélkül is alacsony a plafon","GÉPIGÉNY: a saját egységár gépdíj nélkül értendő"),IF(J317&lt;S317,"KRITIKUS: alvállalkozói plafon &lt; saját terhelt egységköltség",IF(J317&lt;S317*Beallitasok!$B$6,"SZŰK TARTALÉK: 10% alatti tartalék","OK")))</x:f>
        <x:v>KRITIKUS: alvállalkozói plafon &lt; saját terhelt egységköltség</x:v>
      </x:c>
      <x:c r="AA317" s="19" t="str">
        <x:v>NEM</x:v>
      </x:c>
      <x:c r="AB317" s="19" t="str">
        <x:v>https://joszaki.hu/arak/futesi-rendszer-kiepites</x:v>
      </x:c>
      <x:c r="AC317" s="19" t="str">
        <x:v>2026 fűtés/hőszivattyú/klíma/légtechnika alsó ársáv</x:v>
      </x:c>
      <x:c r="AD317" s="19" t="str">
        <x:v>Készülék, csőanyag, hűtőközeg, villamos betáp, beüzemelői díj és hatósági dokumentáció külön.</x:v>
      </x:c>
    </x:row>
    <x:row r="318">
      <x:c r="A318" s="19" t="str">
        <x:v>AR-0317</x:v>
      </x:c>
      <x:c r="B318" s="19" t="str">
        <x:v>15 Épületgépészet</x:v>
      </x:c>
      <x:c r="C318" s="19" t="str">
        <x:v>Fűtés, hűtés és szellőzés</x:v>
      </x:c>
      <x:c r="D318" s="19" t="str">
        <x:v>Mindegyik</x:v>
      </x:c>
      <x:c r="E318" s="19" t="str">
        <x:v>Törölközőszárító radiátor felszerelése</x:v>
      </x:c>
      <x:c r="F318" s="19" t="str">
        <x:v>db</x:v>
      </x:c>
      <x:c r="G318" s="113" t="n">
        <x:v>14000</x:v>
      </x:c>
      <x:c r="H318" s="113" t="n">
        <x:v>21000</x:v>
      </x:c>
      <x:c r="I318" s="114" t="n">
        <x:v>0.6</x:v>
      </x:c>
      <x:c r="J318" s="113" t="n">
        <x:f>ROUND(H318*I318/Beallitasok!$B$7,0)*Beallitasok!$B$7</x:f>
        <x:v>12600</x:v>
      </x:c>
      <x:c r="K318" s="19" t="n">
        <x:v>2</x:v>
      </x:c>
      <x:c r="L318" s="19" t="n">
        <x:v>1</x:v>
      </x:c>
      <x:c r="M318" s="113" t="n">
        <x:f>K318*Beallitasok!$B$2+L318*Beallitasok!$B$3</x:f>
        <x:v>95000</x:v>
      </x:c>
      <x:c r="N318" s="115" t="n">
        <x:v>3.5</x:v>
      </x:c>
      <x:c r="O318" s="113" t="n">
        <x:f>IFERROR(M318/N318,"")</x:f>
        <x:v>27142.85714285714</x:v>
      </x:c>
      <x:c r="P318" s="116" t="n">
        <x:f>Beallitasok!$B$5</x:f>
        <x:v>1.15</x:v>
      </x:c>
      <x:c r="Q318" s="113" t="n">
        <x:f>IFERROR(ROUND(O318*P318/Beallitasok!$B$7,0)*Beallitasok!$B$7,"")</x:f>
        <x:v>31200</x:v>
      </x:c>
      <x:c r="R318" s="113"/>
      <x:c r="S318" s="113" t="n">
        <x:f>IF(Q318="","",Q318+IF(R318="",0,R318))</x:f>
        <x:v>31200</x:v>
      </x:c>
      <x:c r="T318" s="113" t="n">
        <x:f>M318*Beallitasok!$B$4</x:f>
        <x:v>475000</x:v>
      </x:c>
      <x:c r="U318" s="115" t="n">
        <x:f>N318*Beallitasok!$B$4</x:f>
        <x:v>17.5</x:v>
      </x:c>
      <x:c r="V318" s="113"/>
      <x:c r="W318" s="113" t="str">
        <x:f>IF(V318="","",V318-J318)</x:f>
      </x:c>
      <x:c r="X318" s="19"/>
      <x:c r="Y318" s="113" t="n">
        <x:f>IF(S318="","",J318-S318)</x:f>
        <x:v>-18600</x:v>
      </x:c>
      <x:c r="Z318" s="19" t="str">
        <x:f>IF(AA318="IGEN",IF(J318&lt;S318,"GÉPIGÉNY + KRITIKUS: gépdíj nélkül is alacsony a plafon","GÉPIGÉNY: a saját egységár gépdíj nélkül értendő"),IF(J318&lt;S318,"KRITIKUS: alvállalkozói plafon &lt; saját terhelt egységköltség",IF(J318&lt;S318*Beallitasok!$B$6,"SZŰK TARTALÉK: 10% alatti tartalék","OK")))</x:f>
        <x:v>KRITIKUS: alvállalkozói plafon &lt; saját terhelt egységköltség</x:v>
      </x:c>
      <x:c r="AA318" s="19" t="str">
        <x:v>NEM</x:v>
      </x:c>
      <x:c r="AB318" s="19" t="str">
        <x:v>https://joszaki.hu/arak/futesi-rendszer-kiepites</x:v>
      </x:c>
      <x:c r="AC318" s="19" t="str">
        <x:v>2026 fűtés/hőszivattyú/klíma/légtechnika alsó ársáv</x:v>
      </x:c>
      <x:c r="AD318" s="19" t="str">
        <x:v>Készülék, csőanyag, hűtőközeg, villamos betáp, beüzemelői díj és hatósági dokumentáció külön.</x:v>
      </x:c>
    </x:row>
    <x:row r="319">
      <x:c r="A319" s="19" t="str">
        <x:v>AR-0318</x:v>
      </x:c>
      <x:c r="B319" s="19" t="str">
        <x:v>15 Épületgépészet</x:v>
      </x:c>
      <x:c r="C319" s="19" t="str">
        <x:v>Fűtés, hűtés és szellőzés</x:v>
      </x:c>
      <x:c r="D319" s="19" t="str">
        <x:v>Mindegyik</x:v>
      </x:c>
      <x:c r="E319" s="19" t="str">
        <x:v>Kazán/hőközpont hidraulikai csőkapcsolatainak szerelése</x:v>
      </x:c>
      <x:c r="F319" s="19" t="str">
        <x:v>rendszer</x:v>
      </x:c>
      <x:c r="G319" s="113" t="n">
        <x:v>180000</x:v>
      </x:c>
      <x:c r="H319" s="113" t="n">
        <x:v>270000</x:v>
      </x:c>
      <x:c r="I319" s="114" t="n">
        <x:v>0.65</x:v>
      </x:c>
      <x:c r="J319" s="113" t="n">
        <x:f>ROUND(H319*I319/Beallitasok!$B$7,0)*Beallitasok!$B$7</x:f>
        <x:v>175500</x:v>
      </x:c>
      <x:c r="K319" s="19" t="n">
        <x:v>2</x:v>
      </x:c>
      <x:c r="L319" s="19" t="n">
        <x:v>1</x:v>
      </x:c>
      <x:c r="M319" s="113" t="n">
        <x:f>K319*Beallitasok!$B$2+L319*Beallitasok!$B$3</x:f>
        <x:v>95000</x:v>
      </x:c>
      <x:c r="N319" s="115" t="n">
        <x:v>0.4</x:v>
      </x:c>
      <x:c r="O319" s="113" t="n">
        <x:f>IFERROR(M319/N319,"")</x:f>
        <x:v>237500</x:v>
      </x:c>
      <x:c r="P319" s="116" t="n">
        <x:f>Beallitasok!$B$5</x:f>
        <x:v>1.15</x:v>
      </x:c>
      <x:c r="Q319" s="113" t="n">
        <x:f>IFERROR(ROUND(O319*P319/Beallitasok!$B$7,0)*Beallitasok!$B$7,"")</x:f>
        <x:v>273150</x:v>
      </x:c>
      <x:c r="R319" s="113"/>
      <x:c r="S319" s="113" t="n">
        <x:f>IF(Q319="","",Q319+IF(R319="",0,R319))</x:f>
        <x:v>273150</x:v>
      </x:c>
      <x:c r="T319" s="113" t="n">
        <x:f>M319*Beallitasok!$B$4</x:f>
        <x:v>475000</x:v>
      </x:c>
      <x:c r="U319" s="115" t="n">
        <x:f>N319*Beallitasok!$B$4</x:f>
        <x:v>2</x:v>
      </x:c>
      <x:c r="V319" s="113"/>
      <x:c r="W319" s="113" t="str">
        <x:f>IF(V319="","",V319-J319)</x:f>
      </x:c>
      <x:c r="X319" s="19"/>
      <x:c r="Y319" s="113" t="n">
        <x:f>IF(S319="","",J319-S319)</x:f>
        <x:v>-97650</x:v>
      </x:c>
      <x:c r="Z319" s="19" t="str">
        <x:f>IF(AA319="IGEN",IF(J319&lt;S319,"GÉPIGÉNY + KRITIKUS: gépdíj nélkül is alacsony a plafon","GÉPIGÉNY: a saját egységár gépdíj nélkül értendő"),IF(J319&lt;S319,"KRITIKUS: alvállalkozói plafon &lt; saját terhelt egységköltség",IF(J319&lt;S319*Beallitasok!$B$6,"SZŰK TARTALÉK: 10% alatti tartalék","OK")))</x:f>
        <x:v>KRITIKUS: alvállalkozói plafon &lt; saját terhelt egységköltség</x:v>
      </x:c>
      <x:c r="AA319" s="19" t="str">
        <x:v>NEM</x:v>
      </x:c>
      <x:c r="AB319" s="19" t="str">
        <x:v>https://joszaki.hu/arak/futesi-rendszer-kiepites</x:v>
      </x:c>
      <x:c r="AC319" s="19" t="str">
        <x:v>2026 fűtés/hőszivattyú/klíma/légtechnika alsó ársáv</x:v>
      </x:c>
      <x:c r="AD319" s="19" t="str">
        <x:v>Készülék, csőanyag, hűtőközeg, villamos betáp, beüzemelői díj és hatósági dokumentáció külön.</x:v>
      </x:c>
    </x:row>
    <x:row r="320">
      <x:c r="A320" s="19" t="str">
        <x:v>AR-0319</x:v>
      </x:c>
      <x:c r="B320" s="19" t="str">
        <x:v>15 Épületgépészet</x:v>
      </x:c>
      <x:c r="C320" s="19" t="str">
        <x:v>Fűtés, hűtés és szellőzés</x:v>
      </x:c>
      <x:c r="D320" s="19" t="str">
        <x:v>Mindegyik</x:v>
      </x:c>
      <x:c r="E320" s="19" t="str">
        <x:v>Levegő-víz hőszivattyú beltéri egység hidraulikai bekötése</x:v>
      </x:c>
      <x:c r="F320" s="19" t="str">
        <x:v>db</x:v>
      </x:c>
      <x:c r="G320" s="113" t="n">
        <x:v>220000</x:v>
      </x:c>
      <x:c r="H320" s="113" t="n">
        <x:v>340000</x:v>
      </x:c>
      <x:c r="I320" s="114" t="n">
        <x:v>0.65</x:v>
      </x:c>
      <x:c r="J320" s="113" t="n">
        <x:f>ROUND(H320*I320/Beallitasok!$B$7,0)*Beallitasok!$B$7</x:f>
        <x:v>221000</x:v>
      </x:c>
      <x:c r="K320" s="19" t="n">
        <x:v>2</x:v>
      </x:c>
      <x:c r="L320" s="19" t="n">
        <x:v>1</x:v>
      </x:c>
      <x:c r="M320" s="113" t="n">
        <x:f>K320*Beallitasok!$B$2+L320*Beallitasok!$B$3</x:f>
        <x:v>95000</x:v>
      </x:c>
      <x:c r="N320" s="115" t="n">
        <x:v>0.3</x:v>
      </x:c>
      <x:c r="O320" s="113" t="n">
        <x:f>IFERROR(M320/N320,"")</x:f>
        <x:v>316666.6666666667</x:v>
      </x:c>
      <x:c r="P320" s="116" t="n">
        <x:f>Beallitasok!$B$5</x:f>
        <x:v>1.15</x:v>
      </x:c>
      <x:c r="Q320" s="113" t="n">
        <x:f>IFERROR(ROUND(O320*P320/Beallitasok!$B$7,0)*Beallitasok!$B$7,"")</x:f>
        <x:v>364150</x:v>
      </x:c>
      <x:c r="R320" s="113"/>
      <x:c r="S320" s="113" t="n">
        <x:f>IF(Q320="","",Q320+IF(R320="",0,R320))</x:f>
        <x:v>364150</x:v>
      </x:c>
      <x:c r="T320" s="113" t="n">
        <x:f>M320*Beallitasok!$B$4</x:f>
        <x:v>475000</x:v>
      </x:c>
      <x:c r="U320" s="115" t="n">
        <x:f>N320*Beallitasok!$B$4</x:f>
        <x:v>1.5</x:v>
      </x:c>
      <x:c r="V320" s="113"/>
      <x:c r="W320" s="113" t="str">
        <x:f>IF(V320="","",V320-J320)</x:f>
      </x:c>
      <x:c r="X320" s="19"/>
      <x:c r="Y320" s="113" t="n">
        <x:f>IF(S320="","",J320-S320)</x:f>
        <x:v>-143150</x:v>
      </x:c>
      <x:c r="Z320" s="19" t="str">
        <x:f>IF(AA320="IGEN",IF(J320&lt;S320,"GÉPIGÉNY + KRITIKUS: gépdíj nélkül is alacsony a plafon","GÉPIGÉNY: a saját egységár gépdíj nélkül értendő"),IF(J320&lt;S320,"KRITIKUS: alvállalkozói plafon &lt; saját terhelt egységköltség",IF(J320&lt;S320*Beallitasok!$B$6,"SZŰK TARTALÉK: 10% alatti tartalék","OK")))</x:f>
        <x:v>KRITIKUS: alvállalkozói plafon &lt; saját terhelt egységköltség</x:v>
      </x:c>
      <x:c r="AA320" s="19" t="str">
        <x:v>NEM</x:v>
      </x:c>
      <x:c r="AB320" s="19" t="str">
        <x:v>https://joszaki.hu/arak/hoszivattyu-telepites</x:v>
      </x:c>
      <x:c r="AC320" s="19" t="str">
        <x:v>2026 fűtés/hőszivattyú/klíma/légtechnika alsó ársáv</x:v>
      </x:c>
      <x:c r="AD320" s="19" t="str">
        <x:v>Készülék, csőanyag, hűtőközeg, villamos betáp, beüzemelői díj és hatósági dokumentáció külön.</x:v>
      </x:c>
    </x:row>
    <x:row r="321">
      <x:c r="A321" s="19" t="str">
        <x:v>AR-0320</x:v>
      </x:c>
      <x:c r="B321" s="19" t="str">
        <x:v>15 Épületgépészet</x:v>
      </x:c>
      <x:c r="C321" s="19" t="str">
        <x:v>Fűtés, hűtés és szellőzés</x:v>
      </x:c>
      <x:c r="D321" s="19" t="str">
        <x:v>Mindegyik</x:v>
      </x:c>
      <x:c r="E321" s="19" t="str">
        <x:v>Levegő-víz hőszivattyú kültéri egység mechanikai telepítése</x:v>
      </x:c>
      <x:c r="F321" s="19" t="str">
        <x:v>db</x:v>
      </x:c>
      <x:c r="G321" s="113" t="n">
        <x:v>120000</x:v>
      </x:c>
      <x:c r="H321" s="113" t="n">
        <x:v>180000</x:v>
      </x:c>
      <x:c r="I321" s="114" t="n">
        <x:v>0.65</x:v>
      </x:c>
      <x:c r="J321" s="113" t="n">
        <x:f>ROUND(H321*I321/Beallitasok!$B$7,0)*Beallitasok!$B$7</x:f>
        <x:v>117000</x:v>
      </x:c>
      <x:c r="K321" s="19" t="n">
        <x:v>2</x:v>
      </x:c>
      <x:c r="L321" s="19" t="n">
        <x:v>1</x:v>
      </x:c>
      <x:c r="M321" s="113" t="n">
        <x:f>K321*Beallitasok!$B$2+L321*Beallitasok!$B$3</x:f>
        <x:v>95000</x:v>
      </x:c>
      <x:c r="N321" s="115" t="n">
        <x:v>0.6</x:v>
      </x:c>
      <x:c r="O321" s="113" t="n">
        <x:f>IFERROR(M321/N321,"")</x:f>
        <x:v>158333.33333333334</x:v>
      </x:c>
      <x:c r="P321" s="116" t="n">
        <x:f>Beallitasok!$B$5</x:f>
        <x:v>1.15</x:v>
      </x:c>
      <x:c r="Q321" s="113" t="n">
        <x:f>IFERROR(ROUND(O321*P321/Beallitasok!$B$7,0)*Beallitasok!$B$7,"")</x:f>
        <x:v>182100</x:v>
      </x:c>
      <x:c r="R321" s="113"/>
      <x:c r="S321" s="113" t="n">
        <x:f>IF(Q321="","",Q321+IF(R321="",0,R321))</x:f>
        <x:v>182100</x:v>
      </x:c>
      <x:c r="T321" s="113" t="n">
        <x:f>M321*Beallitasok!$B$4</x:f>
        <x:v>475000</x:v>
      </x:c>
      <x:c r="U321" s="115" t="n">
        <x:f>N321*Beallitasok!$B$4</x:f>
        <x:v>3</x:v>
      </x:c>
      <x:c r="V321" s="113"/>
      <x:c r="W321" s="113" t="str">
        <x:f>IF(V321="","",V321-J321)</x:f>
      </x:c>
      <x:c r="X321" s="19"/>
      <x:c r="Y321" s="113" t="n">
        <x:f>IF(S321="","",J321-S321)</x:f>
        <x:v>-65100</x:v>
      </x:c>
      <x:c r="Z321" s="19" t="str">
        <x:f>IF(AA321="IGEN",IF(J321&lt;S321,"GÉPIGÉNY + KRITIKUS: gépdíj nélkül is alacsony a plafon","GÉPIGÉNY: a saját egységár gépdíj nélkül értendő"),IF(J321&lt;S321,"KRITIKUS: alvállalkozói plafon &lt; saját terhelt egységköltség",IF(J321&lt;S321*Beallitasok!$B$6,"SZŰK TARTALÉK: 10% alatti tartalék","OK")))</x:f>
        <x:v>KRITIKUS: alvállalkozói plafon &lt; saját terhelt egységköltség</x:v>
      </x:c>
      <x:c r="AA321" s="19" t="str">
        <x:v>NEM</x:v>
      </x:c>
      <x:c r="AB321" s="19" t="str">
        <x:v>https://joszaki.hu/arak/hoszivattyu-telepites</x:v>
      </x:c>
      <x:c r="AC321" s="19" t="str">
        <x:v>2026 fűtés/hőszivattyú/klíma/légtechnika alsó ársáv</x:v>
      </x:c>
      <x:c r="AD321" s="19" t="str">
        <x:v>Készülék, csőanyag, hűtőközeg, villamos betáp, beüzemelői díj és hatósági dokumentáció külön.</x:v>
      </x:c>
    </x:row>
    <x:row r="322">
      <x:c r="A322" s="19" t="str">
        <x:v>AR-0321</x:v>
      </x:c>
      <x:c r="B322" s="19" t="str">
        <x:v>15 Épületgépészet</x:v>
      </x:c>
      <x:c r="C322" s="19" t="str">
        <x:v>Fűtés, hűtés és szellőzés</x:v>
      </x:c>
      <x:c r="D322" s="19" t="str">
        <x:v>Mindegyik</x:v>
      </x:c>
      <x:c r="E322" s="19" t="str">
        <x:v>Puffertartály beállítása és bekötése</x:v>
      </x:c>
      <x:c r="F322" s="19" t="str">
        <x:v>db</x:v>
      </x:c>
      <x:c r="G322" s="113" t="n">
        <x:v>65000</x:v>
      </x:c>
      <x:c r="H322" s="113" t="n">
        <x:v>95000</x:v>
      </x:c>
      <x:c r="I322" s="114" t="n">
        <x:v>0.65</x:v>
      </x:c>
      <x:c r="J322" s="113" t="n">
        <x:f>ROUND(H322*I322/Beallitasok!$B$7,0)*Beallitasok!$B$7</x:f>
        <x:v>61750</x:v>
      </x:c>
      <x:c r="K322" s="19" t="n">
        <x:v>2</x:v>
      </x:c>
      <x:c r="L322" s="19" t="n">
        <x:v>1</x:v>
      </x:c>
      <x:c r="M322" s="113" t="n">
        <x:f>K322*Beallitasok!$B$2+L322*Beallitasok!$B$3</x:f>
        <x:v>95000</x:v>
      </x:c>
      <x:c r="N322" s="115" t="n">
        <x:v>1</x:v>
      </x:c>
      <x:c r="O322" s="113" t="n">
        <x:f>IFERROR(M322/N322,"")</x:f>
        <x:v>95000</x:v>
      </x:c>
      <x:c r="P322" s="116" t="n">
        <x:f>Beallitasok!$B$5</x:f>
        <x:v>1.15</x:v>
      </x:c>
      <x:c r="Q322" s="113" t="n">
        <x:f>IFERROR(ROUND(O322*P322/Beallitasok!$B$7,0)*Beallitasok!$B$7,"")</x:f>
        <x:v>109250</x:v>
      </x:c>
      <x:c r="R322" s="113"/>
      <x:c r="S322" s="113" t="n">
        <x:f>IF(Q322="","",Q322+IF(R322="",0,R322))</x:f>
        <x:v>109250</x:v>
      </x:c>
      <x:c r="T322" s="113" t="n">
        <x:f>M322*Beallitasok!$B$4</x:f>
        <x:v>475000</x:v>
      </x:c>
      <x:c r="U322" s="115" t="n">
        <x:f>N322*Beallitasok!$B$4</x:f>
        <x:v>5</x:v>
      </x:c>
      <x:c r="V322" s="113"/>
      <x:c r="W322" s="113" t="str">
        <x:f>IF(V322="","",V322-J322)</x:f>
      </x:c>
      <x:c r="X322" s="19"/>
      <x:c r="Y322" s="113" t="n">
        <x:f>IF(S322="","",J322-S322)</x:f>
        <x:v>-47500</x:v>
      </x:c>
      <x:c r="Z322" s="19" t="str">
        <x:f>IF(AA322="IGEN",IF(J322&lt;S322,"GÉPIGÉNY + KRITIKUS: gépdíj nélkül is alacsony a plafon","GÉPIGÉNY: a saját egységár gépdíj nélkül értendő"),IF(J322&lt;S322,"KRITIKUS: alvállalkozói plafon &lt; saját terhelt egységköltség",IF(J322&lt;S322*Beallitasok!$B$6,"SZŰK TARTALÉK: 10% alatti tartalék","OK")))</x:f>
        <x:v>KRITIKUS: alvállalkozói plafon &lt; saját terhelt egységköltség</x:v>
      </x:c>
      <x:c r="AA322" s="19" t="str">
        <x:v>NEM</x:v>
      </x:c>
      <x:c r="AB322" s="19" t="str">
        <x:v>https://joszaki.hu/arak/hoszivattyu-telepites</x:v>
      </x:c>
      <x:c r="AC322" s="19" t="str">
        <x:v>2026 fűtés/hőszivattyú/klíma/légtechnika alsó ársáv</x:v>
      </x:c>
      <x:c r="AD322" s="19" t="str">
        <x:v>Készülék, csőanyag, hűtőközeg, villamos betáp, beüzemelői díj és hatósági dokumentáció külön.</x:v>
      </x:c>
    </x:row>
    <x:row r="323">
      <x:c r="A323" s="19" t="str">
        <x:v>AR-0322</x:v>
      </x:c>
      <x:c r="B323" s="19" t="str">
        <x:v>15 Épületgépészet</x:v>
      </x:c>
      <x:c r="C323" s="19" t="str">
        <x:v>Fűtés, hűtés és szellőzés</x:v>
      </x:c>
      <x:c r="D323" s="19" t="str">
        <x:v>Mindegyik</x:v>
      </x:c>
      <x:c r="E323" s="19" t="str">
        <x:v>HMV-tároló beállítása és bekötése</x:v>
      </x:c>
      <x:c r="F323" s="19" t="str">
        <x:v>db</x:v>
      </x:c>
      <x:c r="G323" s="113" t="n">
        <x:v>65000</x:v>
      </x:c>
      <x:c r="H323" s="113" t="n">
        <x:v>95000</x:v>
      </x:c>
      <x:c r="I323" s="114" t="n">
        <x:v>0.65</x:v>
      </x:c>
      <x:c r="J323" s="113" t="n">
        <x:f>ROUND(H323*I323/Beallitasok!$B$7,0)*Beallitasok!$B$7</x:f>
        <x:v>61750</x:v>
      </x:c>
      <x:c r="K323" s="19" t="n">
        <x:v>2</x:v>
      </x:c>
      <x:c r="L323" s="19" t="n">
        <x:v>1</x:v>
      </x:c>
      <x:c r="M323" s="113" t="n">
        <x:f>K323*Beallitasok!$B$2+L323*Beallitasok!$B$3</x:f>
        <x:v>95000</x:v>
      </x:c>
      <x:c r="N323" s="115" t="n">
        <x:v>1</x:v>
      </x:c>
      <x:c r="O323" s="113" t="n">
        <x:f>IFERROR(M323/N323,"")</x:f>
        <x:v>95000</x:v>
      </x:c>
      <x:c r="P323" s="116" t="n">
        <x:f>Beallitasok!$B$5</x:f>
        <x:v>1.15</x:v>
      </x:c>
      <x:c r="Q323" s="113" t="n">
        <x:f>IFERROR(ROUND(O323*P323/Beallitasok!$B$7,0)*Beallitasok!$B$7,"")</x:f>
        <x:v>109250</x:v>
      </x:c>
      <x:c r="R323" s="113"/>
      <x:c r="S323" s="113" t="n">
        <x:f>IF(Q323="","",Q323+IF(R323="",0,R323))</x:f>
        <x:v>109250</x:v>
      </x:c>
      <x:c r="T323" s="113" t="n">
        <x:f>M323*Beallitasok!$B$4</x:f>
        <x:v>475000</x:v>
      </x:c>
      <x:c r="U323" s="115" t="n">
        <x:f>N323*Beallitasok!$B$4</x:f>
        <x:v>5</x:v>
      </x:c>
      <x:c r="V323" s="113"/>
      <x:c r="W323" s="113" t="str">
        <x:f>IF(V323="","",V323-J323)</x:f>
      </x:c>
      <x:c r="X323" s="19"/>
      <x:c r="Y323" s="113" t="n">
        <x:f>IF(S323="","",J323-S323)</x:f>
        <x:v>-47500</x:v>
      </x:c>
      <x:c r="Z323" s="19" t="str">
        <x:f>IF(AA323="IGEN",IF(J323&lt;S323,"GÉPIGÉNY + KRITIKUS: gépdíj nélkül is alacsony a plafon","GÉPIGÉNY: a saját egységár gépdíj nélkül értendő"),IF(J323&lt;S323,"KRITIKUS: alvállalkozói plafon &lt; saját terhelt egységköltség",IF(J323&lt;S323*Beallitasok!$B$6,"SZŰK TARTALÉK: 10% alatti tartalék","OK")))</x:f>
        <x:v>KRITIKUS: alvállalkozói plafon &lt; saját terhelt egységköltség</x:v>
      </x:c>
      <x:c r="AA323" s="19" t="str">
        <x:v>NEM</x:v>
      </x:c>
      <x:c r="AB323" s="19" t="str">
        <x:v>https://joszaki.hu/arak/hoszivattyu-telepites</x:v>
      </x:c>
      <x:c r="AC323" s="19" t="str">
        <x:v>2026 fűtés/hőszivattyú/klíma/légtechnika alsó ársáv</x:v>
      </x:c>
      <x:c r="AD323" s="19" t="str">
        <x:v>Készülék, csőanyag, hűtőközeg, villamos betáp, beüzemelői díj és hatósági dokumentáció külön.</x:v>
      </x:c>
    </x:row>
    <x:row r="324">
      <x:c r="A324" s="19" t="str">
        <x:v>AR-0323</x:v>
      </x:c>
      <x:c r="B324" s="19" t="str">
        <x:v>15 Épületgépészet</x:v>
      </x:c>
      <x:c r="C324" s="19" t="str">
        <x:v>Fűtés, hűtés és szellőzés</x:v>
      </x:c>
      <x:c r="D324" s="19" t="str">
        <x:v>Mindegyik</x:v>
      </x:c>
      <x:c r="E324" s="19" t="str">
        <x:v>Hőszivattyús rendszer feltöltése és légtelenítése</x:v>
      </x:c>
      <x:c r="F324" s="19" t="str">
        <x:v>rendszer</x:v>
      </x:c>
      <x:c r="G324" s="113" t="n">
        <x:v>65000</x:v>
      </x:c>
      <x:c r="H324" s="113" t="n">
        <x:v>95000</x:v>
      </x:c>
      <x:c r="I324" s="114" t="n">
        <x:v>0.65</x:v>
      </x:c>
      <x:c r="J324" s="113" t="n">
        <x:f>ROUND(H324*I324/Beallitasok!$B$7,0)*Beallitasok!$B$7</x:f>
        <x:v>61750</x:v>
      </x:c>
      <x:c r="K324" s="19" t="n">
        <x:v>2</x:v>
      </x:c>
      <x:c r="L324" s="19" t="n">
        <x:v>0</x:v>
      </x:c>
      <x:c r="M324" s="113" t="n">
        <x:f>K324*Beallitasok!$B$2+L324*Beallitasok!$B$3</x:f>
        <x:v>70000</x:v>
      </x:c>
      <x:c r="N324" s="115" t="n">
        <x:v>1</x:v>
      </x:c>
      <x:c r="O324" s="113" t="n">
        <x:f>IFERROR(M324/N324,"")</x:f>
        <x:v>70000</x:v>
      </x:c>
      <x:c r="P324" s="116" t="n">
        <x:f>Beallitasok!$B$5</x:f>
        <x:v>1.15</x:v>
      </x:c>
      <x:c r="Q324" s="113" t="n">
        <x:f>IFERROR(ROUND(O324*P324/Beallitasok!$B$7,0)*Beallitasok!$B$7,"")</x:f>
        <x:v>80500</x:v>
      </x:c>
      <x:c r="R324" s="113"/>
      <x:c r="S324" s="113" t="n">
        <x:f>IF(Q324="","",Q324+IF(R324="",0,R324))</x:f>
        <x:v>80500</x:v>
      </x:c>
      <x:c r="T324" s="113" t="n">
        <x:f>M324*Beallitasok!$B$4</x:f>
        <x:v>350000</x:v>
      </x:c>
      <x:c r="U324" s="115" t="n">
        <x:f>N324*Beallitasok!$B$4</x:f>
        <x:v>5</x:v>
      </x:c>
      <x:c r="V324" s="113"/>
      <x:c r="W324" s="113" t="str">
        <x:f>IF(V324="","",V324-J324)</x:f>
      </x:c>
      <x:c r="X324" s="19"/>
      <x:c r="Y324" s="113" t="n">
        <x:f>IF(S324="","",J324-S324)</x:f>
        <x:v>-18750</x:v>
      </x:c>
      <x:c r="Z324" s="19" t="str">
        <x:f>IF(AA324="IGEN",IF(J324&lt;S324,"GÉPIGÉNY + KRITIKUS: gépdíj nélkül is alacsony a plafon","GÉPIGÉNY: a saját egységár gépdíj nélkül értendő"),IF(J324&lt;S324,"KRITIKUS: alvállalkozói plafon &lt; saját terhelt egységköltség",IF(J324&lt;S324*Beallitasok!$B$6,"SZŰK TARTALÉK: 10% alatti tartalék","OK")))</x:f>
        <x:v>KRITIKUS: alvállalkozói plafon &lt; saját terhelt egységköltség</x:v>
      </x:c>
      <x:c r="AA324" s="19" t="str">
        <x:v>NEM</x:v>
      </x:c>
      <x:c r="AB324" s="19" t="str">
        <x:v>https://joszaki.hu/arak/hoszivattyu-telepites</x:v>
      </x:c>
      <x:c r="AC324" s="19" t="str">
        <x:v>2026 fűtés/hőszivattyú/klíma/légtechnika alsó ársáv</x:v>
      </x:c>
      <x:c r="AD324" s="19" t="str">
        <x:v>Készülék, csőanyag, hűtőközeg, villamos betáp, beüzemelői díj és hatósági dokumentáció külön.</x:v>
      </x:c>
    </x:row>
    <x:row r="325">
      <x:c r="A325" s="19" t="str">
        <x:v>AR-0324</x:v>
      </x:c>
      <x:c r="B325" s="19" t="str">
        <x:v>15 Épületgépészet</x:v>
      </x:c>
      <x:c r="C325" s="19" t="str">
        <x:v>Fűtés, hűtés és szellőzés</x:v>
      </x:c>
      <x:c r="D325" s="19" t="str">
        <x:v>Mindegyik</x:v>
      </x:c>
      <x:c r="E325" s="19" t="str">
        <x:v>Split klíma alaptelepítése 3 m csőhosszig</x:v>
      </x:c>
      <x:c r="F325" s="19" t="str">
        <x:v>db</x:v>
      </x:c>
      <x:c r="G325" s="113" t="n">
        <x:v>60000</x:v>
      </x:c>
      <x:c r="H325" s="113" t="n">
        <x:v>90000</x:v>
      </x:c>
      <x:c r="I325" s="114" t="n">
        <x:v>0.65</x:v>
      </x:c>
      <x:c r="J325" s="113" t="n">
        <x:f>ROUND(H325*I325/Beallitasok!$B$7,0)*Beallitasok!$B$7</x:f>
        <x:v>58500</x:v>
      </x:c>
      <x:c r="K325" s="19" t="n">
        <x:v>2</x:v>
      </x:c>
      <x:c r="L325" s="19" t="n">
        <x:v>1</x:v>
      </x:c>
      <x:c r="M325" s="113" t="n">
        <x:f>K325*Beallitasok!$B$2+L325*Beallitasok!$B$3</x:f>
        <x:v>95000</x:v>
      </x:c>
      <x:c r="N325" s="115" t="n">
        <x:v>1</x:v>
      </x:c>
      <x:c r="O325" s="113" t="n">
        <x:f>IFERROR(M325/N325,"")</x:f>
        <x:v>95000</x:v>
      </x:c>
      <x:c r="P325" s="116" t="n">
        <x:f>Beallitasok!$B$5</x:f>
        <x:v>1.15</x:v>
      </x:c>
      <x:c r="Q325" s="113" t="n">
        <x:f>IFERROR(ROUND(O325*P325/Beallitasok!$B$7,0)*Beallitasok!$B$7,"")</x:f>
        <x:v>109250</x:v>
      </x:c>
      <x:c r="R325" s="113"/>
      <x:c r="S325" s="113" t="n">
        <x:f>IF(Q325="","",Q325+IF(R325="",0,R325))</x:f>
        <x:v>109250</x:v>
      </x:c>
      <x:c r="T325" s="113" t="n">
        <x:f>M325*Beallitasok!$B$4</x:f>
        <x:v>475000</x:v>
      </x:c>
      <x:c r="U325" s="115" t="n">
        <x:f>N325*Beallitasok!$B$4</x:f>
        <x:v>5</x:v>
      </x:c>
      <x:c r="V325" s="113"/>
      <x:c r="W325" s="113" t="str">
        <x:f>IF(V325="","",V325-J325)</x:f>
      </x:c>
      <x:c r="X325" s="19"/>
      <x:c r="Y325" s="113" t="n">
        <x:f>IF(S325="","",J325-S325)</x:f>
        <x:v>-50750</x:v>
      </x:c>
      <x:c r="Z325" s="19" t="str">
        <x:f>IF(AA325="IGEN",IF(J325&lt;S325,"GÉPIGÉNY + KRITIKUS: gépdíj nélkül is alacsony a plafon","GÉPIGÉNY: a saját egységár gépdíj nélkül értendő"),IF(J325&lt;S325,"KRITIKUS: alvállalkozói plafon &lt; saját terhelt egységköltség",IF(J325&lt;S325*Beallitasok!$B$6,"SZŰK TARTALÉK: 10% alatti tartalék","OK")))</x:f>
        <x:v>KRITIKUS: alvállalkozói plafon &lt; saját terhelt egységköltség</x:v>
      </x:c>
      <x:c r="AA325" s="19" t="str">
        <x:v>NEM</x:v>
      </x:c>
      <x:c r="AB325" s="19" t="str">
        <x:v>https://joszaki.hu/arak/klima-telepites</x:v>
      </x:c>
      <x:c r="AC325" s="19" t="str">
        <x:v>2026 fűtés/hőszivattyú/klíma/légtechnika alsó ársáv</x:v>
      </x:c>
      <x:c r="AD325" s="19" t="str">
        <x:v>Készülék, csőanyag, hűtőközeg, villamos betáp, beüzemelői díj és hatósági dokumentáció külön.</x:v>
      </x:c>
    </x:row>
    <x:row r="326">
      <x:c r="A326" s="19" t="str">
        <x:v>AR-0325</x:v>
      </x:c>
      <x:c r="B326" s="19" t="str">
        <x:v>15 Épületgépészet</x:v>
      </x:c>
      <x:c r="C326" s="19" t="str">
        <x:v>Fűtés, hűtés és szellőzés</x:v>
      </x:c>
      <x:c r="D326" s="19" t="str">
        <x:v>Mindegyik</x:v>
      </x:c>
      <x:c r="E326" s="19" t="str">
        <x:v>Klíma többlet csővezeték szerelése</x:v>
      </x:c>
      <x:c r="F326" s="19" t="str">
        <x:v>fm</x:v>
      </x:c>
      <x:c r="G326" s="113" t="n">
        <x:v>5000</x:v>
      </x:c>
      <x:c r="H326" s="113" t="n">
        <x:v>7500</x:v>
      </x:c>
      <x:c r="I326" s="114" t="n">
        <x:v>0.65</x:v>
      </x:c>
      <x:c r="J326" s="113" t="n">
        <x:f>ROUND(H326*I326/Beallitasok!$B$7,0)*Beallitasok!$B$7</x:f>
        <x:v>4900</x:v>
      </x:c>
      <x:c r="K326" s="19" t="n">
        <x:v>2</x:v>
      </x:c>
      <x:c r="L326" s="19" t="n">
        <x:v>1</x:v>
      </x:c>
      <x:c r="M326" s="113" t="n">
        <x:f>K326*Beallitasok!$B$2+L326*Beallitasok!$B$3</x:f>
        <x:v>95000</x:v>
      </x:c>
      <x:c r="N326" s="115" t="n">
        <x:v>12</x:v>
      </x:c>
      <x:c r="O326" s="113" t="n">
        <x:f>IFERROR(M326/N326,"")</x:f>
        <x:v>7916.666666666667</x:v>
      </x:c>
      <x:c r="P326" s="116" t="n">
        <x:f>Beallitasok!$B$5</x:f>
        <x:v>1.15</x:v>
      </x:c>
      <x:c r="Q326" s="113" t="n">
        <x:f>IFERROR(ROUND(O326*P326/Beallitasok!$B$7,0)*Beallitasok!$B$7,"")</x:f>
        <x:v>9100</x:v>
      </x:c>
      <x:c r="R326" s="113"/>
      <x:c r="S326" s="113" t="n">
        <x:f>IF(Q326="","",Q326+IF(R326="",0,R326))</x:f>
        <x:v>9100</x:v>
      </x:c>
      <x:c r="T326" s="113" t="n">
        <x:f>M326*Beallitasok!$B$4</x:f>
        <x:v>475000</x:v>
      </x:c>
      <x:c r="U326" s="115" t="n">
        <x:f>N326*Beallitasok!$B$4</x:f>
        <x:v>60</x:v>
      </x:c>
      <x:c r="V326" s="113"/>
      <x:c r="W326" s="113" t="str">
        <x:f>IF(V326="","",V326-J326)</x:f>
      </x:c>
      <x:c r="X326" s="19"/>
      <x:c r="Y326" s="113" t="n">
        <x:f>IF(S326="","",J326-S326)</x:f>
        <x:v>-4200</x:v>
      </x:c>
      <x:c r="Z326" s="19" t="str">
        <x:f>IF(AA326="IGEN",IF(J326&lt;S326,"GÉPIGÉNY + KRITIKUS: gépdíj nélkül is alacsony a plafon","GÉPIGÉNY: a saját egységár gépdíj nélkül értendő"),IF(J326&lt;S326,"KRITIKUS: alvállalkozói plafon &lt; saját terhelt egységköltség",IF(J326&lt;S326*Beallitasok!$B$6,"SZŰK TARTALÉK: 10% alatti tartalék","OK")))</x:f>
        <x:v>KRITIKUS: alvállalkozói plafon &lt; saját terhelt egységköltség</x:v>
      </x:c>
      <x:c r="AA326" s="19" t="str">
        <x:v>NEM</x:v>
      </x:c>
      <x:c r="AB326" s="19" t="str">
        <x:v>https://joszaki.hu/arak/klima-telepites</x:v>
      </x:c>
      <x:c r="AC326" s="19" t="str">
        <x:v>2026 fűtés/hőszivattyú/klíma/légtechnika alsó ársáv</x:v>
      </x:c>
      <x:c r="AD326" s="19" t="str">
        <x:v>Készülék, csőanyag, hűtőközeg, villamos betáp, beüzemelői díj és hatósági dokumentáció külön.</x:v>
      </x:c>
    </x:row>
    <x:row r="327">
      <x:c r="A327" s="19" t="str">
        <x:v>AR-0326</x:v>
      </x:c>
      <x:c r="B327" s="19" t="str">
        <x:v>15 Épületgépészet</x:v>
      </x:c>
      <x:c r="C327" s="19" t="str">
        <x:v>Fűtés, hűtés és szellőzés</x:v>
      </x:c>
      <x:c r="D327" s="19" t="str">
        <x:v>Mindegyik</x:v>
      </x:c>
      <x:c r="E327" s="19" t="str">
        <x:v>Fan-coil felszerelése és hidraulikai bekötése</x:v>
      </x:c>
      <x:c r="F327" s="19" t="str">
        <x:v>db</x:v>
      </x:c>
      <x:c r="G327" s="113" t="n">
        <x:v>35000</x:v>
      </x:c>
      <x:c r="H327" s="113" t="n">
        <x:v>52000</x:v>
      </x:c>
      <x:c r="I327" s="114" t="n">
        <x:v>0.65</x:v>
      </x:c>
      <x:c r="J327" s="113" t="n">
        <x:f>ROUND(H327*I327/Beallitasok!$B$7,0)*Beallitasok!$B$7</x:f>
        <x:v>33800</x:v>
      </x:c>
      <x:c r="K327" s="19" t="n">
        <x:v>2</x:v>
      </x:c>
      <x:c r="L327" s="19" t="n">
        <x:v>1</x:v>
      </x:c>
      <x:c r="M327" s="113" t="n">
        <x:f>K327*Beallitasok!$B$2+L327*Beallitasok!$B$3</x:f>
        <x:v>95000</x:v>
      </x:c>
      <x:c r="N327" s="115" t="n">
        <x:v>1.5</x:v>
      </x:c>
      <x:c r="O327" s="113" t="n">
        <x:f>IFERROR(M327/N327,"")</x:f>
        <x:v>63333.333333333336</x:v>
      </x:c>
      <x:c r="P327" s="116" t="n">
        <x:f>Beallitasok!$B$5</x:f>
        <x:v>1.15</x:v>
      </x:c>
      <x:c r="Q327" s="113" t="n">
        <x:f>IFERROR(ROUND(O327*P327/Beallitasok!$B$7,0)*Beallitasok!$B$7,"")</x:f>
        <x:v>72850</x:v>
      </x:c>
      <x:c r="R327" s="113"/>
      <x:c r="S327" s="113" t="n">
        <x:f>IF(Q327="","",Q327+IF(R327="",0,R327))</x:f>
        <x:v>72850</x:v>
      </x:c>
      <x:c r="T327" s="113" t="n">
        <x:f>M327*Beallitasok!$B$4</x:f>
        <x:v>475000</x:v>
      </x:c>
      <x:c r="U327" s="115" t="n">
        <x:f>N327*Beallitasok!$B$4</x:f>
        <x:v>7.5</x:v>
      </x:c>
      <x:c r="V327" s="113"/>
      <x:c r="W327" s="113" t="str">
        <x:f>IF(V327="","",V327-J327)</x:f>
      </x:c>
      <x:c r="X327" s="19"/>
      <x:c r="Y327" s="113" t="n">
        <x:f>IF(S327="","",J327-S327)</x:f>
        <x:v>-39050</x:v>
      </x:c>
      <x:c r="Z327" s="19" t="str">
        <x:f>IF(AA327="IGEN",IF(J327&lt;S327,"GÉPIGÉNY + KRITIKUS: gépdíj nélkül is alacsony a plafon","GÉPIGÉNY: a saját egységár gépdíj nélkül értendő"),IF(J327&lt;S327,"KRITIKUS: alvállalkozói plafon &lt; saját terhelt egységköltség",IF(J327&lt;S327*Beallitasok!$B$6,"SZŰK TARTALÉK: 10% alatti tartalék","OK")))</x:f>
        <x:v>KRITIKUS: alvállalkozói plafon &lt; saját terhelt egységköltség</x:v>
      </x:c>
      <x:c r="AA327" s="19" t="str">
        <x:v>NEM</x:v>
      </x:c>
      <x:c r="AB327" s="19" t="str">
        <x:v>https://joszaki.hu/arak/futesi-rendszer-kiepites</x:v>
      </x:c>
      <x:c r="AC327" s="19" t="str">
        <x:v>2026 fűtés/hőszivattyú/klíma/légtechnika alsó ársáv</x:v>
      </x:c>
      <x:c r="AD327" s="19" t="str">
        <x:v>Készülék, csőanyag, hűtőközeg, villamos betáp, beüzemelői díj és hatósági dokumentáció külön.</x:v>
      </x:c>
    </x:row>
    <x:row r="328">
      <x:c r="A328" s="19" t="str">
        <x:v>AR-0327</x:v>
      </x:c>
      <x:c r="B328" s="19" t="str">
        <x:v>15 Épületgépészet</x:v>
      </x:c>
      <x:c r="C328" s="19" t="str">
        <x:v>Fűtés, hűtés és szellőzés</x:v>
      </x:c>
      <x:c r="D328" s="19" t="str">
        <x:v>Mindegyik</x:v>
      </x:c>
      <x:c r="E328" s="19" t="str">
        <x:v>Kondenzvíz elvezetés szerelése</x:v>
      </x:c>
      <x:c r="F328" s="19" t="str">
        <x:v>fm</x:v>
      </x:c>
      <x:c r="G328" s="113" t="n">
        <x:v>2500</x:v>
      </x:c>
      <x:c r="H328" s="113" t="n">
        <x:v>3800</x:v>
      </x:c>
      <x:c r="I328" s="114" t="n">
        <x:v>0.6</x:v>
      </x:c>
      <x:c r="J328" s="113" t="n">
        <x:f>ROUND(H328*I328/Beallitasok!$B$7,0)*Beallitasok!$B$7</x:f>
        <x:v>2300</x:v>
      </x:c>
      <x:c r="K328" s="19" t="n">
        <x:v>1</x:v>
      </x:c>
      <x:c r="L328" s="19" t="n">
        <x:v>1</x:v>
      </x:c>
      <x:c r="M328" s="113" t="n">
        <x:f>K328*Beallitasok!$B$2+L328*Beallitasok!$B$3</x:f>
        <x:v>60000</x:v>
      </x:c>
      <x:c r="N328" s="115" t="n">
        <x:v>28</x:v>
      </x:c>
      <x:c r="O328" s="113" t="n">
        <x:f>IFERROR(M328/N328,"")</x:f>
        <x:v>2142.8571428571427</x:v>
      </x:c>
      <x:c r="P328" s="116" t="n">
        <x:f>Beallitasok!$B$5</x:f>
        <x:v>1.15</x:v>
      </x:c>
      <x:c r="Q328" s="113" t="n">
        <x:f>IFERROR(ROUND(O328*P328/Beallitasok!$B$7,0)*Beallitasok!$B$7,"")</x:f>
        <x:v>2450</x:v>
      </x:c>
      <x:c r="R328" s="113"/>
      <x:c r="S328" s="113" t="n">
        <x:f>IF(Q328="","",Q328+IF(R328="",0,R328))</x:f>
        <x:v>2450</x:v>
      </x:c>
      <x:c r="T328" s="113" t="n">
        <x:f>M328*Beallitasok!$B$4</x:f>
        <x:v>300000</x:v>
      </x:c>
      <x:c r="U328" s="115" t="n">
        <x:f>N328*Beallitasok!$B$4</x:f>
        <x:v>140</x:v>
      </x:c>
      <x:c r="V328" s="113"/>
      <x:c r="W328" s="113" t="str">
        <x:f>IF(V328="","",V328-J328)</x:f>
      </x:c>
      <x:c r="X328" s="19"/>
      <x:c r="Y328" s="113" t="n">
        <x:f>IF(S328="","",J328-S328)</x:f>
        <x:v>-150</x:v>
      </x:c>
      <x:c r="Z328" s="19" t="str">
        <x:f>IF(AA328="IGEN",IF(J328&lt;S328,"GÉPIGÉNY + KRITIKUS: gépdíj nélkül is alacsony a plafon","GÉPIGÉNY: a saját egységár gépdíj nélkül értendő"),IF(J328&lt;S328,"KRITIKUS: alvállalkozói plafon &lt; saját terhelt egységköltség",IF(J328&lt;S328*Beallitasok!$B$6,"SZŰK TARTALÉK: 10% alatti tartalék","OK")))</x:f>
        <x:v>KRITIKUS: alvállalkozói plafon &lt; saját terhelt egységköltség</x:v>
      </x:c>
      <x:c r="AA328" s="19" t="str">
        <x:v>NEM</x:v>
      </x:c>
      <x:c r="AB328" s="19" t="str">
        <x:v>https://joszaki.hu/arak/klima-telepites</x:v>
      </x:c>
      <x:c r="AC328" s="19" t="str">
        <x:v>2026 fűtés/hőszivattyú/klíma/légtechnika alsó ársáv</x:v>
      </x:c>
      <x:c r="AD328" s="19" t="str">
        <x:v>Készülék, csőanyag, hűtőközeg, villamos betáp, beüzemelői díj és hatósági dokumentáció külön.</x:v>
      </x:c>
    </x:row>
    <x:row r="329">
      <x:c r="A329" s="19" t="str">
        <x:v>AR-0328</x:v>
      </x:c>
      <x:c r="B329" s="19" t="str">
        <x:v>15 Épületgépészet</x:v>
      </x:c>
      <x:c r="C329" s="19" t="str">
        <x:v>Fűtés, hűtés és szellőzés</x:v>
      </x:c>
      <x:c r="D329" s="19" t="str">
        <x:v>Mindegyik</x:v>
      </x:c>
      <x:c r="E329" s="19" t="str">
        <x:v>Központi hővisszanyerős gép mechanikai elhelyezése</x:v>
      </x:c>
      <x:c r="F329" s="19" t="str">
        <x:v>db</x:v>
      </x:c>
      <x:c r="G329" s="113" t="n">
        <x:v>65000</x:v>
      </x:c>
      <x:c r="H329" s="113" t="n">
        <x:v>95000</x:v>
      </x:c>
      <x:c r="I329" s="114" t="n">
        <x:v>0.65</x:v>
      </x:c>
      <x:c r="J329" s="113" t="n">
        <x:f>ROUND(H329*I329/Beallitasok!$B$7,0)*Beallitasok!$B$7</x:f>
        <x:v>61750</x:v>
      </x:c>
      <x:c r="K329" s="19" t="n">
        <x:v>2</x:v>
      </x:c>
      <x:c r="L329" s="19" t="n">
        <x:v>1</x:v>
      </x:c>
      <x:c r="M329" s="113" t="n">
        <x:f>K329*Beallitasok!$B$2+L329*Beallitasok!$B$3</x:f>
        <x:v>95000</x:v>
      </x:c>
      <x:c r="N329" s="115" t="n">
        <x:v>1</x:v>
      </x:c>
      <x:c r="O329" s="113" t="n">
        <x:f>IFERROR(M329/N329,"")</x:f>
        <x:v>95000</x:v>
      </x:c>
      <x:c r="P329" s="116" t="n">
        <x:f>Beallitasok!$B$5</x:f>
        <x:v>1.15</x:v>
      </x:c>
      <x:c r="Q329" s="113" t="n">
        <x:f>IFERROR(ROUND(O329*P329/Beallitasok!$B$7,0)*Beallitasok!$B$7,"")</x:f>
        <x:v>109250</x:v>
      </x:c>
      <x:c r="R329" s="113"/>
      <x:c r="S329" s="113" t="n">
        <x:f>IF(Q329="","",Q329+IF(R329="",0,R329))</x:f>
        <x:v>109250</x:v>
      </x:c>
      <x:c r="T329" s="113" t="n">
        <x:f>M329*Beallitasok!$B$4</x:f>
        <x:v>475000</x:v>
      </x:c>
      <x:c r="U329" s="115" t="n">
        <x:f>N329*Beallitasok!$B$4</x:f>
        <x:v>5</x:v>
      </x:c>
      <x:c r="V329" s="113"/>
      <x:c r="W329" s="113" t="str">
        <x:f>IF(V329="","",V329-J329)</x:f>
      </x:c>
      <x:c r="X329" s="19"/>
      <x:c r="Y329" s="113" t="n">
        <x:f>IF(S329="","",J329-S329)</x:f>
        <x:v>-47500</x:v>
      </x:c>
      <x:c r="Z329" s="19" t="str">
        <x:f>IF(AA329="IGEN",IF(J329&lt;S329,"GÉPIGÉNY + KRITIKUS: gépdíj nélkül is alacsony a plafon","GÉPIGÉNY: a saját egységár gépdíj nélkül értendő"),IF(J329&lt;S329,"KRITIKUS: alvállalkozói plafon &lt; saját terhelt egységköltség",IF(J329&lt;S329*Beallitasok!$B$6,"SZŰK TARTALÉK: 10% alatti tartalék","OK")))</x:f>
        <x:v>KRITIKUS: alvállalkozói plafon &lt; saját terhelt egységköltség</x:v>
      </x:c>
      <x:c r="AA329" s="19" t="str">
        <x:v>NEM</x:v>
      </x:c>
      <x:c r="AB329" s="19" t="str">
        <x:v>https://joszaki.hu/arak/legtechnika-szereles</x:v>
      </x:c>
      <x:c r="AC329" s="19" t="str">
        <x:v>2026 fűtés/hőszivattyú/klíma/légtechnika alsó ársáv</x:v>
      </x:c>
      <x:c r="AD329" s="19" t="str">
        <x:v>Készülék, csőanyag, hűtőközeg, villamos betáp, beüzemelői díj és hatósági dokumentáció külön.</x:v>
      </x:c>
    </x:row>
    <x:row r="330">
      <x:c r="A330" s="19" t="str">
        <x:v>AR-0329</x:v>
      </x:c>
      <x:c r="B330" s="19" t="str">
        <x:v>15 Épületgépészet</x:v>
      </x:c>
      <x:c r="C330" s="19" t="str">
        <x:v>Fűtés, hűtés és szellőzés</x:v>
      </x:c>
      <x:c r="D330" s="19" t="str">
        <x:v>Mindegyik</x:v>
      </x:c>
      <x:c r="E330" s="19" t="str">
        <x:v>Merev légcsatorna szerelése családi házban</x:v>
      </x:c>
      <x:c r="F330" s="19" t="str">
        <x:v>fm</x:v>
      </x:c>
      <x:c r="G330" s="113" t="n">
        <x:v>5000</x:v>
      </x:c>
      <x:c r="H330" s="113" t="n">
        <x:v>7500</x:v>
      </x:c>
      <x:c r="I330" s="114" t="n">
        <x:v>0.6</x:v>
      </x:c>
      <x:c r="J330" s="113" t="n">
        <x:f>ROUND(H330*I330/Beallitasok!$B$7,0)*Beallitasok!$B$7</x:f>
        <x:v>4500</x:v>
      </x:c>
      <x:c r="K330" s="19" t="n">
        <x:v>2</x:v>
      </x:c>
      <x:c r="L330" s="19" t="n">
        <x:v>1</x:v>
      </x:c>
      <x:c r="M330" s="113" t="n">
        <x:f>K330*Beallitasok!$B$2+L330*Beallitasok!$B$3</x:f>
        <x:v>95000</x:v>
      </x:c>
      <x:c r="N330" s="115" t="n">
        <x:v>20</x:v>
      </x:c>
      <x:c r="O330" s="113" t="n">
        <x:f>IFERROR(M330/N330,"")</x:f>
        <x:v>4750</x:v>
      </x:c>
      <x:c r="P330" s="116" t="n">
        <x:f>Beallitasok!$B$5</x:f>
        <x:v>1.15</x:v>
      </x:c>
      <x:c r="Q330" s="113" t="n">
        <x:f>IFERROR(ROUND(O330*P330/Beallitasok!$B$7,0)*Beallitasok!$B$7,"")</x:f>
        <x:v>5450</x:v>
      </x:c>
      <x:c r="R330" s="113"/>
      <x:c r="S330" s="113" t="n">
        <x:f>IF(Q330="","",Q330+IF(R330="",0,R330))</x:f>
        <x:v>5450</x:v>
      </x:c>
      <x:c r="T330" s="113" t="n">
        <x:f>M330*Beallitasok!$B$4</x:f>
        <x:v>475000</x:v>
      </x:c>
      <x:c r="U330" s="115" t="n">
        <x:f>N330*Beallitasok!$B$4</x:f>
        <x:v>100</x:v>
      </x:c>
      <x:c r="V330" s="113"/>
      <x:c r="W330" s="113" t="str">
        <x:f>IF(V330="","",V330-J330)</x:f>
      </x:c>
      <x:c r="X330" s="19"/>
      <x:c r="Y330" s="113" t="n">
        <x:f>IF(S330="","",J330-S330)</x:f>
        <x:v>-950</x:v>
      </x:c>
      <x:c r="Z330" s="19" t="str">
        <x:f>IF(AA330="IGEN",IF(J330&lt;S330,"GÉPIGÉNY + KRITIKUS: gépdíj nélkül is alacsony a plafon","GÉPIGÉNY: a saját egységár gépdíj nélkül értendő"),IF(J330&lt;S330,"KRITIKUS: alvállalkozói plafon &lt; saját terhelt egységköltség",IF(J330&lt;S330*Beallitasok!$B$6,"SZŰK TARTALÉK: 10% alatti tartalék","OK")))</x:f>
        <x:v>KRITIKUS: alvállalkozói plafon &lt; saját terhelt egységköltség</x:v>
      </x:c>
      <x:c r="AA330" s="19" t="str">
        <x:v>NEM</x:v>
      </x:c>
      <x:c r="AB330" s="19" t="str">
        <x:v>https://joszaki.hu/arak/legtechnika-szereles</x:v>
      </x:c>
      <x:c r="AC330" s="19" t="str">
        <x:v>2026 fűtés/hőszivattyú/klíma/légtechnika alsó ársáv</x:v>
      </x:c>
      <x:c r="AD330" s="19" t="str">
        <x:v>Készülék, csőanyag, hűtőközeg, villamos betáp, beüzemelői díj és hatósági dokumentáció külön.</x:v>
      </x:c>
    </x:row>
    <x:row r="331">
      <x:c r="A331" s="19" t="str">
        <x:v>AR-0330</x:v>
      </x:c>
      <x:c r="B331" s="19" t="str">
        <x:v>15 Épületgépészet</x:v>
      </x:c>
      <x:c r="C331" s="19" t="str">
        <x:v>Fűtés, hűtés és szellőzés</x:v>
      </x:c>
      <x:c r="D331" s="19" t="str">
        <x:v>Mindegyik</x:v>
      </x:c>
      <x:c r="E331" s="19" t="str">
        <x:v>Flexibilis légcsatorna szerelése</x:v>
      </x:c>
      <x:c r="F331" s="19" t="str">
        <x:v>fm</x:v>
      </x:c>
      <x:c r="G331" s="113" t="n">
        <x:v>3200</x:v>
      </x:c>
      <x:c r="H331" s="113" t="n">
        <x:v>4800</x:v>
      </x:c>
      <x:c r="I331" s="114" t="n">
        <x:v>0.6</x:v>
      </x:c>
      <x:c r="J331" s="113" t="n">
        <x:f>ROUND(H331*I331/Beallitasok!$B$7,0)*Beallitasok!$B$7</x:f>
        <x:v>2900</x:v>
      </x:c>
      <x:c r="K331" s="19" t="n">
        <x:v>2</x:v>
      </x:c>
      <x:c r="L331" s="19" t="n">
        <x:v>1</x:v>
      </x:c>
      <x:c r="M331" s="113" t="n">
        <x:f>K331*Beallitasok!$B$2+L331*Beallitasok!$B$3</x:f>
        <x:v>95000</x:v>
      </x:c>
      <x:c r="N331" s="115" t="n">
        <x:v>30</x:v>
      </x:c>
      <x:c r="O331" s="113" t="n">
        <x:f>IFERROR(M331/N331,"")</x:f>
        <x:v>3166.6666666666665</x:v>
      </x:c>
      <x:c r="P331" s="116" t="n">
        <x:f>Beallitasok!$B$5</x:f>
        <x:v>1.15</x:v>
      </x:c>
      <x:c r="Q331" s="113" t="n">
        <x:f>IFERROR(ROUND(O331*P331/Beallitasok!$B$7,0)*Beallitasok!$B$7,"")</x:f>
        <x:v>3650</x:v>
      </x:c>
      <x:c r="R331" s="113"/>
      <x:c r="S331" s="113" t="n">
        <x:f>IF(Q331="","",Q331+IF(R331="",0,R331))</x:f>
        <x:v>3650</x:v>
      </x:c>
      <x:c r="T331" s="113" t="n">
        <x:f>M331*Beallitasok!$B$4</x:f>
        <x:v>475000</x:v>
      </x:c>
      <x:c r="U331" s="115" t="n">
        <x:f>N331*Beallitasok!$B$4</x:f>
        <x:v>150</x:v>
      </x:c>
      <x:c r="V331" s="113"/>
      <x:c r="W331" s="113" t="str">
        <x:f>IF(V331="","",V331-J331)</x:f>
      </x:c>
      <x:c r="X331" s="19"/>
      <x:c r="Y331" s="113" t="n">
        <x:f>IF(S331="","",J331-S331)</x:f>
        <x:v>-750</x:v>
      </x:c>
      <x:c r="Z331" s="19" t="str">
        <x:f>IF(AA331="IGEN",IF(J331&lt;S331,"GÉPIGÉNY + KRITIKUS: gépdíj nélkül is alacsony a plafon","GÉPIGÉNY: a saját egységár gépdíj nélkül értendő"),IF(J331&lt;S331,"KRITIKUS: alvállalkozói plafon &lt; saját terhelt egységköltség",IF(J331&lt;S331*Beallitasok!$B$6,"SZŰK TARTALÉK: 10% alatti tartalék","OK")))</x:f>
        <x:v>KRITIKUS: alvállalkozói plafon &lt; saját terhelt egységköltség</x:v>
      </x:c>
      <x:c r="AA331" s="19" t="str">
        <x:v>NEM</x:v>
      </x:c>
      <x:c r="AB331" s="19" t="str">
        <x:v>https://joszaki.hu/arak/legtechnika-szereles</x:v>
      </x:c>
      <x:c r="AC331" s="19" t="str">
        <x:v>2026 fűtés/hőszivattyú/klíma/légtechnika alsó ársáv</x:v>
      </x:c>
      <x:c r="AD331" s="19" t="str">
        <x:v>Készülék, csőanyag, hűtőközeg, villamos betáp, beüzemelői díj és hatósági dokumentáció külön.</x:v>
      </x:c>
    </x:row>
    <x:row r="332">
      <x:c r="A332" s="19" t="str">
        <x:v>AR-0331</x:v>
      </x:c>
      <x:c r="B332" s="19" t="str">
        <x:v>15 Épületgépészet</x:v>
      </x:c>
      <x:c r="C332" s="19" t="str">
        <x:v>Fűtés, hűtés és szellőzés</x:v>
      </x:c>
      <x:c r="D332" s="19" t="str">
        <x:v>Mindegyik</x:v>
      </x:c>
      <x:c r="E332" s="19" t="str">
        <x:v>Légszelep és anemosztát beépítése</x:v>
      </x:c>
      <x:c r="F332" s="19" t="str">
        <x:v>db</x:v>
      </x:c>
      <x:c r="G332" s="113" t="n">
        <x:v>6500</x:v>
      </x:c>
      <x:c r="H332" s="113" t="n">
        <x:v>9500</x:v>
      </x:c>
      <x:c r="I332" s="114" t="n">
        <x:v>0.6</x:v>
      </x:c>
      <x:c r="J332" s="113" t="n">
        <x:f>ROUND(H332*I332/Beallitasok!$B$7,0)*Beallitasok!$B$7</x:f>
        <x:v>5700</x:v>
      </x:c>
      <x:c r="K332" s="19" t="n">
        <x:v>2</x:v>
      </x:c>
      <x:c r="L332" s="19" t="n">
        <x:v>1</x:v>
      </x:c>
      <x:c r="M332" s="113" t="n">
        <x:f>K332*Beallitasok!$B$2+L332*Beallitasok!$B$3</x:f>
        <x:v>95000</x:v>
      </x:c>
      <x:c r="N332" s="115" t="n">
        <x:v>5</x:v>
      </x:c>
      <x:c r="O332" s="113" t="n">
        <x:f>IFERROR(M332/N332,"")</x:f>
        <x:v>19000</x:v>
      </x:c>
      <x:c r="P332" s="116" t="n">
        <x:f>Beallitasok!$B$5</x:f>
        <x:v>1.15</x:v>
      </x:c>
      <x:c r="Q332" s="113" t="n">
        <x:f>IFERROR(ROUND(O332*P332/Beallitasok!$B$7,0)*Beallitasok!$B$7,"")</x:f>
        <x:v>21850</x:v>
      </x:c>
      <x:c r="R332" s="113"/>
      <x:c r="S332" s="113" t="n">
        <x:f>IF(Q332="","",Q332+IF(R332="",0,R332))</x:f>
        <x:v>21850</x:v>
      </x:c>
      <x:c r="T332" s="113" t="n">
        <x:f>M332*Beallitasok!$B$4</x:f>
        <x:v>475000</x:v>
      </x:c>
      <x:c r="U332" s="115" t="n">
        <x:f>N332*Beallitasok!$B$4</x:f>
        <x:v>25</x:v>
      </x:c>
      <x:c r="V332" s="113"/>
      <x:c r="W332" s="113" t="str">
        <x:f>IF(V332="","",V332-J332)</x:f>
      </x:c>
      <x:c r="X332" s="19"/>
      <x:c r="Y332" s="113" t="n">
        <x:f>IF(S332="","",J332-S332)</x:f>
        <x:v>-16150</x:v>
      </x:c>
      <x:c r="Z332" s="19" t="str">
        <x:f>IF(AA332="IGEN",IF(J332&lt;S332,"GÉPIGÉNY + KRITIKUS: gépdíj nélkül is alacsony a plafon","GÉPIGÉNY: a saját egységár gépdíj nélkül értendő"),IF(J332&lt;S332,"KRITIKUS: alvállalkozói plafon &lt; saját terhelt egységköltség",IF(J332&lt;S332*Beallitasok!$B$6,"SZŰK TARTALÉK: 10% alatti tartalék","OK")))</x:f>
        <x:v>KRITIKUS: alvállalkozói plafon &lt; saját terhelt egységköltség</x:v>
      </x:c>
      <x:c r="AA332" s="19" t="str">
        <x:v>NEM</x:v>
      </x:c>
      <x:c r="AB332" s="19" t="str">
        <x:v>https://joszaki.hu/arak/legtechnika-szereles</x:v>
      </x:c>
      <x:c r="AC332" s="19" t="str">
        <x:v>2026 fűtés/hőszivattyú/klíma/légtechnika alsó ársáv</x:v>
      </x:c>
      <x:c r="AD332" s="19" t="str">
        <x:v>Készülék, csőanyag, hűtőközeg, villamos betáp, beüzemelői díj és hatósági dokumentáció külön.</x:v>
      </x:c>
    </x:row>
    <x:row r="333">
      <x:c r="A333" s="19" t="str">
        <x:v>AR-0332</x:v>
      </x:c>
      <x:c r="B333" s="19" t="str">
        <x:v>15 Épületgépészet</x:v>
      </x:c>
      <x:c r="C333" s="19" t="str">
        <x:v>Fűtés, hűtés és szellőzés</x:v>
      </x:c>
      <x:c r="D333" s="19" t="str">
        <x:v>Mindegyik</x:v>
      </x:c>
      <x:c r="E333" s="19" t="str">
        <x:v>Légtechnikai osztódoboz elhelyezése és bekötése</x:v>
      </x:c>
      <x:c r="F333" s="19" t="str">
        <x:v>db</x:v>
      </x:c>
      <x:c r="G333" s="113" t="n">
        <x:v>12000</x:v>
      </x:c>
      <x:c r="H333" s="113" t="n">
        <x:v>18000</x:v>
      </x:c>
      <x:c r="I333" s="114" t="n">
        <x:v>0.6</x:v>
      </x:c>
      <x:c r="J333" s="113" t="n">
        <x:f>ROUND(H333*I333/Beallitasok!$B$7,0)*Beallitasok!$B$7</x:f>
        <x:v>10800</x:v>
      </x:c>
      <x:c r="K333" s="19" t="n">
        <x:v>2</x:v>
      </x:c>
      <x:c r="L333" s="19" t="n">
        <x:v>1</x:v>
      </x:c>
      <x:c r="M333" s="113" t="n">
        <x:f>K333*Beallitasok!$B$2+L333*Beallitasok!$B$3</x:f>
        <x:v>95000</x:v>
      </x:c>
      <x:c r="N333" s="115" t="n">
        <x:v>3</x:v>
      </x:c>
      <x:c r="O333" s="113" t="n">
        <x:f>IFERROR(M333/N333,"")</x:f>
        <x:v>31666.666666666668</x:v>
      </x:c>
      <x:c r="P333" s="116" t="n">
        <x:f>Beallitasok!$B$5</x:f>
        <x:v>1.15</x:v>
      </x:c>
      <x:c r="Q333" s="113" t="n">
        <x:f>IFERROR(ROUND(O333*P333/Beallitasok!$B$7,0)*Beallitasok!$B$7,"")</x:f>
        <x:v>36400</x:v>
      </x:c>
      <x:c r="R333" s="113"/>
      <x:c r="S333" s="113" t="n">
        <x:f>IF(Q333="","",Q333+IF(R333="",0,R333))</x:f>
        <x:v>36400</x:v>
      </x:c>
      <x:c r="T333" s="113" t="n">
        <x:f>M333*Beallitasok!$B$4</x:f>
        <x:v>475000</x:v>
      </x:c>
      <x:c r="U333" s="115" t="n">
        <x:f>N333*Beallitasok!$B$4</x:f>
        <x:v>15</x:v>
      </x:c>
      <x:c r="V333" s="113"/>
      <x:c r="W333" s="113" t="str">
        <x:f>IF(V333="","",V333-J333)</x:f>
      </x:c>
      <x:c r="X333" s="19"/>
      <x:c r="Y333" s="113" t="n">
        <x:f>IF(S333="","",J333-S333)</x:f>
        <x:v>-25600</x:v>
      </x:c>
      <x:c r="Z333" s="19" t="str">
        <x:f>IF(AA333="IGEN",IF(J333&lt;S333,"GÉPIGÉNY + KRITIKUS: gépdíj nélkül is alacsony a plafon","GÉPIGÉNY: a saját egységár gépdíj nélkül értendő"),IF(J333&lt;S333,"KRITIKUS: alvállalkozói plafon &lt; saját terhelt egységköltség",IF(J333&lt;S333*Beallitasok!$B$6,"SZŰK TARTALÉK: 10% alatti tartalék","OK")))</x:f>
        <x:v>KRITIKUS: alvállalkozói plafon &lt; saját terhelt egységköltség</x:v>
      </x:c>
      <x:c r="AA333" s="19" t="str">
        <x:v>NEM</x:v>
      </x:c>
      <x:c r="AB333" s="19" t="str">
        <x:v>https://joszaki.hu/arak/legtechnika-szereles</x:v>
      </x:c>
      <x:c r="AC333" s="19" t="str">
        <x:v>2026 fűtés/hőszivattyú/klíma/légtechnika alsó ársáv</x:v>
      </x:c>
      <x:c r="AD333" s="19" t="str">
        <x:v>Készülék, csőanyag, hűtőközeg, villamos betáp, beüzemelői díj és hatósági dokumentáció külön.</x:v>
      </x:c>
    </x:row>
    <x:row r="334">
      <x:c r="A334" s="19" t="str">
        <x:v>AR-0333</x:v>
      </x:c>
      <x:c r="B334" s="19" t="str">
        <x:v>15 Épületgépészet</x:v>
      </x:c>
      <x:c r="C334" s="19" t="str">
        <x:v>Fűtés, hűtés és szellőzés</x:v>
      </x:c>
      <x:c r="D334" s="19" t="str">
        <x:v>Mindegyik</x:v>
      </x:c>
      <x:c r="E334" s="19" t="str">
        <x:v>Szellőzőrendszer légmennyiség beszabályozása</x:v>
      </x:c>
      <x:c r="F334" s="19" t="str">
        <x:v>rendszer</x:v>
      </x:c>
      <x:c r="G334" s="113" t="n">
        <x:v>85000</x:v>
      </x:c>
      <x:c r="H334" s="113" t="n">
        <x:v>125000</x:v>
      </x:c>
      <x:c r="I334" s="114" t="n">
        <x:v>0.65</x:v>
      </x:c>
      <x:c r="J334" s="113" t="n">
        <x:f>ROUND(H334*I334/Beallitasok!$B$7,0)*Beallitasok!$B$7</x:f>
        <x:v>81250</x:v>
      </x:c>
      <x:c r="K334" s="19" t="n">
        <x:v>2</x:v>
      </x:c>
      <x:c r="L334" s="19" t="n">
        <x:v>0</x:v>
      </x:c>
      <x:c r="M334" s="113" t="n">
        <x:f>K334*Beallitasok!$B$2+L334*Beallitasok!$B$3</x:f>
        <x:v>70000</x:v>
      </x:c>
      <x:c r="N334" s="115" t="n">
        <x:v>0.7</x:v>
      </x:c>
      <x:c r="O334" s="113" t="n">
        <x:f>IFERROR(M334/N334,"")</x:f>
        <x:v>100000</x:v>
      </x:c>
      <x:c r="P334" s="116" t="n">
        <x:f>Beallitasok!$B$5</x:f>
        <x:v>1.15</x:v>
      </x:c>
      <x:c r="Q334" s="113" t="n">
        <x:f>IFERROR(ROUND(O334*P334/Beallitasok!$B$7,0)*Beallitasok!$B$7,"")</x:f>
        <x:v>115000</x:v>
      </x:c>
      <x:c r="R334" s="113"/>
      <x:c r="S334" s="113" t="n">
        <x:f>IF(Q334="","",Q334+IF(R334="",0,R334))</x:f>
        <x:v>115000</x:v>
      </x:c>
      <x:c r="T334" s="113" t="n">
        <x:f>M334*Beallitasok!$B$4</x:f>
        <x:v>350000</x:v>
      </x:c>
      <x:c r="U334" s="115" t="n">
        <x:f>N334*Beallitasok!$B$4</x:f>
        <x:v>3.5</x:v>
      </x:c>
      <x:c r="V334" s="113"/>
      <x:c r="W334" s="113" t="str">
        <x:f>IF(V334="","",V334-J334)</x:f>
      </x:c>
      <x:c r="X334" s="19"/>
      <x:c r="Y334" s="113" t="n">
        <x:f>IF(S334="","",J334-S334)</x:f>
        <x:v>-33750</x:v>
      </x:c>
      <x:c r="Z334" s="19" t="str">
        <x:f>IF(AA334="IGEN",IF(J334&lt;S334,"GÉPIGÉNY + KRITIKUS: gépdíj nélkül is alacsony a plafon","GÉPIGÉNY: a saját egységár gépdíj nélkül értendő"),IF(J334&lt;S334,"KRITIKUS: alvállalkozói plafon &lt; saját terhelt egységköltség",IF(J334&lt;S334*Beallitasok!$B$6,"SZŰK TARTALÉK: 10% alatti tartalék","OK")))</x:f>
        <x:v>KRITIKUS: alvállalkozói plafon &lt; saját terhelt egységköltség</x:v>
      </x:c>
      <x:c r="AA334" s="19" t="str">
        <x:v>NEM</x:v>
      </x:c>
      <x:c r="AB334" s="19" t="str">
        <x:v>https://joszaki.hu/arak/legtechnika-szereles</x:v>
      </x:c>
      <x:c r="AC334" s="19" t="str">
        <x:v>2026 fűtés/hőszivattyú/klíma/légtechnika alsó ársáv</x:v>
      </x:c>
      <x:c r="AD334" s="19" t="str">
        <x:v>Készülék, csőanyag, hűtőközeg, villamos betáp, beüzemelői díj és hatósági dokumentáció külön.</x:v>
      </x:c>
    </x:row>
    <x:row r="335">
      <x:c r="A335" s="19" t="str">
        <x:v>AR-0334</x:v>
      </x:c>
      <x:c r="B335" s="19" t="str">
        <x:v>15 Épületgépészet</x:v>
      </x:c>
      <x:c r="C335" s="19" t="str">
        <x:v>Fűtés, hűtés és szellőzés</x:v>
      </x:c>
      <x:c r="D335" s="19" t="str">
        <x:v>Mindegyik</x:v>
      </x:c>
      <x:c r="E335" s="19" t="str">
        <x:v>Fürdőszobai elszívó ventilátor mechanikai beépítése</x:v>
      </x:c>
      <x:c r="F335" s="19" t="str">
        <x:v>db</x:v>
      </x:c>
      <x:c r="G335" s="113" t="n">
        <x:v>9000</x:v>
      </x:c>
      <x:c r="H335" s="113" t="n">
        <x:v>14000</x:v>
      </x:c>
      <x:c r="I335" s="114" t="n">
        <x:v>0.6</x:v>
      </x:c>
      <x:c r="J335" s="113" t="n">
        <x:f>ROUND(H335*I335/Beallitasok!$B$7,0)*Beallitasok!$B$7</x:f>
        <x:v>8400</x:v>
      </x:c>
      <x:c r="K335" s="19" t="n">
        <x:v>1</x:v>
      </x:c>
      <x:c r="L335" s="19" t="n">
        <x:v>1</x:v>
      </x:c>
      <x:c r="M335" s="113" t="n">
        <x:f>K335*Beallitasok!$B$2+L335*Beallitasok!$B$3</x:f>
        <x:v>60000</x:v>
      </x:c>
      <x:c r="N335" s="115" t="n">
        <x:v>5</x:v>
      </x:c>
      <x:c r="O335" s="113" t="n">
        <x:f>IFERROR(M335/N335,"")</x:f>
        <x:v>12000</x:v>
      </x:c>
      <x:c r="P335" s="116" t="n">
        <x:f>Beallitasok!$B$5</x:f>
        <x:v>1.15</x:v>
      </x:c>
      <x:c r="Q335" s="113" t="n">
        <x:f>IFERROR(ROUND(O335*P335/Beallitasok!$B$7,0)*Beallitasok!$B$7,"")</x:f>
        <x:v>13800</x:v>
      </x:c>
      <x:c r="R335" s="113"/>
      <x:c r="S335" s="113" t="n">
        <x:f>IF(Q335="","",Q335+IF(R335="",0,R335))</x:f>
        <x:v>13800</x:v>
      </x:c>
      <x:c r="T335" s="113" t="n">
        <x:f>M335*Beallitasok!$B$4</x:f>
        <x:v>300000</x:v>
      </x:c>
      <x:c r="U335" s="115" t="n">
        <x:f>N335*Beallitasok!$B$4</x:f>
        <x:v>25</x:v>
      </x:c>
      <x:c r="V335" s="113"/>
      <x:c r="W335" s="113" t="str">
        <x:f>IF(V335="","",V335-J335)</x:f>
      </x:c>
      <x:c r="X335" s="19"/>
      <x:c r="Y335" s="113" t="n">
        <x:f>IF(S335="","",J335-S335)</x:f>
        <x:v>-5400</x:v>
      </x:c>
      <x:c r="Z335" s="19" t="str">
        <x:f>IF(AA335="IGEN",IF(J335&lt;S335,"GÉPIGÉNY + KRITIKUS: gépdíj nélkül is alacsony a plafon","GÉPIGÉNY: a saját egységár gépdíj nélkül értendő"),IF(J335&lt;S335,"KRITIKUS: alvállalkozói plafon &lt; saját terhelt egységköltség",IF(J335&lt;S335*Beallitasok!$B$6,"SZŰK TARTALÉK: 10% alatti tartalék","OK")))</x:f>
        <x:v>KRITIKUS: alvállalkozói plafon &lt; saját terhelt egységköltség</x:v>
      </x:c>
      <x:c r="AA335" s="19" t="str">
        <x:v>NEM</x:v>
      </x:c>
      <x:c r="AB335" s="19" t="str">
        <x:v>https://joszaki.hu/arak/legtechnika-szereles</x:v>
      </x:c>
      <x:c r="AC335" s="19" t="str">
        <x:v>2026 fűtés/hőszivattyú/klíma/légtechnika alsó ársáv</x:v>
      </x:c>
      <x:c r="AD335" s="19" t="str">
        <x:v>Készülék, csőanyag, hűtőközeg, villamos betáp, beüzemelői díj és hatósági dokumentáció külön.</x:v>
      </x:c>
    </x:row>
    <x:row r="336">
      <x:c r="A336" s="19" t="str">
        <x:v>AR-0335</x:v>
      </x:c>
      <x:c r="B336" s="19" t="str">
        <x:v>16 Villanyszerelés</x:v>
      </x:c>
      <x:c r="C336" s="19" t="str">
        <x:v>Erősáram, gyengeáram, mérés</x:v>
      </x:c>
      <x:c r="D336" s="19" t="str">
        <x:v>Mindegyik</x:v>
      </x:c>
      <x:c r="E336" s="19" t="str">
        <x:v>Falhorony készítése téglafalban villamos védőcsőhöz</x:v>
      </x:c>
      <x:c r="F336" s="19" t="str">
        <x:v>fm</x:v>
      </x:c>
      <x:c r="G336" s="113" t="n">
        <x:v>1600</x:v>
      </x:c>
      <x:c r="H336" s="113" t="n">
        <x:v>2400</x:v>
      </x:c>
      <x:c r="I336" s="114" t="n">
        <x:v>0.55</x:v>
      </x:c>
      <x:c r="J336" s="113" t="n">
        <x:f>ROUND(H336*I336/Beallitasok!$B$7,0)*Beallitasok!$B$7</x:f>
        <x:v>1300</x:v>
      </x:c>
      <x:c r="K336" s="19" t="n">
        <x:v>1</x:v>
      </x:c>
      <x:c r="L336" s="19" t="n">
        <x:v>1</x:v>
      </x:c>
      <x:c r="M336" s="113" t="n">
        <x:f>K336*Beallitasok!$B$2+L336*Beallitasok!$B$3</x:f>
        <x:v>60000</x:v>
      </x:c>
      <x:c r="N336" s="115" t="n">
        <x:v>35</x:v>
      </x:c>
      <x:c r="O336" s="113" t="n">
        <x:f>IFERROR(M336/N336,"")</x:f>
        <x:v>1714.2857142857142</x:v>
      </x:c>
      <x:c r="P336" s="116" t="n">
        <x:f>Beallitasok!$B$5</x:f>
        <x:v>1.15</x:v>
      </x:c>
      <x:c r="Q336" s="113" t="n">
        <x:f>IFERROR(ROUND(O336*P336/Beallitasok!$B$7,0)*Beallitasok!$B$7,"")</x:f>
        <x:v>1950</x:v>
      </x:c>
      <x:c r="R336" s="113"/>
      <x:c r="S336" s="113" t="n">
        <x:f>IF(Q336="","",Q336+IF(R336="",0,R336))</x:f>
        <x:v>1950</x:v>
      </x:c>
      <x:c r="T336" s="113" t="n">
        <x:f>M336*Beallitasok!$B$4</x:f>
        <x:v>300000</x:v>
      </x:c>
      <x:c r="U336" s="115" t="n">
        <x:f>N336*Beallitasok!$B$4</x:f>
        <x:v>175</x:v>
      </x:c>
      <x:c r="V336" s="113"/>
      <x:c r="W336" s="113" t="str">
        <x:f>IF(V336="","",V336-J336)</x:f>
      </x:c>
      <x:c r="X336" s="19"/>
      <x:c r="Y336" s="113" t="n">
        <x:f>IF(S336="","",J336-S336)</x:f>
        <x:v>-650</x:v>
      </x:c>
      <x:c r="Z336" s="19" t="str">
        <x:f>IF(AA336="IGEN",IF(J336&lt;S336,"GÉPIGÉNY + KRITIKUS: gépdíj nélkül is alacsony a plafon","GÉPIGÉNY: a saját egységár gépdíj nélkül értendő"),IF(J336&lt;S336,"KRITIKUS: alvállalkozói plafon &lt; saját terhelt egységköltség",IF(J336&lt;S336*Beallitasok!$B$6,"SZŰK TARTALÉK: 10% alatti tartalék","OK")))</x:f>
        <x:v>KRITIKUS: alvállalkozói plafon &lt; saját terhelt egységköltség</x:v>
      </x:c>
      <x:c r="AA336" s="19" t="str">
        <x:v>NEM</x:v>
      </x:c>
      <x:c r="AB336" s="19" t="str">
        <x:v>https://joszaki.hu/arak/villanyszereles</x:v>
      </x:c>
      <x:c r="AC336" s="19" t="str">
        <x:v>2026 villanyszerelési óradíj/pontár és részfolyamat-levezetés</x:v>
      </x:c>
      <x:c r="AD336" s="19" t="str">
        <x:v>Anyag, E.ON/MVM díj, mérőszekrény, lámpatest, készülék és minősítő mérés külön, ha nincs nevesítve.</x:v>
      </x:c>
    </x:row>
    <x:row r="337">
      <x:c r="A337" s="19" t="str">
        <x:v>AR-0336</x:v>
      </x:c>
      <x:c r="B337" s="19" t="str">
        <x:v>16 Villanyszerelés</x:v>
      </x:c>
      <x:c r="C337" s="19" t="str">
        <x:v>Erősáram, gyengeáram, mérés</x:v>
      </x:c>
      <x:c r="D337" s="19" t="str">
        <x:v>Mindegyik</x:v>
      </x:c>
      <x:c r="E337" s="19" t="str">
        <x:v>Szerelvénydoboz helyének kifúrása téglafalban</x:v>
      </x:c>
      <x:c r="F337" s="19" t="str">
        <x:v>db</x:v>
      </x:c>
      <x:c r="G337" s="113" t="n">
        <x:v>1100</x:v>
      </x:c>
      <x:c r="H337" s="113" t="n">
        <x:v>1700</x:v>
      </x:c>
      <x:c r="I337" s="114" t="n">
        <x:v>0.55</x:v>
      </x:c>
      <x:c r="J337" s="113" t="n">
        <x:f>ROUND(H337*I337/Beallitasok!$B$7,0)*Beallitasok!$B$7</x:f>
        <x:v>950</x:v>
      </x:c>
      <x:c r="K337" s="19" t="n">
        <x:v>1</x:v>
      </x:c>
      <x:c r="L337" s="19" t="n">
        <x:v>1</x:v>
      </x:c>
      <x:c r="M337" s="113" t="n">
        <x:f>K337*Beallitasok!$B$2+L337*Beallitasok!$B$3</x:f>
        <x:v>60000</x:v>
      </x:c>
      <x:c r="N337" s="115" t="n">
        <x:v>25</x:v>
      </x:c>
      <x:c r="O337" s="113" t="n">
        <x:f>IFERROR(M337/N337,"")</x:f>
        <x:v>2400</x:v>
      </x:c>
      <x:c r="P337" s="116" t="n">
        <x:f>Beallitasok!$B$5</x:f>
        <x:v>1.15</x:v>
      </x:c>
      <x:c r="Q337" s="113" t="n">
        <x:f>IFERROR(ROUND(O337*P337/Beallitasok!$B$7,0)*Beallitasok!$B$7,"")</x:f>
        <x:v>2750</x:v>
      </x:c>
      <x:c r="R337" s="113"/>
      <x:c r="S337" s="113" t="n">
        <x:f>IF(Q337="","",Q337+IF(R337="",0,R337))</x:f>
        <x:v>2750</x:v>
      </x:c>
      <x:c r="T337" s="113" t="n">
        <x:f>M337*Beallitasok!$B$4</x:f>
        <x:v>300000</x:v>
      </x:c>
      <x:c r="U337" s="115" t="n">
        <x:f>N337*Beallitasok!$B$4</x:f>
        <x:v>125</x:v>
      </x:c>
      <x:c r="V337" s="113"/>
      <x:c r="W337" s="113" t="str">
        <x:f>IF(V337="","",V337-J337)</x:f>
      </x:c>
      <x:c r="X337" s="19"/>
      <x:c r="Y337" s="113" t="n">
        <x:f>IF(S337="","",J337-S337)</x:f>
        <x:v>-1800</x:v>
      </x:c>
      <x:c r="Z337" s="19" t="str">
        <x:f>IF(AA337="IGEN",IF(J337&lt;S337,"GÉPIGÉNY + KRITIKUS: gépdíj nélkül is alacsony a plafon","GÉPIGÉNY: a saját egységár gépdíj nélkül értendő"),IF(J337&lt;S337,"KRITIKUS: alvállalkozói plafon &lt; saját terhelt egységköltség",IF(J337&lt;S337*Beallitasok!$B$6,"SZŰK TARTALÉK: 10% alatti tartalék","OK")))</x:f>
        <x:v>KRITIKUS: alvállalkozói plafon &lt; saját terhelt egységköltség</x:v>
      </x:c>
      <x:c r="AA337" s="19" t="str">
        <x:v>NEM</x:v>
      </x:c>
      <x:c r="AB337" s="19" t="str">
        <x:v>https://joszaki.hu/arak/villanyszereles</x:v>
      </x:c>
      <x:c r="AC337" s="19" t="str">
        <x:v>2026 villanyszerelési óradíj/pontár és részfolyamat-levezetés</x:v>
      </x:c>
      <x:c r="AD337" s="19" t="str">
        <x:v>Anyag, E.ON/MVM díj, mérőszekrény, lámpatest, készülék és minősítő mérés külön, ha nincs nevesítve.</x:v>
      </x:c>
    </x:row>
    <x:row r="338">
      <x:c r="A338" s="19" t="str">
        <x:v>AR-0337</x:v>
      </x:c>
      <x:c r="B338" s="19" t="str">
        <x:v>16 Villanyszerelés</x:v>
      </x:c>
      <x:c r="C338" s="19" t="str">
        <x:v>Erősáram, gyengeáram, mérés</x:v>
      </x:c>
      <x:c r="D338" s="19" t="str">
        <x:v>Mindegyik</x:v>
      </x:c>
      <x:c r="E338" s="19" t="str">
        <x:v>Védőcső fektetése falban/padlóban</x:v>
      </x:c>
      <x:c r="F338" s="19" t="str">
        <x:v>fm</x:v>
      </x:c>
      <x:c r="G338" s="113" t="n">
        <x:v>900</x:v>
      </x:c>
      <x:c r="H338" s="113" t="n">
        <x:v>1400</x:v>
      </x:c>
      <x:c r="I338" s="114" t="n">
        <x:v>0.55</x:v>
      </x:c>
      <x:c r="J338" s="113" t="n">
        <x:f>ROUND(H338*I338/Beallitasok!$B$7,0)*Beallitasok!$B$7</x:f>
        <x:v>750</x:v>
      </x:c>
      <x:c r="K338" s="19" t="n">
        <x:v>2</x:v>
      </x:c>
      <x:c r="L338" s="19" t="n">
        <x:v>1</x:v>
      </x:c>
      <x:c r="M338" s="113" t="n">
        <x:f>K338*Beallitasok!$B$2+L338*Beallitasok!$B$3</x:f>
        <x:v>95000</x:v>
      </x:c>
      <x:c r="N338" s="115" t="n">
        <x:v>65</x:v>
      </x:c>
      <x:c r="O338" s="113" t="n">
        <x:f>IFERROR(M338/N338,"")</x:f>
        <x:v>1461.5384615384614</x:v>
      </x:c>
      <x:c r="P338" s="116" t="n">
        <x:f>Beallitasok!$B$5</x:f>
        <x:v>1.15</x:v>
      </x:c>
      <x:c r="Q338" s="113" t="n">
        <x:f>IFERROR(ROUND(O338*P338/Beallitasok!$B$7,0)*Beallitasok!$B$7,"")</x:f>
        <x:v>1700</x:v>
      </x:c>
      <x:c r="R338" s="113"/>
      <x:c r="S338" s="113" t="n">
        <x:f>IF(Q338="","",Q338+IF(R338="",0,R338))</x:f>
        <x:v>1700</x:v>
      </x:c>
      <x:c r="T338" s="113" t="n">
        <x:f>M338*Beallitasok!$B$4</x:f>
        <x:v>475000</x:v>
      </x:c>
      <x:c r="U338" s="115" t="n">
        <x:f>N338*Beallitasok!$B$4</x:f>
        <x:v>325</x:v>
      </x:c>
      <x:c r="V338" s="113"/>
      <x:c r="W338" s="113" t="str">
        <x:f>IF(V338="","",V338-J338)</x:f>
      </x:c>
      <x:c r="X338" s="19"/>
      <x:c r="Y338" s="113" t="n">
        <x:f>IF(S338="","",J338-S338)</x:f>
        <x:v>-950</x:v>
      </x:c>
      <x:c r="Z338" s="19" t="str">
        <x:f>IF(AA338="IGEN",IF(J338&lt;S338,"GÉPIGÉNY + KRITIKUS: gépdíj nélkül is alacsony a plafon","GÉPIGÉNY: a saját egységár gépdíj nélkül értendő"),IF(J338&lt;S338,"KRITIKUS: alvállalkozói plafon &lt; saját terhelt egységköltség",IF(J338&lt;S338*Beallitasok!$B$6,"SZŰK TARTALÉK: 10% alatti tartalék","OK")))</x:f>
        <x:v>KRITIKUS: alvállalkozói plafon &lt; saját terhelt egységköltség</x:v>
      </x:c>
      <x:c r="AA338" s="19" t="str">
        <x:v>NEM</x:v>
      </x:c>
      <x:c r="AB338" s="19" t="str">
        <x:v>https://joszaki.hu/arak/villanyszereles</x:v>
      </x:c>
      <x:c r="AC338" s="19" t="str">
        <x:v>2026 villanyszerelési óradíj/pontár és részfolyamat-levezetés</x:v>
      </x:c>
      <x:c r="AD338" s="19" t="str">
        <x:v>Anyag, E.ON/MVM díj, mérőszekrény, lámpatest, készülék és minősítő mérés külön, ha nincs nevesítve.</x:v>
      </x:c>
    </x:row>
    <x:row r="339">
      <x:c r="A339" s="19" t="str">
        <x:v>AR-0338</x:v>
      </x:c>
      <x:c r="B339" s="19" t="str">
        <x:v>16 Villanyszerelés</x:v>
      </x:c>
      <x:c r="C339" s="19" t="str">
        <x:v>Erősáram, gyengeáram, mérés</x:v>
      </x:c>
      <x:c r="D339" s="19" t="str">
        <x:v>Mindegyik</x:v>
      </x:c>
      <x:c r="E339" s="19" t="str">
        <x:v>Erősáramú vezeték behúzása védőcsőbe</x:v>
      </x:c>
      <x:c r="F339" s="19" t="str">
        <x:v>fm</x:v>
      </x:c>
      <x:c r="G339" s="113" t="n">
        <x:v>650</x:v>
      </x:c>
      <x:c r="H339" s="113" t="n">
        <x:v>1000</x:v>
      </x:c>
      <x:c r="I339" s="114" t="n">
        <x:v>0.55</x:v>
      </x:c>
      <x:c r="J339" s="113" t="n">
        <x:f>ROUND(H339*I339/Beallitasok!$B$7,0)*Beallitasok!$B$7</x:f>
        <x:v>550</x:v>
      </x:c>
      <x:c r="K339" s="19" t="n">
        <x:v>2</x:v>
      </x:c>
      <x:c r="L339" s="19" t="n">
        <x:v>1</x:v>
      </x:c>
      <x:c r="M339" s="113" t="n">
        <x:f>K339*Beallitasok!$B$2+L339*Beallitasok!$B$3</x:f>
        <x:v>95000</x:v>
      </x:c>
      <x:c r="N339" s="115" t="n">
        <x:v>95</x:v>
      </x:c>
      <x:c r="O339" s="113" t="n">
        <x:f>IFERROR(M339/N339,"")</x:f>
        <x:v>1000</x:v>
      </x:c>
      <x:c r="P339" s="116" t="n">
        <x:f>Beallitasok!$B$5</x:f>
        <x:v>1.15</x:v>
      </x:c>
      <x:c r="Q339" s="113" t="n">
        <x:f>IFERROR(ROUND(O339*P339/Beallitasok!$B$7,0)*Beallitasok!$B$7,"")</x:f>
        <x:v>1150</x:v>
      </x:c>
      <x:c r="R339" s="113"/>
      <x:c r="S339" s="113" t="n">
        <x:f>IF(Q339="","",Q339+IF(R339="",0,R339))</x:f>
        <x:v>1150</x:v>
      </x:c>
      <x:c r="T339" s="113" t="n">
        <x:f>M339*Beallitasok!$B$4</x:f>
        <x:v>475000</x:v>
      </x:c>
      <x:c r="U339" s="115" t="n">
        <x:f>N339*Beallitasok!$B$4</x:f>
        <x:v>475</x:v>
      </x:c>
      <x:c r="V339" s="113"/>
      <x:c r="W339" s="113" t="str">
        <x:f>IF(V339="","",V339-J339)</x:f>
      </x:c>
      <x:c r="X339" s="19"/>
      <x:c r="Y339" s="113" t="n">
        <x:f>IF(S339="","",J339-S339)</x:f>
        <x:v>-600</x:v>
      </x:c>
      <x:c r="Z339" s="19" t="str">
        <x:f>IF(AA339="IGEN",IF(J339&lt;S339,"GÉPIGÉNY + KRITIKUS: gépdíj nélkül is alacsony a plafon","GÉPIGÉNY: a saját egységár gépdíj nélkül értendő"),IF(J339&lt;S339,"KRITIKUS: alvállalkozói plafon &lt; saját terhelt egységköltség",IF(J339&lt;S339*Beallitasok!$B$6,"SZŰK TARTALÉK: 10% alatti tartalék","OK")))</x:f>
        <x:v>KRITIKUS: alvállalkozói plafon &lt; saját terhelt egységköltség</x:v>
      </x:c>
      <x:c r="AA339" s="19" t="str">
        <x:v>NEM</x:v>
      </x:c>
      <x:c r="AB339" s="19" t="str">
        <x:v>https://joszaki.hu/arak/villanyszereles</x:v>
      </x:c>
      <x:c r="AC339" s="19" t="str">
        <x:v>2026 villanyszerelési óradíj/pontár és részfolyamat-levezetés</x:v>
      </x:c>
      <x:c r="AD339" s="19" t="str">
        <x:v>Anyag, E.ON/MVM díj, mérőszekrény, lámpatest, készülék és minősítő mérés külön, ha nincs nevesítve.</x:v>
      </x:c>
    </x:row>
    <x:row r="340">
      <x:c r="A340" s="19" t="str">
        <x:v>AR-0339</x:v>
      </x:c>
      <x:c r="B340" s="19" t="str">
        <x:v>16 Villanyszerelés</x:v>
      </x:c>
      <x:c r="C340" s="19" t="str">
        <x:v>Erősáram, gyengeáram, mérés</x:v>
      </x:c>
      <x:c r="D340" s="19" t="str">
        <x:v>Mindegyik</x:v>
      </x:c>
      <x:c r="E340" s="19" t="str">
        <x:v>Dugalj alapszerelési pont kiépítése</x:v>
      </x:c>
      <x:c r="F340" s="19" t="str">
        <x:v>pont</x:v>
      </x:c>
      <x:c r="G340" s="113" t="n">
        <x:v>4500</x:v>
      </x:c>
      <x:c r="H340" s="113" t="n">
        <x:v>7000</x:v>
      </x:c>
      <x:c r="I340" s="114" t="n">
        <x:v>0.6</x:v>
      </x:c>
      <x:c r="J340" s="113" t="n">
        <x:f>ROUND(H340*I340/Beallitasok!$B$7,0)*Beallitasok!$B$7</x:f>
        <x:v>4200</x:v>
      </x:c>
      <x:c r="K340" s="19" t="n">
        <x:v>2</x:v>
      </x:c>
      <x:c r="L340" s="19" t="n">
        <x:v>1</x:v>
      </x:c>
      <x:c r="M340" s="113" t="n">
        <x:f>K340*Beallitasok!$B$2+L340*Beallitasok!$B$3</x:f>
        <x:v>95000</x:v>
      </x:c>
      <x:c r="N340" s="115" t="n">
        <x:v>12</x:v>
      </x:c>
      <x:c r="O340" s="113" t="n">
        <x:f>IFERROR(M340/N340,"")</x:f>
        <x:v>7916.666666666667</x:v>
      </x:c>
      <x:c r="P340" s="116" t="n">
        <x:f>Beallitasok!$B$5</x:f>
        <x:v>1.15</x:v>
      </x:c>
      <x:c r="Q340" s="113" t="n">
        <x:f>IFERROR(ROUND(O340*P340/Beallitasok!$B$7,0)*Beallitasok!$B$7,"")</x:f>
        <x:v>9100</x:v>
      </x:c>
      <x:c r="R340" s="113"/>
      <x:c r="S340" s="113" t="n">
        <x:f>IF(Q340="","",Q340+IF(R340="",0,R340))</x:f>
        <x:v>9100</x:v>
      </x:c>
      <x:c r="T340" s="113" t="n">
        <x:f>M340*Beallitasok!$B$4</x:f>
        <x:v>475000</x:v>
      </x:c>
      <x:c r="U340" s="115" t="n">
        <x:f>N340*Beallitasok!$B$4</x:f>
        <x:v>60</x:v>
      </x:c>
      <x:c r="V340" s="113"/>
      <x:c r="W340" s="113" t="str">
        <x:f>IF(V340="","",V340-J340)</x:f>
      </x:c>
      <x:c r="X340" s="19"/>
      <x:c r="Y340" s="113" t="n">
        <x:f>IF(S340="","",J340-S340)</x:f>
        <x:v>-4900</x:v>
      </x:c>
      <x:c r="Z340" s="19" t="str">
        <x:f>IF(AA340="IGEN",IF(J340&lt;S340,"GÉPIGÉNY + KRITIKUS: gépdíj nélkül is alacsony a plafon","GÉPIGÉNY: a saját egységár gépdíj nélkül értendő"),IF(J340&lt;S340,"KRITIKUS: alvállalkozói plafon &lt; saját terhelt egységköltség",IF(J340&lt;S340*Beallitasok!$B$6,"SZŰK TARTALÉK: 10% alatti tartalék","OK")))</x:f>
        <x:v>KRITIKUS: alvállalkozói plafon &lt; saját terhelt egységköltség</x:v>
      </x:c>
      <x:c r="AA340" s="19" t="str">
        <x:v>NEM</x:v>
      </x:c>
      <x:c r="AB340" s="19" t="str">
        <x:v>https://joszaki.hu/arak/villanyszereles</x:v>
      </x:c>
      <x:c r="AC340" s="19" t="str">
        <x:v>2026 villanyszerelési óradíj/pontár és részfolyamat-levezetés</x:v>
      </x:c>
      <x:c r="AD340" s="19" t="str">
        <x:v>Anyag, E.ON/MVM díj, mérőszekrény, lámpatest, készülék és minősítő mérés külön, ha nincs nevesítve.</x:v>
      </x:c>
    </x:row>
    <x:row r="341">
      <x:c r="A341" s="19" t="str">
        <x:v>AR-0340</x:v>
      </x:c>
      <x:c r="B341" s="19" t="str">
        <x:v>16 Villanyszerelés</x:v>
      </x:c>
      <x:c r="C341" s="19" t="str">
        <x:v>Erősáram, gyengeáram, mérés</x:v>
      </x:c>
      <x:c r="D341" s="19" t="str">
        <x:v>Mindegyik</x:v>
      </x:c>
      <x:c r="E341" s="19" t="str">
        <x:v>Kapcsoló alapszerelési pont kiépítése</x:v>
      </x:c>
      <x:c r="F341" s="19" t="str">
        <x:v>pont</x:v>
      </x:c>
      <x:c r="G341" s="113" t="n">
        <x:v>4500</x:v>
      </x:c>
      <x:c r="H341" s="113" t="n">
        <x:v>7000</x:v>
      </x:c>
      <x:c r="I341" s="114" t="n">
        <x:v>0.6</x:v>
      </x:c>
      <x:c r="J341" s="113" t="n">
        <x:f>ROUND(H341*I341/Beallitasok!$B$7,0)*Beallitasok!$B$7</x:f>
        <x:v>4200</x:v>
      </x:c>
      <x:c r="K341" s="19" t="n">
        <x:v>2</x:v>
      </x:c>
      <x:c r="L341" s="19" t="n">
        <x:v>1</x:v>
      </x:c>
      <x:c r="M341" s="113" t="n">
        <x:f>K341*Beallitasok!$B$2+L341*Beallitasok!$B$3</x:f>
        <x:v>95000</x:v>
      </x:c>
      <x:c r="N341" s="115" t="n">
        <x:v>12</x:v>
      </x:c>
      <x:c r="O341" s="113" t="n">
        <x:f>IFERROR(M341/N341,"")</x:f>
        <x:v>7916.666666666667</x:v>
      </x:c>
      <x:c r="P341" s="116" t="n">
        <x:f>Beallitasok!$B$5</x:f>
        <x:v>1.15</x:v>
      </x:c>
      <x:c r="Q341" s="113" t="n">
        <x:f>IFERROR(ROUND(O341*P341/Beallitasok!$B$7,0)*Beallitasok!$B$7,"")</x:f>
        <x:v>9100</x:v>
      </x:c>
      <x:c r="R341" s="113"/>
      <x:c r="S341" s="113" t="n">
        <x:f>IF(Q341="","",Q341+IF(R341="",0,R341))</x:f>
        <x:v>9100</x:v>
      </x:c>
      <x:c r="T341" s="113" t="n">
        <x:f>M341*Beallitasok!$B$4</x:f>
        <x:v>475000</x:v>
      </x:c>
      <x:c r="U341" s="115" t="n">
        <x:f>N341*Beallitasok!$B$4</x:f>
        <x:v>60</x:v>
      </x:c>
      <x:c r="V341" s="113"/>
      <x:c r="W341" s="113" t="str">
        <x:f>IF(V341="","",V341-J341)</x:f>
      </x:c>
      <x:c r="X341" s="19"/>
      <x:c r="Y341" s="113" t="n">
        <x:f>IF(S341="","",J341-S341)</x:f>
        <x:v>-4900</x:v>
      </x:c>
      <x:c r="Z341" s="19" t="str">
        <x:f>IF(AA341="IGEN",IF(J341&lt;S341,"GÉPIGÉNY + KRITIKUS: gépdíj nélkül is alacsony a plafon","GÉPIGÉNY: a saját egységár gépdíj nélkül értendő"),IF(J341&lt;S341,"KRITIKUS: alvállalkozói plafon &lt; saját terhelt egységköltség",IF(J341&lt;S341*Beallitasok!$B$6,"SZŰK TARTALÉK: 10% alatti tartalék","OK")))</x:f>
        <x:v>KRITIKUS: alvállalkozói plafon &lt; saját terhelt egységköltség</x:v>
      </x:c>
      <x:c r="AA341" s="19" t="str">
        <x:v>NEM</x:v>
      </x:c>
      <x:c r="AB341" s="19" t="str">
        <x:v>https://joszaki.hu/arak/villanyszereles</x:v>
      </x:c>
      <x:c r="AC341" s="19" t="str">
        <x:v>2026 villanyszerelési óradíj/pontár és részfolyamat-levezetés</x:v>
      </x:c>
      <x:c r="AD341" s="19" t="str">
        <x:v>Anyag, E.ON/MVM díj, mérőszekrény, lámpatest, készülék és minősítő mérés külön, ha nincs nevesítve.</x:v>
      </x:c>
    </x:row>
    <x:row r="342">
      <x:c r="A342" s="19" t="str">
        <x:v>AR-0341</x:v>
      </x:c>
      <x:c r="B342" s="19" t="str">
        <x:v>16 Villanyszerelés</x:v>
      </x:c>
      <x:c r="C342" s="19" t="str">
        <x:v>Erősáram, gyengeáram, mérés</x:v>
      </x:c>
      <x:c r="D342" s="19" t="str">
        <x:v>Mindegyik</x:v>
      </x:c>
      <x:c r="E342" s="19" t="str">
        <x:v>Lámpakiállás alapszerelési pont kiépítése</x:v>
      </x:c>
      <x:c r="F342" s="19" t="str">
        <x:v>pont</x:v>
      </x:c>
      <x:c r="G342" s="113" t="n">
        <x:v>4200</x:v>
      </x:c>
      <x:c r="H342" s="113" t="n">
        <x:v>6500</x:v>
      </x:c>
      <x:c r="I342" s="114" t="n">
        <x:v>0.6</x:v>
      </x:c>
      <x:c r="J342" s="113" t="n">
        <x:f>ROUND(H342*I342/Beallitasok!$B$7,0)*Beallitasok!$B$7</x:f>
        <x:v>3900</x:v>
      </x:c>
      <x:c r="K342" s="19" t="n">
        <x:v>2</x:v>
      </x:c>
      <x:c r="L342" s="19" t="n">
        <x:v>1</x:v>
      </x:c>
      <x:c r="M342" s="113" t="n">
        <x:f>K342*Beallitasok!$B$2+L342*Beallitasok!$B$3</x:f>
        <x:v>95000</x:v>
      </x:c>
      <x:c r="N342" s="115" t="n">
        <x:v>13</x:v>
      </x:c>
      <x:c r="O342" s="113" t="n">
        <x:f>IFERROR(M342/N342,"")</x:f>
        <x:v>7307.692307692308</x:v>
      </x:c>
      <x:c r="P342" s="116" t="n">
        <x:f>Beallitasok!$B$5</x:f>
        <x:v>1.15</x:v>
      </x:c>
      <x:c r="Q342" s="113" t="n">
        <x:f>IFERROR(ROUND(O342*P342/Beallitasok!$B$7,0)*Beallitasok!$B$7,"")</x:f>
        <x:v>8400</x:v>
      </x:c>
      <x:c r="R342" s="113"/>
      <x:c r="S342" s="113" t="n">
        <x:f>IF(Q342="","",Q342+IF(R342="",0,R342))</x:f>
        <x:v>8400</x:v>
      </x:c>
      <x:c r="T342" s="113" t="n">
        <x:f>M342*Beallitasok!$B$4</x:f>
        <x:v>475000</x:v>
      </x:c>
      <x:c r="U342" s="115" t="n">
        <x:f>N342*Beallitasok!$B$4</x:f>
        <x:v>65</x:v>
      </x:c>
      <x:c r="V342" s="113"/>
      <x:c r="W342" s="113" t="str">
        <x:f>IF(V342="","",V342-J342)</x:f>
      </x:c>
      <x:c r="X342" s="19"/>
      <x:c r="Y342" s="113" t="n">
        <x:f>IF(S342="","",J342-S342)</x:f>
        <x:v>-4500</x:v>
      </x:c>
      <x:c r="Z342" s="19" t="str">
        <x:f>IF(AA342="IGEN",IF(J342&lt;S342,"GÉPIGÉNY + KRITIKUS: gépdíj nélkül is alacsony a plafon","GÉPIGÉNY: a saját egységár gépdíj nélkül értendő"),IF(J342&lt;S342,"KRITIKUS: alvállalkozói plafon &lt; saját terhelt egységköltség",IF(J342&lt;S342*Beallitasok!$B$6,"SZŰK TARTALÉK: 10% alatti tartalék","OK")))</x:f>
        <x:v>KRITIKUS: alvállalkozói plafon &lt; saját terhelt egységköltség</x:v>
      </x:c>
      <x:c r="AA342" s="19" t="str">
        <x:v>NEM</x:v>
      </x:c>
      <x:c r="AB342" s="19" t="str">
        <x:v>https://joszaki.hu/arak/villanyszereles</x:v>
      </x:c>
      <x:c r="AC342" s="19" t="str">
        <x:v>2026 villanyszerelési óradíj/pontár és részfolyamat-levezetés</x:v>
      </x:c>
      <x:c r="AD342" s="19" t="str">
        <x:v>Anyag, E.ON/MVM díj, mérőszekrény, lámpatest, készülék és minősítő mérés külön, ha nincs nevesítve.</x:v>
      </x:c>
    </x:row>
    <x:row r="343">
      <x:c r="A343" s="19" t="str">
        <x:v>AR-0342</x:v>
      </x:c>
      <x:c r="B343" s="19" t="str">
        <x:v>16 Villanyszerelés</x:v>
      </x:c>
      <x:c r="C343" s="19" t="str">
        <x:v>Erősáram, gyengeáram, mérés</x:v>
      </x:c>
      <x:c r="D343" s="19" t="str">
        <x:v>Mindegyik</x:v>
      </x:c>
      <x:c r="E343" s="19" t="str">
        <x:v>Kültéri dugalj alapszerelési pont kiépítése</x:v>
      </x:c>
      <x:c r="F343" s="19" t="str">
        <x:v>pont</x:v>
      </x:c>
      <x:c r="G343" s="113" t="n">
        <x:v>5500</x:v>
      </x:c>
      <x:c r="H343" s="113" t="n">
        <x:v>8200</x:v>
      </x:c>
      <x:c r="I343" s="114" t="n">
        <x:v>0.6</x:v>
      </x:c>
      <x:c r="J343" s="113" t="n">
        <x:f>ROUND(H343*I343/Beallitasok!$B$7,0)*Beallitasok!$B$7</x:f>
        <x:v>4900</x:v>
      </x:c>
      <x:c r="K343" s="19" t="n">
        <x:v>2</x:v>
      </x:c>
      <x:c r="L343" s="19" t="n">
        <x:v>1</x:v>
      </x:c>
      <x:c r="M343" s="113" t="n">
        <x:f>K343*Beallitasok!$B$2+L343*Beallitasok!$B$3</x:f>
        <x:v>95000</x:v>
      </x:c>
      <x:c r="N343" s="115" t="n">
        <x:v>9</x:v>
      </x:c>
      <x:c r="O343" s="113" t="n">
        <x:f>IFERROR(M343/N343,"")</x:f>
        <x:v>10555.555555555555</x:v>
      </x:c>
      <x:c r="P343" s="116" t="n">
        <x:f>Beallitasok!$B$5</x:f>
        <x:v>1.15</x:v>
      </x:c>
      <x:c r="Q343" s="113" t="n">
        <x:f>IFERROR(ROUND(O343*P343/Beallitasok!$B$7,0)*Beallitasok!$B$7,"")</x:f>
        <x:v>12150</x:v>
      </x:c>
      <x:c r="R343" s="113"/>
      <x:c r="S343" s="113" t="n">
        <x:f>IF(Q343="","",Q343+IF(R343="",0,R343))</x:f>
        <x:v>12150</x:v>
      </x:c>
      <x:c r="T343" s="113" t="n">
        <x:f>M343*Beallitasok!$B$4</x:f>
        <x:v>475000</x:v>
      </x:c>
      <x:c r="U343" s="115" t="n">
        <x:f>N343*Beallitasok!$B$4</x:f>
        <x:v>45</x:v>
      </x:c>
      <x:c r="V343" s="113"/>
      <x:c r="W343" s="113" t="str">
        <x:f>IF(V343="","",V343-J343)</x:f>
      </x:c>
      <x:c r="X343" s="19"/>
      <x:c r="Y343" s="113" t="n">
        <x:f>IF(S343="","",J343-S343)</x:f>
        <x:v>-7250</x:v>
      </x:c>
      <x:c r="Z343" s="19" t="str">
        <x:f>IF(AA343="IGEN",IF(J343&lt;S343,"GÉPIGÉNY + KRITIKUS: gépdíj nélkül is alacsony a plafon","GÉPIGÉNY: a saját egységár gépdíj nélkül értendő"),IF(J343&lt;S343,"KRITIKUS: alvállalkozói plafon &lt; saját terhelt egységköltség",IF(J343&lt;S343*Beallitasok!$B$6,"SZŰK TARTALÉK: 10% alatti tartalék","OK")))</x:f>
        <x:v>KRITIKUS: alvállalkozói plafon &lt; saját terhelt egységköltség</x:v>
      </x:c>
      <x:c r="AA343" s="19" t="str">
        <x:v>NEM</x:v>
      </x:c>
      <x:c r="AB343" s="19" t="str">
        <x:v>https://joszaki.hu/arak/villanyszereles</x:v>
      </x:c>
      <x:c r="AC343" s="19" t="str">
        <x:v>2026 villanyszerelési óradíj/pontár és részfolyamat-levezetés</x:v>
      </x:c>
      <x:c r="AD343" s="19" t="str">
        <x:v>Anyag, E.ON/MVM díj, mérőszekrény, lámpatest, készülék és minősítő mérés külön, ha nincs nevesítve.</x:v>
      </x:c>
    </x:row>
    <x:row r="344">
      <x:c r="A344" s="19" t="str">
        <x:v>AR-0343</x:v>
      </x:c>
      <x:c r="B344" s="19" t="str">
        <x:v>16 Villanyszerelés</x:v>
      </x:c>
      <x:c r="C344" s="19" t="str">
        <x:v>Erősáram, gyengeáram, mérés</x:v>
      </x:c>
      <x:c r="D344" s="19" t="str">
        <x:v>Mindegyik</x:v>
      </x:c>
      <x:c r="E344" s="19" t="str">
        <x:v>Dugalj szerelvényezése</x:v>
      </x:c>
      <x:c r="F344" s="19" t="str">
        <x:v>db</x:v>
      </x:c>
      <x:c r="G344" s="113" t="n">
        <x:v>3000</x:v>
      </x:c>
      <x:c r="H344" s="113" t="n">
        <x:v>5000</x:v>
      </x:c>
      <x:c r="I344" s="114" t="n">
        <x:v>0.6</x:v>
      </x:c>
      <x:c r="J344" s="113" t="n">
        <x:f>ROUND(H344*I344/Beallitasok!$B$7,0)*Beallitasok!$B$7</x:f>
        <x:v>3000</x:v>
      </x:c>
      <x:c r="K344" s="19" t="n">
        <x:v>1</x:v>
      </x:c>
      <x:c r="L344" s="19" t="n">
        <x:v>1</x:v>
      </x:c>
      <x:c r="M344" s="113" t="n">
        <x:f>K344*Beallitasok!$B$2+L344*Beallitasok!$B$3</x:f>
        <x:v>60000</x:v>
      </x:c>
      <x:c r="N344" s="115" t="n">
        <x:v>10</x:v>
      </x:c>
      <x:c r="O344" s="113" t="n">
        <x:f>IFERROR(M344/N344,"")</x:f>
        <x:v>6000</x:v>
      </x:c>
      <x:c r="P344" s="116" t="n">
        <x:f>Beallitasok!$B$5</x:f>
        <x:v>1.15</x:v>
      </x:c>
      <x:c r="Q344" s="113" t="n">
        <x:f>IFERROR(ROUND(O344*P344/Beallitasok!$B$7,0)*Beallitasok!$B$7,"")</x:f>
        <x:v>6900</x:v>
      </x:c>
      <x:c r="R344" s="113"/>
      <x:c r="S344" s="113" t="n">
        <x:f>IF(Q344="","",Q344+IF(R344="",0,R344))</x:f>
        <x:v>6900</x:v>
      </x:c>
      <x:c r="T344" s="113" t="n">
        <x:f>M344*Beallitasok!$B$4</x:f>
        <x:v>300000</x:v>
      </x:c>
      <x:c r="U344" s="115" t="n">
        <x:f>N344*Beallitasok!$B$4</x:f>
        <x:v>50</x:v>
      </x:c>
      <x:c r="V344" s="113"/>
      <x:c r="W344" s="113" t="str">
        <x:f>IF(V344="","",V344-J344)</x:f>
      </x:c>
      <x:c r="X344" s="19"/>
      <x:c r="Y344" s="113" t="n">
        <x:f>IF(S344="","",J344-S344)</x:f>
        <x:v>-3900</x:v>
      </x:c>
      <x:c r="Z344" s="19" t="str">
        <x:f>IF(AA344="IGEN",IF(J344&lt;S344,"GÉPIGÉNY + KRITIKUS: gépdíj nélkül is alacsony a plafon","GÉPIGÉNY: a saját egységár gépdíj nélkül értendő"),IF(J344&lt;S344,"KRITIKUS: alvállalkozói plafon &lt; saját terhelt egységköltség",IF(J344&lt;S344*Beallitasok!$B$6,"SZŰK TARTALÉK: 10% alatti tartalék","OK")))</x:f>
        <x:v>KRITIKUS: alvállalkozói plafon &lt; saját terhelt egységköltség</x:v>
      </x:c>
      <x:c r="AA344" s="19" t="str">
        <x:v>NEM</x:v>
      </x:c>
      <x:c r="AB344" s="19" t="str">
        <x:v>https://joszaki.hu/arak/villanyszereles</x:v>
      </x:c>
      <x:c r="AC344" s="19" t="str">
        <x:v>2026 villanyszerelési óradíj/pontár és részfolyamat-levezetés</x:v>
      </x:c>
      <x:c r="AD344" s="19" t="str">
        <x:v>Anyag, E.ON/MVM díj, mérőszekrény, lámpatest, készülék és minősítő mérés külön, ha nincs nevesítve.</x:v>
      </x:c>
    </x:row>
    <x:row r="345">
      <x:c r="A345" s="19" t="str">
        <x:v>AR-0344</x:v>
      </x:c>
      <x:c r="B345" s="19" t="str">
        <x:v>16 Villanyszerelés</x:v>
      </x:c>
      <x:c r="C345" s="19" t="str">
        <x:v>Erősáram, gyengeáram, mérés</x:v>
      </x:c>
      <x:c r="D345" s="19" t="str">
        <x:v>Mindegyik</x:v>
      </x:c>
      <x:c r="E345" s="19" t="str">
        <x:v>Kapcsoló szerelvényezése</x:v>
      </x:c>
      <x:c r="F345" s="19" t="str">
        <x:v>db</x:v>
      </x:c>
      <x:c r="G345" s="113" t="n">
        <x:v>3000</x:v>
      </x:c>
      <x:c r="H345" s="113" t="n">
        <x:v>5000</x:v>
      </x:c>
      <x:c r="I345" s="114" t="n">
        <x:v>0.6</x:v>
      </x:c>
      <x:c r="J345" s="113" t="n">
        <x:f>ROUND(H345*I345/Beallitasok!$B$7,0)*Beallitasok!$B$7</x:f>
        <x:v>3000</x:v>
      </x:c>
      <x:c r="K345" s="19" t="n">
        <x:v>1</x:v>
      </x:c>
      <x:c r="L345" s="19" t="n">
        <x:v>1</x:v>
      </x:c>
      <x:c r="M345" s="113" t="n">
        <x:f>K345*Beallitasok!$B$2+L345*Beallitasok!$B$3</x:f>
        <x:v>60000</x:v>
      </x:c>
      <x:c r="N345" s="115" t="n">
        <x:v>10</x:v>
      </x:c>
      <x:c r="O345" s="113" t="n">
        <x:f>IFERROR(M345/N345,"")</x:f>
        <x:v>6000</x:v>
      </x:c>
      <x:c r="P345" s="116" t="n">
        <x:f>Beallitasok!$B$5</x:f>
        <x:v>1.15</x:v>
      </x:c>
      <x:c r="Q345" s="113" t="n">
        <x:f>IFERROR(ROUND(O345*P345/Beallitasok!$B$7,0)*Beallitasok!$B$7,"")</x:f>
        <x:v>6900</x:v>
      </x:c>
      <x:c r="R345" s="113"/>
      <x:c r="S345" s="113" t="n">
        <x:f>IF(Q345="","",Q345+IF(R345="",0,R345))</x:f>
        <x:v>6900</x:v>
      </x:c>
      <x:c r="T345" s="113" t="n">
        <x:f>M345*Beallitasok!$B$4</x:f>
        <x:v>300000</x:v>
      </x:c>
      <x:c r="U345" s="115" t="n">
        <x:f>N345*Beallitasok!$B$4</x:f>
        <x:v>50</x:v>
      </x:c>
      <x:c r="V345" s="113"/>
      <x:c r="W345" s="113" t="str">
        <x:f>IF(V345="","",V345-J345)</x:f>
      </x:c>
      <x:c r="X345" s="19"/>
      <x:c r="Y345" s="113" t="n">
        <x:f>IF(S345="","",J345-S345)</x:f>
        <x:v>-3900</x:v>
      </x:c>
      <x:c r="Z345" s="19" t="str">
        <x:f>IF(AA345="IGEN",IF(J345&lt;S345,"GÉPIGÉNY + KRITIKUS: gépdíj nélkül is alacsony a plafon","GÉPIGÉNY: a saját egységár gépdíj nélkül értendő"),IF(J345&lt;S345,"KRITIKUS: alvállalkozói plafon &lt; saját terhelt egységköltség",IF(J345&lt;S345*Beallitasok!$B$6,"SZŰK TARTALÉK: 10% alatti tartalék","OK")))</x:f>
        <x:v>KRITIKUS: alvállalkozói plafon &lt; saját terhelt egységköltség</x:v>
      </x:c>
      <x:c r="AA345" s="19" t="str">
        <x:v>NEM</x:v>
      </x:c>
      <x:c r="AB345" s="19" t="str">
        <x:v>https://joszaki.hu/arak/villanyszereles</x:v>
      </x:c>
      <x:c r="AC345" s="19" t="str">
        <x:v>2026 villanyszerelési óradíj/pontár és részfolyamat-levezetés</x:v>
      </x:c>
      <x:c r="AD345" s="19" t="str">
        <x:v>Anyag, E.ON/MVM díj, mérőszekrény, lámpatest, készülék és minősítő mérés külön, ha nincs nevesítve.</x:v>
      </x:c>
    </x:row>
    <x:row r="346">
      <x:c r="A346" s="19" t="str">
        <x:v>AR-0345</x:v>
      </x:c>
      <x:c r="B346" s="19" t="str">
        <x:v>16 Villanyszerelés</x:v>
      </x:c>
      <x:c r="C346" s="19" t="str">
        <x:v>Erősáram, gyengeáram, mérés</x:v>
      </x:c>
      <x:c r="D346" s="19" t="str">
        <x:v>Mindegyik</x:v>
      </x:c>
      <x:c r="E346" s="19" t="str">
        <x:v>Mennyezeti lámpatest felszerelése egyszerű kivitelben</x:v>
      </x:c>
      <x:c r="F346" s="19" t="str">
        <x:v>db</x:v>
      </x:c>
      <x:c r="G346" s="113" t="n">
        <x:v>5000</x:v>
      </x:c>
      <x:c r="H346" s="113" t="n">
        <x:v>7500</x:v>
      </x:c>
      <x:c r="I346" s="114" t="n">
        <x:v>0.6</x:v>
      </x:c>
      <x:c r="J346" s="113" t="n">
        <x:f>ROUND(H346*I346/Beallitasok!$B$7,0)*Beallitasok!$B$7</x:f>
        <x:v>4500</x:v>
      </x:c>
      <x:c r="K346" s="19" t="n">
        <x:v>1</x:v>
      </x:c>
      <x:c r="L346" s="19" t="n">
        <x:v>1</x:v>
      </x:c>
      <x:c r="M346" s="113" t="n">
        <x:f>K346*Beallitasok!$B$2+L346*Beallitasok!$B$3</x:f>
        <x:v>60000</x:v>
      </x:c>
      <x:c r="N346" s="115" t="n">
        <x:v>7</x:v>
      </x:c>
      <x:c r="O346" s="113" t="n">
        <x:f>IFERROR(M346/N346,"")</x:f>
        <x:v>8571.42857142857</x:v>
      </x:c>
      <x:c r="P346" s="116" t="n">
        <x:f>Beallitasok!$B$5</x:f>
        <x:v>1.15</x:v>
      </x:c>
      <x:c r="Q346" s="113" t="n">
        <x:f>IFERROR(ROUND(O346*P346/Beallitasok!$B$7,0)*Beallitasok!$B$7,"")</x:f>
        <x:v>9850</x:v>
      </x:c>
      <x:c r="R346" s="113"/>
      <x:c r="S346" s="113" t="n">
        <x:f>IF(Q346="","",Q346+IF(R346="",0,R346))</x:f>
        <x:v>9850</x:v>
      </x:c>
      <x:c r="T346" s="113" t="n">
        <x:f>M346*Beallitasok!$B$4</x:f>
        <x:v>300000</x:v>
      </x:c>
      <x:c r="U346" s="115" t="n">
        <x:f>N346*Beallitasok!$B$4</x:f>
        <x:v>35</x:v>
      </x:c>
      <x:c r="V346" s="113"/>
      <x:c r="W346" s="113" t="str">
        <x:f>IF(V346="","",V346-J346)</x:f>
      </x:c>
      <x:c r="X346" s="19"/>
      <x:c r="Y346" s="113" t="n">
        <x:f>IF(S346="","",J346-S346)</x:f>
        <x:v>-5350</x:v>
      </x:c>
      <x:c r="Z346" s="19" t="str">
        <x:f>IF(AA346="IGEN",IF(J346&lt;S346,"GÉPIGÉNY + KRITIKUS: gépdíj nélkül is alacsony a plafon","GÉPIGÉNY: a saját egységár gépdíj nélkül értendő"),IF(J346&lt;S346,"KRITIKUS: alvállalkozói plafon &lt; saját terhelt egységköltség",IF(J346&lt;S346*Beallitasok!$B$6,"SZŰK TARTALÉK: 10% alatti tartalék","OK")))</x:f>
        <x:v>KRITIKUS: alvállalkozói plafon &lt; saját terhelt egységköltség</x:v>
      </x:c>
      <x:c r="AA346" s="19" t="str">
        <x:v>NEM</x:v>
      </x:c>
      <x:c r="AB346" s="19" t="str">
        <x:v>https://joszaki.hu/arak/villanyszereles</x:v>
      </x:c>
      <x:c r="AC346" s="19" t="str">
        <x:v>2026 villanyszerelési óradíj/pontár és részfolyamat-levezetés</x:v>
      </x:c>
      <x:c r="AD346" s="19" t="str">
        <x:v>Anyag, E.ON/MVM díj, mérőszekrény, lámpatest, készülék és minősítő mérés külön, ha nincs nevesítve.</x:v>
      </x:c>
    </x:row>
    <x:row r="347">
      <x:c r="A347" s="19" t="str">
        <x:v>AR-0346</x:v>
      </x:c>
      <x:c r="B347" s="19" t="str">
        <x:v>16 Villanyszerelés</x:v>
      </x:c>
      <x:c r="C347" s="19" t="str">
        <x:v>Erősáram, gyengeáram, mérés</x:v>
      </x:c>
      <x:c r="D347" s="19" t="str">
        <x:v>Mindegyik</x:v>
      </x:c>
      <x:c r="E347" s="19" t="str">
        <x:v>Süllyesztett spotlámpa szerelése</x:v>
      </x:c>
      <x:c r="F347" s="19" t="str">
        <x:v>db</x:v>
      </x:c>
      <x:c r="G347" s="113" t="n">
        <x:v>3500</x:v>
      </x:c>
      <x:c r="H347" s="113" t="n">
        <x:v>5200</x:v>
      </x:c>
      <x:c r="I347" s="114" t="n">
        <x:v>0.6</x:v>
      </x:c>
      <x:c r="J347" s="113" t="n">
        <x:f>ROUND(H347*I347/Beallitasok!$B$7,0)*Beallitasok!$B$7</x:f>
        <x:v>3100</x:v>
      </x:c>
      <x:c r="K347" s="19" t="n">
        <x:v>1</x:v>
      </x:c>
      <x:c r="L347" s="19" t="n">
        <x:v>1</x:v>
      </x:c>
      <x:c r="M347" s="113" t="n">
        <x:f>K347*Beallitasok!$B$2+L347*Beallitasok!$B$3</x:f>
        <x:v>60000</x:v>
      </x:c>
      <x:c r="N347" s="115" t="n">
        <x:v>9</x:v>
      </x:c>
      <x:c r="O347" s="113" t="n">
        <x:f>IFERROR(M347/N347,"")</x:f>
        <x:v>6666.666666666667</x:v>
      </x:c>
      <x:c r="P347" s="116" t="n">
        <x:f>Beallitasok!$B$5</x:f>
        <x:v>1.15</x:v>
      </x:c>
      <x:c r="Q347" s="113" t="n">
        <x:f>IFERROR(ROUND(O347*P347/Beallitasok!$B$7,0)*Beallitasok!$B$7,"")</x:f>
        <x:v>7650</x:v>
      </x:c>
      <x:c r="R347" s="113"/>
      <x:c r="S347" s="113" t="n">
        <x:f>IF(Q347="","",Q347+IF(R347="",0,R347))</x:f>
        <x:v>7650</x:v>
      </x:c>
      <x:c r="T347" s="113" t="n">
        <x:f>M347*Beallitasok!$B$4</x:f>
        <x:v>300000</x:v>
      </x:c>
      <x:c r="U347" s="115" t="n">
        <x:f>N347*Beallitasok!$B$4</x:f>
        <x:v>45</x:v>
      </x:c>
      <x:c r="V347" s="113"/>
      <x:c r="W347" s="113" t="str">
        <x:f>IF(V347="","",V347-J347)</x:f>
      </x:c>
      <x:c r="X347" s="19"/>
      <x:c r="Y347" s="113" t="n">
        <x:f>IF(S347="","",J347-S347)</x:f>
        <x:v>-4550</x:v>
      </x:c>
      <x:c r="Z347" s="19" t="str">
        <x:f>IF(AA347="IGEN",IF(J347&lt;S347,"GÉPIGÉNY + KRITIKUS: gépdíj nélkül is alacsony a plafon","GÉPIGÉNY: a saját egységár gépdíj nélkül értendő"),IF(J347&lt;S347,"KRITIKUS: alvállalkozói plafon &lt; saját terhelt egységköltség",IF(J347&lt;S347*Beallitasok!$B$6,"SZŰK TARTALÉK: 10% alatti tartalék","OK")))</x:f>
        <x:v>KRITIKUS: alvállalkozói plafon &lt; saját terhelt egységköltség</x:v>
      </x:c>
      <x:c r="AA347" s="19" t="str">
        <x:v>NEM</x:v>
      </x:c>
      <x:c r="AB347" s="19" t="str">
        <x:v>https://joszaki.hu/arak/villanyszereles</x:v>
      </x:c>
      <x:c r="AC347" s="19" t="str">
        <x:v>2026 villanyszerelési óradíj/pontár és részfolyamat-levezetés</x:v>
      </x:c>
      <x:c r="AD347" s="19" t="str">
        <x:v>Anyag, E.ON/MVM díj, mérőszekrény, lámpatest, készülék és minősítő mérés külön, ha nincs nevesítve.</x:v>
      </x:c>
    </x:row>
    <x:row r="348">
      <x:c r="A348" s="19" t="str">
        <x:v>AR-0347</x:v>
      </x:c>
      <x:c r="B348" s="19" t="str">
        <x:v>16 Villanyszerelés</x:v>
      </x:c>
      <x:c r="C348" s="19" t="str">
        <x:v>Erősáram, gyengeáram, mérés</x:v>
      </x:c>
      <x:c r="D348" s="19" t="str">
        <x:v>Mindegyik</x:v>
      </x:c>
      <x:c r="E348" s="19" t="str">
        <x:v>LED-szalag profil és szalag szerelése</x:v>
      </x:c>
      <x:c r="F348" s="19" t="str">
        <x:v>fm</x:v>
      </x:c>
      <x:c r="G348" s="113" t="n">
        <x:v>2800</x:v>
      </x:c>
      <x:c r="H348" s="113" t="n">
        <x:v>4200</x:v>
      </x:c>
      <x:c r="I348" s="114" t="n">
        <x:v>0.6</x:v>
      </x:c>
      <x:c r="J348" s="113" t="n">
        <x:f>ROUND(H348*I348/Beallitasok!$B$7,0)*Beallitasok!$B$7</x:f>
        <x:v>2500</x:v>
      </x:c>
      <x:c r="K348" s="19" t="n">
        <x:v>1</x:v>
      </x:c>
      <x:c r="L348" s="19" t="n">
        <x:v>1</x:v>
      </x:c>
      <x:c r="M348" s="113" t="n">
        <x:f>K348*Beallitasok!$B$2+L348*Beallitasok!$B$3</x:f>
        <x:v>60000</x:v>
      </x:c>
      <x:c r="N348" s="115" t="n">
        <x:v>18</x:v>
      </x:c>
      <x:c r="O348" s="113" t="n">
        <x:f>IFERROR(M348/N348,"")</x:f>
        <x:v>3333.3333333333335</x:v>
      </x:c>
      <x:c r="P348" s="116" t="n">
        <x:f>Beallitasok!$B$5</x:f>
        <x:v>1.15</x:v>
      </x:c>
      <x:c r="Q348" s="113" t="n">
        <x:f>IFERROR(ROUND(O348*P348/Beallitasok!$B$7,0)*Beallitasok!$B$7,"")</x:f>
        <x:v>3850</x:v>
      </x:c>
      <x:c r="R348" s="113"/>
      <x:c r="S348" s="113" t="n">
        <x:f>IF(Q348="","",Q348+IF(R348="",0,R348))</x:f>
        <x:v>3850</x:v>
      </x:c>
      <x:c r="T348" s="113" t="n">
        <x:f>M348*Beallitasok!$B$4</x:f>
        <x:v>300000</x:v>
      </x:c>
      <x:c r="U348" s="115" t="n">
        <x:f>N348*Beallitasok!$B$4</x:f>
        <x:v>90</x:v>
      </x:c>
      <x:c r="V348" s="113"/>
      <x:c r="W348" s="113" t="str">
        <x:f>IF(V348="","",V348-J348)</x:f>
      </x:c>
      <x:c r="X348" s="19"/>
      <x:c r="Y348" s="113" t="n">
        <x:f>IF(S348="","",J348-S348)</x:f>
        <x:v>-1350</x:v>
      </x:c>
      <x:c r="Z348" s="19" t="str">
        <x:f>IF(AA348="IGEN",IF(J348&lt;S348,"GÉPIGÉNY + KRITIKUS: gépdíj nélkül is alacsony a plafon","GÉPIGÉNY: a saját egységár gépdíj nélkül értendő"),IF(J348&lt;S348,"KRITIKUS: alvállalkozói plafon &lt; saját terhelt egységköltség",IF(J348&lt;S348*Beallitasok!$B$6,"SZŰK TARTALÉK: 10% alatti tartalék","OK")))</x:f>
        <x:v>KRITIKUS: alvállalkozói plafon &lt; saját terhelt egységköltség</x:v>
      </x:c>
      <x:c r="AA348" s="19" t="str">
        <x:v>NEM</x:v>
      </x:c>
      <x:c r="AB348" s="19" t="str">
        <x:v>https://joszaki.hu/arak/villanyszereles</x:v>
      </x:c>
      <x:c r="AC348" s="19" t="str">
        <x:v>2026 villanyszerelési óradíj/pontár és részfolyamat-levezetés</x:v>
      </x:c>
      <x:c r="AD348" s="19" t="str">
        <x:v>Anyag, E.ON/MVM díj, mérőszekrény, lámpatest, készülék és minősítő mérés külön, ha nincs nevesítve.</x:v>
      </x:c>
    </x:row>
    <x:row r="349">
      <x:c r="A349" s="19" t="str">
        <x:v>AR-0348</x:v>
      </x:c>
      <x:c r="B349" s="19" t="str">
        <x:v>16 Villanyszerelés</x:v>
      </x:c>
      <x:c r="C349" s="19" t="str">
        <x:v>Erősáram, gyengeáram, mérés</x:v>
      </x:c>
      <x:c r="D349" s="19" t="str">
        <x:v>Mindegyik</x:v>
      </x:c>
      <x:c r="E349" s="19" t="str">
        <x:v>24 modulos lakáselosztó mechanikai szerelése és bekötése</x:v>
      </x:c>
      <x:c r="F349" s="19" t="str">
        <x:v>db</x:v>
      </x:c>
      <x:c r="G349" s="113" t="n">
        <x:v>55000</x:v>
      </x:c>
      <x:c r="H349" s="113" t="n">
        <x:v>80000</x:v>
      </x:c>
      <x:c r="I349" s="114" t="n">
        <x:v>0.65</x:v>
      </x:c>
      <x:c r="J349" s="113" t="n">
        <x:f>ROUND(H349*I349/Beallitasok!$B$7,0)*Beallitasok!$B$7</x:f>
        <x:v>52000</x:v>
      </x:c>
      <x:c r="K349" s="19" t="n">
        <x:v>2</x:v>
      </x:c>
      <x:c r="L349" s="19" t="n">
        <x:v>1</x:v>
      </x:c>
      <x:c r="M349" s="113" t="n">
        <x:f>K349*Beallitasok!$B$2+L349*Beallitasok!$B$3</x:f>
        <x:v>95000</x:v>
      </x:c>
      <x:c r="N349" s="115" t="n">
        <x:v>0.9</x:v>
      </x:c>
      <x:c r="O349" s="113" t="n">
        <x:f>IFERROR(M349/N349,"")</x:f>
        <x:v>105555.55555555555</x:v>
      </x:c>
      <x:c r="P349" s="116" t="n">
        <x:f>Beallitasok!$B$5</x:f>
        <x:v>1.15</x:v>
      </x:c>
      <x:c r="Q349" s="113" t="n">
        <x:f>IFERROR(ROUND(O349*P349/Beallitasok!$B$7,0)*Beallitasok!$B$7,"")</x:f>
        <x:v>121400</x:v>
      </x:c>
      <x:c r="R349" s="113"/>
      <x:c r="S349" s="113" t="n">
        <x:f>IF(Q349="","",Q349+IF(R349="",0,R349))</x:f>
        <x:v>121400</x:v>
      </x:c>
      <x:c r="T349" s="113" t="n">
        <x:f>M349*Beallitasok!$B$4</x:f>
        <x:v>475000</x:v>
      </x:c>
      <x:c r="U349" s="115" t="n">
        <x:f>N349*Beallitasok!$B$4</x:f>
        <x:v>4.5</x:v>
      </x:c>
      <x:c r="V349" s="113"/>
      <x:c r="W349" s="113" t="str">
        <x:f>IF(V349="","",V349-J349)</x:f>
      </x:c>
      <x:c r="X349" s="19"/>
      <x:c r="Y349" s="113" t="n">
        <x:f>IF(S349="","",J349-S349)</x:f>
        <x:v>-69400</x:v>
      </x:c>
      <x:c r="Z349" s="19" t="str">
        <x:f>IF(AA349="IGEN",IF(J349&lt;S349,"GÉPIGÉNY + KRITIKUS: gépdíj nélkül is alacsony a plafon","GÉPIGÉNY: a saját egységár gépdíj nélkül értendő"),IF(J349&lt;S349,"KRITIKUS: alvállalkozói plafon &lt; saját terhelt egységköltség",IF(J349&lt;S349*Beallitasok!$B$6,"SZŰK TARTALÉK: 10% alatti tartalék","OK")))</x:f>
        <x:v>KRITIKUS: alvállalkozói plafon &lt; saját terhelt egységköltség</x:v>
      </x:c>
      <x:c r="AA349" s="19" t="str">
        <x:v>NEM</x:v>
      </x:c>
      <x:c r="AB349" s="19" t="str">
        <x:v>https://joszaki.hu/arak/biztositek-tabla-csere</x:v>
      </x:c>
      <x:c r="AC349" s="19" t="str">
        <x:v>2026 villanyszerelési óradíj/pontár és részfolyamat-levezetés</x:v>
      </x:c>
      <x:c r="AD349" s="19" t="str">
        <x:v>Anyag, E.ON/MVM díj, mérőszekrény, lámpatest, készülék és minősítő mérés külön, ha nincs nevesítve.</x:v>
      </x:c>
    </x:row>
    <x:row r="350">
      <x:c r="A350" s="19" t="str">
        <x:v>AR-0349</x:v>
      </x:c>
      <x:c r="B350" s="19" t="str">
        <x:v>16 Villanyszerelés</x:v>
      </x:c>
      <x:c r="C350" s="19" t="str">
        <x:v>Erősáram, gyengeáram, mérés</x:v>
      </x:c>
      <x:c r="D350" s="19" t="str">
        <x:v>Mindegyik</x:v>
      </x:c>
      <x:c r="E350" s="19" t="str">
        <x:v>36–54 modulos családi ház elosztó szerelése és bekötése</x:v>
      </x:c>
      <x:c r="F350" s="19" t="str">
        <x:v>db</x:v>
      </x:c>
      <x:c r="G350" s="113" t="n">
        <x:v>85000</x:v>
      </x:c>
      <x:c r="H350" s="113" t="n">
        <x:v>125000</x:v>
      </x:c>
      <x:c r="I350" s="114" t="n">
        <x:v>0.65</x:v>
      </x:c>
      <x:c r="J350" s="113" t="n">
        <x:f>ROUND(H350*I350/Beallitasok!$B$7,0)*Beallitasok!$B$7</x:f>
        <x:v>81250</x:v>
      </x:c>
      <x:c r="K350" s="19" t="n">
        <x:v>2</x:v>
      </x:c>
      <x:c r="L350" s="19" t="n">
        <x:v>1</x:v>
      </x:c>
      <x:c r="M350" s="113" t="n">
        <x:f>K350*Beallitasok!$B$2+L350*Beallitasok!$B$3</x:f>
        <x:v>95000</x:v>
      </x:c>
      <x:c r="N350" s="115" t="n">
        <x:v>0.6</x:v>
      </x:c>
      <x:c r="O350" s="113" t="n">
        <x:f>IFERROR(M350/N350,"")</x:f>
        <x:v>158333.33333333334</x:v>
      </x:c>
      <x:c r="P350" s="116" t="n">
        <x:f>Beallitasok!$B$5</x:f>
        <x:v>1.15</x:v>
      </x:c>
      <x:c r="Q350" s="113" t="n">
        <x:f>IFERROR(ROUND(O350*P350/Beallitasok!$B$7,0)*Beallitasok!$B$7,"")</x:f>
        <x:v>182100</x:v>
      </x:c>
      <x:c r="R350" s="113"/>
      <x:c r="S350" s="113" t="n">
        <x:f>IF(Q350="","",Q350+IF(R350="",0,R350))</x:f>
        <x:v>182100</x:v>
      </x:c>
      <x:c r="T350" s="113" t="n">
        <x:f>M350*Beallitasok!$B$4</x:f>
        <x:v>475000</x:v>
      </x:c>
      <x:c r="U350" s="115" t="n">
        <x:f>N350*Beallitasok!$B$4</x:f>
        <x:v>3</x:v>
      </x:c>
      <x:c r="V350" s="113"/>
      <x:c r="W350" s="113" t="str">
        <x:f>IF(V350="","",V350-J350)</x:f>
      </x:c>
      <x:c r="X350" s="19"/>
      <x:c r="Y350" s="113" t="n">
        <x:f>IF(S350="","",J350-S350)</x:f>
        <x:v>-100850</x:v>
      </x:c>
      <x:c r="Z350" s="19" t="str">
        <x:f>IF(AA350="IGEN",IF(J350&lt;S350,"GÉPIGÉNY + KRITIKUS: gépdíj nélkül is alacsony a plafon","GÉPIGÉNY: a saját egységár gépdíj nélkül értendő"),IF(J350&lt;S350,"KRITIKUS: alvállalkozói plafon &lt; saját terhelt egységköltség",IF(J350&lt;S350*Beallitasok!$B$6,"SZŰK TARTALÉK: 10% alatti tartalék","OK")))</x:f>
        <x:v>KRITIKUS: alvállalkozói plafon &lt; saját terhelt egységköltség</x:v>
      </x:c>
      <x:c r="AA350" s="19" t="str">
        <x:v>NEM</x:v>
      </x:c>
      <x:c r="AB350" s="19" t="str">
        <x:v>https://joszaki.hu/arak/biztositek-tabla-csere</x:v>
      </x:c>
      <x:c r="AC350" s="19" t="str">
        <x:v>2026 villanyszerelési óradíj/pontár és részfolyamat-levezetés</x:v>
      </x:c>
      <x:c r="AD350" s="19" t="str">
        <x:v>Anyag, E.ON/MVM díj, mérőszekrény, lámpatest, készülék és minősítő mérés külön, ha nincs nevesítve.</x:v>
      </x:c>
    </x:row>
    <x:row r="351">
      <x:c r="A351" s="19" t="str">
        <x:v>AR-0350</x:v>
      </x:c>
      <x:c r="B351" s="19" t="str">
        <x:v>16 Villanyszerelés</x:v>
      </x:c>
      <x:c r="C351" s="19" t="str">
        <x:v>Erősáram, gyengeáram, mérés</x:v>
      </x:c>
      <x:c r="D351" s="19" t="str">
        <x:v>Mindegyik</x:v>
      </x:c>
      <x:c r="E351" s="19" t="str">
        <x:v>Kismegszakító bekötése</x:v>
      </x:c>
      <x:c r="F351" s="19" t="str">
        <x:v>db</x:v>
      </x:c>
      <x:c r="G351" s="113" t="n">
        <x:v>2500</x:v>
      </x:c>
      <x:c r="H351" s="113" t="n">
        <x:v>3800</x:v>
      </x:c>
      <x:c r="I351" s="114" t="n">
        <x:v>0.6</x:v>
      </x:c>
      <x:c r="J351" s="113" t="n">
        <x:f>ROUND(H351*I351/Beallitasok!$B$7,0)*Beallitasok!$B$7</x:f>
        <x:v>2300</x:v>
      </x:c>
      <x:c r="K351" s="19" t="n">
        <x:v>1</x:v>
      </x:c>
      <x:c r="L351" s="19" t="n">
        <x:v>1</x:v>
      </x:c>
      <x:c r="M351" s="113" t="n">
        <x:f>K351*Beallitasok!$B$2+L351*Beallitasok!$B$3</x:f>
        <x:v>60000</x:v>
      </x:c>
      <x:c r="N351" s="115" t="n">
        <x:v>12</x:v>
      </x:c>
      <x:c r="O351" s="113" t="n">
        <x:f>IFERROR(M351/N351,"")</x:f>
        <x:v>5000</x:v>
      </x:c>
      <x:c r="P351" s="116" t="n">
        <x:f>Beallitasok!$B$5</x:f>
        <x:v>1.15</x:v>
      </x:c>
      <x:c r="Q351" s="113" t="n">
        <x:f>IFERROR(ROUND(O351*P351/Beallitasok!$B$7,0)*Beallitasok!$B$7,"")</x:f>
        <x:v>5750</x:v>
      </x:c>
      <x:c r="R351" s="113"/>
      <x:c r="S351" s="113" t="n">
        <x:f>IF(Q351="","",Q351+IF(R351="",0,R351))</x:f>
        <x:v>5750</x:v>
      </x:c>
      <x:c r="T351" s="113" t="n">
        <x:f>M351*Beallitasok!$B$4</x:f>
        <x:v>300000</x:v>
      </x:c>
      <x:c r="U351" s="115" t="n">
        <x:f>N351*Beallitasok!$B$4</x:f>
        <x:v>60</x:v>
      </x:c>
      <x:c r="V351" s="113"/>
      <x:c r="W351" s="113" t="str">
        <x:f>IF(V351="","",V351-J351)</x:f>
      </x:c>
      <x:c r="X351" s="19"/>
      <x:c r="Y351" s="113" t="n">
        <x:f>IF(S351="","",J351-S351)</x:f>
        <x:v>-3450</x:v>
      </x:c>
      <x:c r="Z351" s="19" t="str">
        <x:f>IF(AA351="IGEN",IF(J351&lt;S351,"GÉPIGÉNY + KRITIKUS: gépdíj nélkül is alacsony a plafon","GÉPIGÉNY: a saját egységár gépdíj nélkül értendő"),IF(J351&lt;S351,"KRITIKUS: alvállalkozói plafon &lt; saját terhelt egységköltség",IF(J351&lt;S351*Beallitasok!$B$6,"SZŰK TARTALÉK: 10% alatti tartalék","OK")))</x:f>
        <x:v>KRITIKUS: alvállalkozói plafon &lt; saját terhelt egységköltség</x:v>
      </x:c>
      <x:c r="AA351" s="19" t="str">
        <x:v>NEM</x:v>
      </x:c>
      <x:c r="AB351" s="19" t="str">
        <x:v>https://joszaki.hu/arak/villanyszereles</x:v>
      </x:c>
      <x:c r="AC351" s="19" t="str">
        <x:v>2026 villanyszerelési óradíj/pontár és részfolyamat-levezetés</x:v>
      </x:c>
      <x:c r="AD351" s="19" t="str">
        <x:v>Anyag, E.ON/MVM díj, mérőszekrény, lámpatest, készülék és minősítő mérés külön, ha nincs nevesítve.</x:v>
      </x:c>
    </x:row>
    <x:row r="352">
      <x:c r="A352" s="19" t="str">
        <x:v>AR-0351</x:v>
      </x:c>
      <x:c r="B352" s="19" t="str">
        <x:v>16 Villanyszerelés</x:v>
      </x:c>
      <x:c r="C352" s="19" t="str">
        <x:v>Erősáram, gyengeáram, mérés</x:v>
      </x:c>
      <x:c r="D352" s="19" t="str">
        <x:v>Mindegyik</x:v>
      </x:c>
      <x:c r="E352" s="19" t="str">
        <x:v>FI-relé bekötése</x:v>
      </x:c>
      <x:c r="F352" s="19" t="str">
        <x:v>db</x:v>
      </x:c>
      <x:c r="G352" s="113" t="n">
        <x:v>6500</x:v>
      </x:c>
      <x:c r="H352" s="113" t="n">
        <x:v>9500</x:v>
      </x:c>
      <x:c r="I352" s="114" t="n">
        <x:v>0.6</x:v>
      </x:c>
      <x:c r="J352" s="113" t="n">
        <x:f>ROUND(H352*I352/Beallitasok!$B$7,0)*Beallitasok!$B$7</x:f>
        <x:v>5700</x:v>
      </x:c>
      <x:c r="K352" s="19" t="n">
        <x:v>1</x:v>
      </x:c>
      <x:c r="L352" s="19" t="n">
        <x:v>1</x:v>
      </x:c>
      <x:c r="M352" s="113" t="n">
        <x:f>K352*Beallitasok!$B$2+L352*Beallitasok!$B$3</x:f>
        <x:v>60000</x:v>
      </x:c>
      <x:c r="N352" s="115" t="n">
        <x:v>5</x:v>
      </x:c>
      <x:c r="O352" s="113" t="n">
        <x:f>IFERROR(M352/N352,"")</x:f>
        <x:v>12000</x:v>
      </x:c>
      <x:c r="P352" s="116" t="n">
        <x:f>Beallitasok!$B$5</x:f>
        <x:v>1.15</x:v>
      </x:c>
      <x:c r="Q352" s="113" t="n">
        <x:f>IFERROR(ROUND(O352*P352/Beallitasok!$B$7,0)*Beallitasok!$B$7,"")</x:f>
        <x:v>13800</x:v>
      </x:c>
      <x:c r="R352" s="113"/>
      <x:c r="S352" s="113" t="n">
        <x:f>IF(Q352="","",Q352+IF(R352="",0,R352))</x:f>
        <x:v>13800</x:v>
      </x:c>
      <x:c r="T352" s="113" t="n">
        <x:f>M352*Beallitasok!$B$4</x:f>
        <x:v>300000</x:v>
      </x:c>
      <x:c r="U352" s="115" t="n">
        <x:f>N352*Beallitasok!$B$4</x:f>
        <x:v>25</x:v>
      </x:c>
      <x:c r="V352" s="113"/>
      <x:c r="W352" s="113" t="str">
        <x:f>IF(V352="","",V352-J352)</x:f>
      </x:c>
      <x:c r="X352" s="19"/>
      <x:c r="Y352" s="113" t="n">
        <x:f>IF(S352="","",J352-S352)</x:f>
        <x:v>-8100</x:v>
      </x:c>
      <x:c r="Z352" s="19" t="str">
        <x:f>IF(AA352="IGEN",IF(J352&lt;S352,"GÉPIGÉNY + KRITIKUS: gépdíj nélkül is alacsony a plafon","GÉPIGÉNY: a saját egységár gépdíj nélkül értendő"),IF(J352&lt;S352,"KRITIKUS: alvállalkozói plafon &lt; saját terhelt egységköltség",IF(J352&lt;S352*Beallitasok!$B$6,"SZŰK TARTALÉK: 10% alatti tartalék","OK")))</x:f>
        <x:v>KRITIKUS: alvállalkozói plafon &lt; saját terhelt egységköltség</x:v>
      </x:c>
      <x:c r="AA352" s="19" t="str">
        <x:v>NEM</x:v>
      </x:c>
      <x:c r="AB352" s="19" t="str">
        <x:v>https://joszaki.hu/arak/villanyszereles</x:v>
      </x:c>
      <x:c r="AC352" s="19" t="str">
        <x:v>2026 villanyszerelési óradíj/pontár és részfolyamat-levezetés</x:v>
      </x:c>
      <x:c r="AD352" s="19" t="str">
        <x:v>Anyag, E.ON/MVM díj, mérőszekrény, lámpatest, készülék és minősítő mérés külön, ha nincs nevesítve.</x:v>
      </x:c>
    </x:row>
    <x:row r="353">
      <x:c r="A353" s="19" t="str">
        <x:v>AR-0352</x:v>
      </x:c>
      <x:c r="B353" s="19" t="str">
        <x:v>16 Villanyszerelés</x:v>
      </x:c>
      <x:c r="C353" s="19" t="str">
        <x:v>Erősáram, gyengeáram, mérés</x:v>
      </x:c>
      <x:c r="D353" s="19" t="str">
        <x:v>Mindegyik</x:v>
      </x:c>
      <x:c r="E353" s="19" t="str">
        <x:v>EPH fővezeték és csomópont kialakítása</x:v>
      </x:c>
      <x:c r="F353" s="19" t="str">
        <x:v>rendszer</x:v>
      </x:c>
      <x:c r="G353" s="113" t="n">
        <x:v>45000</x:v>
      </x:c>
      <x:c r="H353" s="113" t="n">
        <x:v>65000</x:v>
      </x:c>
      <x:c r="I353" s="114" t="n">
        <x:v>0.65</x:v>
      </x:c>
      <x:c r="J353" s="113" t="n">
        <x:f>ROUND(H353*I353/Beallitasok!$B$7,0)*Beallitasok!$B$7</x:f>
        <x:v>42250</x:v>
      </x:c>
      <x:c r="K353" s="19" t="n">
        <x:v>2</x:v>
      </x:c>
      <x:c r="L353" s="19" t="n">
        <x:v>1</x:v>
      </x:c>
      <x:c r="M353" s="113" t="n">
        <x:f>K353*Beallitasok!$B$2+L353*Beallitasok!$B$3</x:f>
        <x:v>95000</x:v>
      </x:c>
      <x:c r="N353" s="115" t="n">
        <x:v>1</x:v>
      </x:c>
      <x:c r="O353" s="113" t="n">
        <x:f>IFERROR(M353/N353,"")</x:f>
        <x:v>95000</x:v>
      </x:c>
      <x:c r="P353" s="116" t="n">
        <x:f>Beallitasok!$B$5</x:f>
        <x:v>1.15</x:v>
      </x:c>
      <x:c r="Q353" s="113" t="n">
        <x:f>IFERROR(ROUND(O353*P353/Beallitasok!$B$7,0)*Beallitasok!$B$7,"")</x:f>
        <x:v>109250</x:v>
      </x:c>
      <x:c r="R353" s="113"/>
      <x:c r="S353" s="113" t="n">
        <x:f>IF(Q353="","",Q353+IF(R353="",0,R353))</x:f>
        <x:v>109250</x:v>
      </x:c>
      <x:c r="T353" s="113" t="n">
        <x:f>M353*Beallitasok!$B$4</x:f>
        <x:v>475000</x:v>
      </x:c>
      <x:c r="U353" s="115" t="n">
        <x:f>N353*Beallitasok!$B$4</x:f>
        <x:v>5</x:v>
      </x:c>
      <x:c r="V353" s="113"/>
      <x:c r="W353" s="113" t="str">
        <x:f>IF(V353="","",V353-J353)</x:f>
      </x:c>
      <x:c r="X353" s="19"/>
      <x:c r="Y353" s="113" t="n">
        <x:f>IF(S353="","",J353-S353)</x:f>
        <x:v>-67000</x:v>
      </x:c>
      <x:c r="Z353" s="19" t="str">
        <x:f>IF(AA353="IGEN",IF(J353&lt;S353,"GÉPIGÉNY + KRITIKUS: gépdíj nélkül is alacsony a plafon","GÉPIGÉNY: a saját egységár gépdíj nélkül értendő"),IF(J353&lt;S353,"KRITIKUS: alvállalkozói plafon &lt; saját terhelt egységköltség",IF(J353&lt;S353*Beallitasok!$B$6,"SZŰK TARTALÉK: 10% alatti tartalék","OK")))</x:f>
        <x:v>KRITIKUS: alvállalkozói plafon &lt; saját terhelt egységköltség</x:v>
      </x:c>
      <x:c r="AA353" s="19" t="str">
        <x:v>NEM</x:v>
      </x:c>
      <x:c r="AB353" s="19" t="str">
        <x:v>https://joszaki.hu/arak/villanyszereles</x:v>
      </x:c>
      <x:c r="AC353" s="19" t="str">
        <x:v>2026 villanyszerelési óradíj/pontár és részfolyamat-levezetés</x:v>
      </x:c>
      <x:c r="AD353" s="19" t="str">
        <x:v>Anyag, E.ON/MVM díj, mérőszekrény, lámpatest, készülék és minősítő mérés külön, ha nincs nevesítve.</x:v>
      </x:c>
    </x:row>
    <x:row r="354">
      <x:c r="A354" s="19" t="str">
        <x:v>AR-0353</x:v>
      </x:c>
      <x:c r="B354" s="19" t="str">
        <x:v>16 Villanyszerelés</x:v>
      </x:c>
      <x:c r="C354" s="19" t="str">
        <x:v>Erősáram, gyengeáram, mérés</x:v>
      </x:c>
      <x:c r="D354" s="19" t="str">
        <x:v>Mindegyik</x:v>
      </x:c>
      <x:c r="E354" s="19" t="str">
        <x:v>Földelőszonda telepítése és bekötése</x:v>
      </x:c>
      <x:c r="F354" s="19" t="str">
        <x:v>db</x:v>
      </x:c>
      <x:c r="G354" s="113" t="n">
        <x:v>35000</x:v>
      </x:c>
      <x:c r="H354" s="113" t="n">
        <x:v>52000</x:v>
      </x:c>
      <x:c r="I354" s="114" t="n">
        <x:v>0.65</x:v>
      </x:c>
      <x:c r="J354" s="113" t="n">
        <x:f>ROUND(H354*I354/Beallitasok!$B$7,0)*Beallitasok!$B$7</x:f>
        <x:v>33800</x:v>
      </x:c>
      <x:c r="K354" s="19" t="n">
        <x:v>2</x:v>
      </x:c>
      <x:c r="L354" s="19" t="n">
        <x:v>1</x:v>
      </x:c>
      <x:c r="M354" s="113" t="n">
        <x:f>K354*Beallitasok!$B$2+L354*Beallitasok!$B$3</x:f>
        <x:v>95000</x:v>
      </x:c>
      <x:c r="N354" s="115" t="n">
        <x:v>1.2</x:v>
      </x:c>
      <x:c r="O354" s="113" t="n">
        <x:f>IFERROR(M354/N354,"")</x:f>
        <x:v>79166.66666666667</x:v>
      </x:c>
      <x:c r="P354" s="116" t="n">
        <x:f>Beallitasok!$B$5</x:f>
        <x:v>1.15</x:v>
      </x:c>
      <x:c r="Q354" s="113" t="n">
        <x:f>IFERROR(ROUND(O354*P354/Beallitasok!$B$7,0)*Beallitasok!$B$7,"")</x:f>
        <x:v>91050</x:v>
      </x:c>
      <x:c r="R354" s="113"/>
      <x:c r="S354" s="113" t="n">
        <x:f>IF(Q354="","",Q354+IF(R354="",0,R354))</x:f>
        <x:v>91050</x:v>
      </x:c>
      <x:c r="T354" s="113" t="n">
        <x:f>M354*Beallitasok!$B$4</x:f>
        <x:v>475000</x:v>
      </x:c>
      <x:c r="U354" s="115" t="n">
        <x:f>N354*Beallitasok!$B$4</x:f>
        <x:v>6</x:v>
      </x:c>
      <x:c r="V354" s="113"/>
      <x:c r="W354" s="113" t="str">
        <x:f>IF(V354="","",V354-J354)</x:f>
      </x:c>
      <x:c r="X354" s="19"/>
      <x:c r="Y354" s="113" t="n">
        <x:f>IF(S354="","",J354-S354)</x:f>
        <x:v>-57250</x:v>
      </x:c>
      <x:c r="Z354" s="19" t="str">
        <x:f>IF(AA354="IGEN",IF(J354&lt;S354,"GÉPIGÉNY + KRITIKUS: gépdíj nélkül is alacsony a plafon","GÉPIGÉNY: a saját egységár gépdíj nélkül értendő"),IF(J354&lt;S354,"KRITIKUS: alvállalkozói plafon &lt; saját terhelt egységköltség",IF(J354&lt;S354*Beallitasok!$B$6,"SZŰK TARTALÉK: 10% alatti tartalék","OK")))</x:f>
        <x:v>KRITIKUS: alvállalkozói plafon &lt; saját terhelt egységköltség</x:v>
      </x:c>
      <x:c r="AA354" s="19" t="str">
        <x:v>NEM</x:v>
      </x:c>
      <x:c r="AB354" s="19" t="str">
        <x:v>https://joszaki.hu/arak/villanyszereles</x:v>
      </x:c>
      <x:c r="AC354" s="19" t="str">
        <x:v>2026 villanyszerelési óradíj/pontár és részfolyamat-levezetés</x:v>
      </x:c>
      <x:c r="AD354" s="19" t="str">
        <x:v>Anyag, E.ON/MVM díj, mérőszekrény, lámpatest, készülék és minősítő mérés külön, ha nincs nevesítve.</x:v>
      </x:c>
    </x:row>
    <x:row r="355">
      <x:c r="A355" s="19" t="str">
        <x:v>AR-0354</x:v>
      </x:c>
      <x:c r="B355" s="19" t="str">
        <x:v>16 Villanyszerelés</x:v>
      </x:c>
      <x:c r="C355" s="19" t="str">
        <x:v>Erősáram, gyengeáram, mérés</x:v>
      </x:c>
      <x:c r="D355" s="19" t="str">
        <x:v>Mindegyik</x:v>
      </x:c>
      <x:c r="E355" s="19" t="str">
        <x:v>Alapföldelő vezető elhelyezése vasalásban</x:v>
      </x:c>
      <x:c r="F355" s="19" t="str">
        <x:v>fm</x:v>
      </x:c>
      <x:c r="G355" s="113" t="n">
        <x:v>1800</x:v>
      </x:c>
      <x:c r="H355" s="113" t="n">
        <x:v>2700</x:v>
      </x:c>
      <x:c r="I355" s="114" t="n">
        <x:v>0.6</x:v>
      </x:c>
      <x:c r="J355" s="113" t="n">
        <x:f>ROUND(H355*I355/Beallitasok!$B$7,0)*Beallitasok!$B$7</x:f>
        <x:v>1600</x:v>
      </x:c>
      <x:c r="K355" s="19" t="n">
        <x:v>2</x:v>
      </x:c>
      <x:c r="L355" s="19" t="n">
        <x:v>1</x:v>
      </x:c>
      <x:c r="M355" s="113" t="n">
        <x:f>K355*Beallitasok!$B$2+L355*Beallitasok!$B$3</x:f>
        <x:v>95000</x:v>
      </x:c>
      <x:c r="N355" s="115" t="n">
        <x:v>42</x:v>
      </x:c>
      <x:c r="O355" s="113" t="n">
        <x:f>IFERROR(M355/N355,"")</x:f>
        <x:v>2261.904761904762</x:v>
      </x:c>
      <x:c r="P355" s="116" t="n">
        <x:f>Beallitasok!$B$5</x:f>
        <x:v>1.15</x:v>
      </x:c>
      <x:c r="Q355" s="113" t="n">
        <x:f>IFERROR(ROUND(O355*P355/Beallitasok!$B$7,0)*Beallitasok!$B$7,"")</x:f>
        <x:v>2600</x:v>
      </x:c>
      <x:c r="R355" s="113"/>
      <x:c r="S355" s="113" t="n">
        <x:f>IF(Q355="","",Q355+IF(R355="",0,R355))</x:f>
        <x:v>2600</x:v>
      </x:c>
      <x:c r="T355" s="113" t="n">
        <x:f>M355*Beallitasok!$B$4</x:f>
        <x:v>475000</x:v>
      </x:c>
      <x:c r="U355" s="115" t="n">
        <x:f>N355*Beallitasok!$B$4</x:f>
        <x:v>210</x:v>
      </x:c>
      <x:c r="V355" s="113"/>
      <x:c r="W355" s="113" t="str">
        <x:f>IF(V355="","",V355-J355)</x:f>
      </x:c>
      <x:c r="X355" s="19"/>
      <x:c r="Y355" s="113" t="n">
        <x:f>IF(S355="","",J355-S355)</x:f>
        <x:v>-1000</x:v>
      </x:c>
      <x:c r="Z355" s="19" t="str">
        <x:f>IF(AA355="IGEN",IF(J355&lt;S355,"GÉPIGÉNY + KRITIKUS: gépdíj nélkül is alacsony a plafon","GÉPIGÉNY: a saját egységár gépdíj nélkül értendő"),IF(J355&lt;S355,"KRITIKUS: alvállalkozói plafon &lt; saját terhelt egységköltség",IF(J355&lt;S355*Beallitasok!$B$6,"SZŰK TARTALÉK: 10% alatti tartalék","OK")))</x:f>
        <x:v>KRITIKUS: alvállalkozói plafon &lt; saját terhelt egységköltség</x:v>
      </x:c>
      <x:c r="AA355" s="19" t="str">
        <x:v>NEM</x:v>
      </x:c>
      <x:c r="AB355" s="19" t="str">
        <x:v>https://joszaki.hu/arak/villanyszereles</x:v>
      </x:c>
      <x:c r="AC355" s="19" t="str">
        <x:v>2026 villanyszerelési óradíj/pontár és részfolyamat-levezetés</x:v>
      </x:c>
      <x:c r="AD355" s="19" t="str">
        <x:v>Anyag, E.ON/MVM díj, mérőszekrény, lámpatest, készülék és minősítő mérés külön, ha nincs nevesítve.</x:v>
      </x:c>
    </x:row>
    <x:row r="356">
      <x:c r="A356" s="19" t="str">
        <x:v>AR-0355</x:v>
      </x:c>
      <x:c r="B356" s="19" t="str">
        <x:v>16 Villanyszerelés</x:v>
      </x:c>
      <x:c r="C356" s="19" t="str">
        <x:v>Erősáram, gyengeáram, mérés</x:v>
      </x:c>
      <x:c r="D356" s="19" t="str">
        <x:v>Mindegyik</x:v>
      </x:c>
      <x:c r="E356" s="19" t="str">
        <x:v>Villámvédelmi levezető szerelése</x:v>
      </x:c>
      <x:c r="F356" s="19" t="str">
        <x:v>fm</x:v>
      </x:c>
      <x:c r="G356" s="113" t="n">
        <x:v>3500</x:v>
      </x:c>
      <x:c r="H356" s="113" t="n">
        <x:v>5200</x:v>
      </x:c>
      <x:c r="I356" s="114" t="n">
        <x:v>0.65</x:v>
      </x:c>
      <x:c r="J356" s="113" t="n">
        <x:f>ROUND(H356*I356/Beallitasok!$B$7,0)*Beallitasok!$B$7</x:f>
        <x:v>3400</x:v>
      </x:c>
      <x:c r="K356" s="19" t="n">
        <x:v>2</x:v>
      </x:c>
      <x:c r="L356" s="19" t="n">
        <x:v>1</x:v>
      </x:c>
      <x:c r="M356" s="113" t="n">
        <x:f>K356*Beallitasok!$B$2+L356*Beallitasok!$B$3</x:f>
        <x:v>95000</x:v>
      </x:c>
      <x:c r="N356" s="115" t="n">
        <x:v>24</x:v>
      </x:c>
      <x:c r="O356" s="113" t="n">
        <x:f>IFERROR(M356/N356,"")</x:f>
        <x:v>3958.3333333333335</x:v>
      </x:c>
      <x:c r="P356" s="116" t="n">
        <x:f>Beallitasok!$B$5</x:f>
        <x:v>1.15</x:v>
      </x:c>
      <x:c r="Q356" s="113" t="n">
        <x:f>IFERROR(ROUND(O356*P356/Beallitasok!$B$7,0)*Beallitasok!$B$7,"")</x:f>
        <x:v>4550</x:v>
      </x:c>
      <x:c r="R356" s="113"/>
      <x:c r="S356" s="113" t="n">
        <x:f>IF(Q356="","",Q356+IF(R356="",0,R356))</x:f>
        <x:v>4550</x:v>
      </x:c>
      <x:c r="T356" s="113" t="n">
        <x:f>M356*Beallitasok!$B$4</x:f>
        <x:v>475000</x:v>
      </x:c>
      <x:c r="U356" s="115" t="n">
        <x:f>N356*Beallitasok!$B$4</x:f>
        <x:v>120</x:v>
      </x:c>
      <x:c r="V356" s="113"/>
      <x:c r="W356" s="113" t="str">
        <x:f>IF(V356="","",V356-J356)</x:f>
      </x:c>
      <x:c r="X356" s="19"/>
      <x:c r="Y356" s="113" t="n">
        <x:f>IF(S356="","",J356-S356)</x:f>
        <x:v>-1150</x:v>
      </x:c>
      <x:c r="Z356" s="19" t="str">
        <x:f>IF(AA356="IGEN",IF(J356&lt;S356,"GÉPIGÉNY + KRITIKUS: gépdíj nélkül is alacsony a plafon","GÉPIGÉNY: a saját egységár gépdíj nélkül értendő"),IF(J356&lt;S356,"KRITIKUS: alvállalkozói plafon &lt; saját terhelt egységköltség",IF(J356&lt;S356*Beallitasok!$B$6,"SZŰK TARTALÉK: 10% alatti tartalék","OK")))</x:f>
        <x:v>KRITIKUS: alvállalkozói plafon &lt; saját terhelt egységköltség</x:v>
      </x:c>
      <x:c r="AA356" s="19" t="str">
        <x:v>NEM</x:v>
      </x:c>
      <x:c r="AB356" s="19" t="str">
        <x:v>https://joszaki.hu/arak/villanyszereles</x:v>
      </x:c>
      <x:c r="AC356" s="19" t="str">
        <x:v>2026 villanyszerelési óradíj/pontár és részfolyamat-levezetés</x:v>
      </x:c>
      <x:c r="AD356" s="19" t="str">
        <x:v>Anyag, E.ON/MVM díj, mérőszekrény, lámpatest, készülék és minősítő mérés külön, ha nincs nevesítve.</x:v>
      </x:c>
    </x:row>
    <x:row r="357">
      <x:c r="A357" s="19" t="str">
        <x:v>AR-0356</x:v>
      </x:c>
      <x:c r="B357" s="19" t="str">
        <x:v>16 Villanyszerelés</x:v>
      </x:c>
      <x:c r="C357" s="19" t="str">
        <x:v>Erősáram, gyengeáram, mérés</x:v>
      </x:c>
      <x:c r="D357" s="19" t="str">
        <x:v>Mindegyik</x:v>
      </x:c>
      <x:c r="E357" s="19" t="str">
        <x:v>Mérőhely mechanikai kialakításának szerelési munkája</x:v>
      </x:c>
      <x:c r="F357" s="19" t="str">
        <x:v>db</x:v>
      </x:c>
      <x:c r="G357" s="113" t="n">
        <x:v>100000</x:v>
      </x:c>
      <x:c r="H357" s="113" t="n">
        <x:v>160000</x:v>
      </x:c>
      <x:c r="I357" s="114" t="n">
        <x:v>0.65</x:v>
      </x:c>
      <x:c r="J357" s="113" t="n">
        <x:f>ROUND(H357*I357/Beallitasok!$B$7,0)*Beallitasok!$B$7</x:f>
        <x:v>104000</x:v>
      </x:c>
      <x:c r="K357" s="19" t="n">
        <x:v>2</x:v>
      </x:c>
      <x:c r="L357" s="19" t="n">
        <x:v>1</x:v>
      </x:c>
      <x:c r="M357" s="113" t="n">
        <x:f>K357*Beallitasok!$B$2+L357*Beallitasok!$B$3</x:f>
        <x:v>95000</x:v>
      </x:c>
      <x:c r="N357" s="115" t="n">
        <x:v>0.5</x:v>
      </x:c>
      <x:c r="O357" s="113" t="n">
        <x:f>IFERROR(M357/N357,"")</x:f>
        <x:v>190000</x:v>
      </x:c>
      <x:c r="P357" s="116" t="n">
        <x:f>Beallitasok!$B$5</x:f>
        <x:v>1.15</x:v>
      </x:c>
      <x:c r="Q357" s="113" t="n">
        <x:f>IFERROR(ROUND(O357*P357/Beallitasok!$B$7,0)*Beallitasok!$B$7,"")</x:f>
        <x:v>218500</x:v>
      </x:c>
      <x:c r="R357" s="113"/>
      <x:c r="S357" s="113" t="n">
        <x:f>IF(Q357="","",Q357+IF(R357="",0,R357))</x:f>
        <x:v>218500</x:v>
      </x:c>
      <x:c r="T357" s="113" t="n">
        <x:f>M357*Beallitasok!$B$4</x:f>
        <x:v>475000</x:v>
      </x:c>
      <x:c r="U357" s="115" t="n">
        <x:f>N357*Beallitasok!$B$4</x:f>
        <x:v>2.5</x:v>
      </x:c>
      <x:c r="V357" s="113"/>
      <x:c r="W357" s="113" t="str">
        <x:f>IF(V357="","",V357-J357)</x:f>
      </x:c>
      <x:c r="X357" s="19"/>
      <x:c r="Y357" s="113" t="n">
        <x:f>IF(S357="","",J357-S357)</x:f>
        <x:v>-114500</x:v>
      </x:c>
      <x:c r="Z357" s="19" t="str">
        <x:f>IF(AA357="IGEN",IF(J357&lt;S357,"GÉPIGÉNY + KRITIKUS: gépdíj nélkül is alacsony a plafon","GÉPIGÉNY: a saját egységár gépdíj nélkül értendő"),IF(J357&lt;S357,"KRITIKUS: alvállalkozói plafon &lt; saját terhelt egységköltség",IF(J357&lt;S357*Beallitasok!$B$6,"SZŰK TARTALÉK: 10% alatti tartalék","OK")))</x:f>
        <x:v>KRITIKUS: alvállalkozói plafon &lt; saját terhelt egységköltség</x:v>
      </x:c>
      <x:c r="AA357" s="19" t="str">
        <x:v>NEM</x:v>
      </x:c>
      <x:c r="AB357" s="19" t="str">
        <x:v>https://joszaki.hu/arak/merohely-kialakitas</x:v>
      </x:c>
      <x:c r="AC357" s="19" t="str">
        <x:v>2026 villanyszerelési óradíj/pontár és részfolyamat-levezetés</x:v>
      </x:c>
      <x:c r="AD357" s="19" t="str">
        <x:v>Anyag, E.ON/MVM díj, mérőszekrény, lámpatest, készülék és minősítő mérés külön, ha nincs nevesítve.</x:v>
      </x:c>
    </x:row>
    <x:row r="358">
      <x:c r="A358" s="19" t="str">
        <x:v>AR-0357</x:v>
      </x:c>
      <x:c r="B358" s="19" t="str">
        <x:v>16 Villanyszerelés</x:v>
      </x:c>
      <x:c r="C358" s="19" t="str">
        <x:v>Erősáram, gyengeáram, mérés</x:v>
      </x:c>
      <x:c r="D358" s="19" t="str">
        <x:v>Mindegyik</x:v>
      </x:c>
      <x:c r="E358" s="19" t="str">
        <x:v>Napelem DC kábelnyomvonal előkészítése</x:v>
      </x:c>
      <x:c r="F358" s="19" t="str">
        <x:v>fm</x:v>
      </x:c>
      <x:c r="G358" s="113" t="n">
        <x:v>2200</x:v>
      </x:c>
      <x:c r="H358" s="113" t="n">
        <x:v>3300</x:v>
      </x:c>
      <x:c r="I358" s="114" t="n">
        <x:v>0.6</x:v>
      </x:c>
      <x:c r="J358" s="113" t="n">
        <x:f>ROUND(H358*I358/Beallitasok!$B$7,0)*Beallitasok!$B$7</x:f>
        <x:v>2000</x:v>
      </x:c>
      <x:c r="K358" s="19" t="n">
        <x:v>2</x:v>
      </x:c>
      <x:c r="L358" s="19" t="n">
        <x:v>1</x:v>
      </x:c>
      <x:c r="M358" s="113" t="n">
        <x:f>K358*Beallitasok!$B$2+L358*Beallitasok!$B$3</x:f>
        <x:v>95000</x:v>
      </x:c>
      <x:c r="N358" s="115" t="n">
        <x:v>30</x:v>
      </x:c>
      <x:c r="O358" s="113" t="n">
        <x:f>IFERROR(M358/N358,"")</x:f>
        <x:v>3166.6666666666665</x:v>
      </x:c>
      <x:c r="P358" s="116" t="n">
        <x:f>Beallitasok!$B$5</x:f>
        <x:v>1.15</x:v>
      </x:c>
      <x:c r="Q358" s="113" t="n">
        <x:f>IFERROR(ROUND(O358*P358/Beallitasok!$B$7,0)*Beallitasok!$B$7,"")</x:f>
        <x:v>3650</x:v>
      </x:c>
      <x:c r="R358" s="113"/>
      <x:c r="S358" s="113" t="n">
        <x:f>IF(Q358="","",Q358+IF(R358="",0,R358))</x:f>
        <x:v>3650</x:v>
      </x:c>
      <x:c r="T358" s="113" t="n">
        <x:f>M358*Beallitasok!$B$4</x:f>
        <x:v>475000</x:v>
      </x:c>
      <x:c r="U358" s="115" t="n">
        <x:f>N358*Beallitasok!$B$4</x:f>
        <x:v>150</x:v>
      </x:c>
      <x:c r="V358" s="113"/>
      <x:c r="W358" s="113" t="str">
        <x:f>IF(V358="","",V358-J358)</x:f>
      </x:c>
      <x:c r="X358" s="19"/>
      <x:c r="Y358" s="113" t="n">
        <x:f>IF(S358="","",J358-S358)</x:f>
        <x:v>-1650</x:v>
      </x:c>
      <x:c r="Z358" s="19" t="str">
        <x:f>IF(AA358="IGEN",IF(J358&lt;S358,"GÉPIGÉNY + KRITIKUS: gépdíj nélkül is alacsony a plafon","GÉPIGÉNY: a saját egységár gépdíj nélkül értendő"),IF(J358&lt;S358,"KRITIKUS: alvállalkozói plafon &lt; saját terhelt egységköltség",IF(J358&lt;S358*Beallitasok!$B$6,"SZŰK TARTALÉK: 10% alatti tartalék","OK")))</x:f>
        <x:v>KRITIKUS: alvállalkozói plafon &lt; saját terhelt egységköltség</x:v>
      </x:c>
      <x:c r="AA358" s="19" t="str">
        <x:v>NEM</x:v>
      </x:c>
      <x:c r="AB358" s="19" t="str">
        <x:v>https://joszaki.hu/arak/villanyszereles</x:v>
      </x:c>
      <x:c r="AC358" s="19" t="str">
        <x:v>2026 villanyszerelési óradíj/pontár és részfolyamat-levezetés</x:v>
      </x:c>
      <x:c r="AD358" s="19" t="str">
        <x:v>Anyag, E.ON/MVM díj, mérőszekrény, lámpatest, készülék és minősítő mérés külön, ha nincs nevesítve.</x:v>
      </x:c>
    </x:row>
    <x:row r="359">
      <x:c r="A359" s="19" t="str">
        <x:v>AR-0358</x:v>
      </x:c>
      <x:c r="B359" s="19" t="str">
        <x:v>16 Villanyszerelés</x:v>
      </x:c>
      <x:c r="C359" s="19" t="str">
        <x:v>Erősáram, gyengeáram, mérés</x:v>
      </x:c>
      <x:c r="D359" s="19" t="str">
        <x:v>Mindegyik</x:v>
      </x:c>
      <x:c r="E359" s="19" t="str">
        <x:v>Napelem inverter mechanikai felszerelése</x:v>
      </x:c>
      <x:c r="F359" s="19" t="str">
        <x:v>db</x:v>
      </x:c>
      <x:c r="G359" s="113" t="n">
        <x:v>35000</x:v>
      </x:c>
      <x:c r="H359" s="113" t="n">
        <x:v>52000</x:v>
      </x:c>
      <x:c r="I359" s="114" t="n">
        <x:v>0.65</x:v>
      </x:c>
      <x:c r="J359" s="113" t="n">
        <x:f>ROUND(H359*I359/Beallitasok!$B$7,0)*Beallitasok!$B$7</x:f>
        <x:v>33800</x:v>
      </x:c>
      <x:c r="K359" s="19" t="n">
        <x:v>2</x:v>
      </x:c>
      <x:c r="L359" s="19" t="n">
        <x:v>1</x:v>
      </x:c>
      <x:c r="M359" s="113" t="n">
        <x:f>K359*Beallitasok!$B$2+L359*Beallitasok!$B$3</x:f>
        <x:v>95000</x:v>
      </x:c>
      <x:c r="N359" s="115" t="n">
        <x:v>1.2</x:v>
      </x:c>
      <x:c r="O359" s="113" t="n">
        <x:f>IFERROR(M359/N359,"")</x:f>
        <x:v>79166.66666666667</x:v>
      </x:c>
      <x:c r="P359" s="116" t="n">
        <x:f>Beallitasok!$B$5</x:f>
        <x:v>1.15</x:v>
      </x:c>
      <x:c r="Q359" s="113" t="n">
        <x:f>IFERROR(ROUND(O359*P359/Beallitasok!$B$7,0)*Beallitasok!$B$7,"")</x:f>
        <x:v>91050</x:v>
      </x:c>
      <x:c r="R359" s="113"/>
      <x:c r="S359" s="113" t="n">
        <x:f>IF(Q359="","",Q359+IF(R359="",0,R359))</x:f>
        <x:v>91050</x:v>
      </x:c>
      <x:c r="T359" s="113" t="n">
        <x:f>M359*Beallitasok!$B$4</x:f>
        <x:v>475000</x:v>
      </x:c>
      <x:c r="U359" s="115" t="n">
        <x:f>N359*Beallitasok!$B$4</x:f>
        <x:v>6</x:v>
      </x:c>
      <x:c r="V359" s="113"/>
      <x:c r="W359" s="113" t="str">
        <x:f>IF(V359="","",V359-J359)</x:f>
      </x:c>
      <x:c r="X359" s="19"/>
      <x:c r="Y359" s="113" t="n">
        <x:f>IF(S359="","",J359-S359)</x:f>
        <x:v>-57250</x:v>
      </x:c>
      <x:c r="Z359" s="19" t="str">
        <x:f>IF(AA359="IGEN",IF(J359&lt;S359,"GÉPIGÉNY + KRITIKUS: gépdíj nélkül is alacsony a plafon","GÉPIGÉNY: a saját egységár gépdíj nélkül értendő"),IF(J359&lt;S359,"KRITIKUS: alvállalkozói plafon &lt; saját terhelt egységköltség",IF(J359&lt;S359*Beallitasok!$B$6,"SZŰK TARTALÉK: 10% alatti tartalék","OK")))</x:f>
        <x:v>KRITIKUS: alvállalkozói plafon &lt; saját terhelt egységköltség</x:v>
      </x:c>
      <x:c r="AA359" s="19" t="str">
        <x:v>NEM</x:v>
      </x:c>
      <x:c r="AB359" s="19" t="str">
        <x:v>https://joszaki.hu/arak/villanyszereles</x:v>
      </x:c>
      <x:c r="AC359" s="19" t="str">
        <x:v>2026 villanyszerelési óradíj/pontár és részfolyamat-levezetés</x:v>
      </x:c>
      <x:c r="AD359" s="19" t="str">
        <x:v>Anyag, E.ON/MVM díj, mérőszekrény, lámpatest, készülék és minősítő mérés külön, ha nincs nevesítve.</x:v>
      </x:c>
    </x:row>
    <x:row r="360">
      <x:c r="A360" s="19" t="str">
        <x:v>AR-0359</x:v>
      </x:c>
      <x:c r="B360" s="19" t="str">
        <x:v>16 Villanyszerelés</x:v>
      </x:c>
      <x:c r="C360" s="19" t="str">
        <x:v>Erősáram, gyengeáram, mérés</x:v>
      </x:c>
      <x:c r="D360" s="19" t="str">
        <x:v>Mindegyik</x:v>
      </x:c>
      <x:c r="E360" s="19" t="str">
        <x:v>UTP hálózati kábel kiépítése</x:v>
      </x:c>
      <x:c r="F360" s="19" t="str">
        <x:v>pont</x:v>
      </x:c>
      <x:c r="G360" s="113" t="n">
        <x:v>4500</x:v>
      </x:c>
      <x:c r="H360" s="113" t="n">
        <x:v>7000</x:v>
      </x:c>
      <x:c r="I360" s="114" t="n">
        <x:v>0.6</x:v>
      </x:c>
      <x:c r="J360" s="113" t="n">
        <x:f>ROUND(H360*I360/Beallitasok!$B$7,0)*Beallitasok!$B$7</x:f>
        <x:v>4200</x:v>
      </x:c>
      <x:c r="K360" s="19" t="n">
        <x:v>2</x:v>
      </x:c>
      <x:c r="L360" s="19" t="n">
        <x:v>1</x:v>
      </x:c>
      <x:c r="M360" s="113" t="n">
        <x:f>K360*Beallitasok!$B$2+L360*Beallitasok!$B$3</x:f>
        <x:v>95000</x:v>
      </x:c>
      <x:c r="N360" s="115" t="n">
        <x:v>10</x:v>
      </x:c>
      <x:c r="O360" s="113" t="n">
        <x:f>IFERROR(M360/N360,"")</x:f>
        <x:v>9500</x:v>
      </x:c>
      <x:c r="P360" s="116" t="n">
        <x:f>Beallitasok!$B$5</x:f>
        <x:v>1.15</x:v>
      </x:c>
      <x:c r="Q360" s="113" t="n">
        <x:f>IFERROR(ROUND(O360*P360/Beallitasok!$B$7,0)*Beallitasok!$B$7,"")</x:f>
        <x:v>10950</x:v>
      </x:c>
      <x:c r="R360" s="113"/>
      <x:c r="S360" s="113" t="n">
        <x:f>IF(Q360="","",Q360+IF(R360="",0,R360))</x:f>
        <x:v>10950</x:v>
      </x:c>
      <x:c r="T360" s="113" t="n">
        <x:f>M360*Beallitasok!$B$4</x:f>
        <x:v>475000</x:v>
      </x:c>
      <x:c r="U360" s="115" t="n">
        <x:f>N360*Beallitasok!$B$4</x:f>
        <x:v>50</x:v>
      </x:c>
      <x:c r="V360" s="113"/>
      <x:c r="W360" s="113" t="str">
        <x:f>IF(V360="","",V360-J360)</x:f>
      </x:c>
      <x:c r="X360" s="19"/>
      <x:c r="Y360" s="113" t="n">
        <x:f>IF(S360="","",J360-S360)</x:f>
        <x:v>-6750</x:v>
      </x:c>
      <x:c r="Z360" s="19" t="str">
        <x:f>IF(AA360="IGEN",IF(J360&lt;S360,"GÉPIGÉNY + KRITIKUS: gépdíj nélkül is alacsony a plafon","GÉPIGÉNY: a saját egységár gépdíj nélkül értendő"),IF(J360&lt;S360,"KRITIKUS: alvállalkozói plafon &lt; saját terhelt egységköltség",IF(J360&lt;S360*Beallitasok!$B$6,"SZŰK TARTALÉK: 10% alatti tartalék","OK")))</x:f>
        <x:v>KRITIKUS: alvállalkozói plafon &lt; saját terhelt egységköltség</x:v>
      </x:c>
      <x:c r="AA360" s="19" t="str">
        <x:v>NEM</x:v>
      </x:c>
      <x:c r="AB360" s="19" t="str">
        <x:v>https://joszaki.hu/arak/villanyszereles</x:v>
      </x:c>
      <x:c r="AC360" s="19" t="str">
        <x:v>2026 villanyszerelési óradíj/pontár és részfolyamat-levezetés</x:v>
      </x:c>
      <x:c r="AD360" s="19" t="str">
        <x:v>Anyag, E.ON/MVM díj, mérőszekrény, lámpatest, készülék és minősítő mérés külön, ha nincs nevesítve.</x:v>
      </x:c>
    </x:row>
    <x:row r="361">
      <x:c r="A361" s="19" t="str">
        <x:v>AR-0360</x:v>
      </x:c>
      <x:c r="B361" s="19" t="str">
        <x:v>16 Villanyszerelés</x:v>
      </x:c>
      <x:c r="C361" s="19" t="str">
        <x:v>Erősáram, gyengeáram, mérés</x:v>
      </x:c>
      <x:c r="D361" s="19" t="str">
        <x:v>Mindegyik</x:v>
      </x:c>
      <x:c r="E361" s="19" t="str">
        <x:v>Koax TV-kábel kiépítése</x:v>
      </x:c>
      <x:c r="F361" s="19" t="str">
        <x:v>pont</x:v>
      </x:c>
      <x:c r="G361" s="113" t="n">
        <x:v>4000</x:v>
      </x:c>
      <x:c r="H361" s="113" t="n">
        <x:v>6200</x:v>
      </x:c>
      <x:c r="I361" s="114" t="n">
        <x:v>0.6</x:v>
      </x:c>
      <x:c r="J361" s="113" t="n">
        <x:f>ROUND(H361*I361/Beallitasok!$B$7,0)*Beallitasok!$B$7</x:f>
        <x:v>3700</x:v>
      </x:c>
      <x:c r="K361" s="19" t="n">
        <x:v>2</x:v>
      </x:c>
      <x:c r="L361" s="19" t="n">
        <x:v>1</x:v>
      </x:c>
      <x:c r="M361" s="113" t="n">
        <x:f>K361*Beallitasok!$B$2+L361*Beallitasok!$B$3</x:f>
        <x:v>95000</x:v>
      </x:c>
      <x:c r="N361" s="115" t="n">
        <x:v>11</x:v>
      </x:c>
      <x:c r="O361" s="113" t="n">
        <x:f>IFERROR(M361/N361,"")</x:f>
        <x:v>8636.363636363636</x:v>
      </x:c>
      <x:c r="P361" s="116" t="n">
        <x:f>Beallitasok!$B$5</x:f>
        <x:v>1.15</x:v>
      </x:c>
      <x:c r="Q361" s="113" t="n">
        <x:f>IFERROR(ROUND(O361*P361/Beallitasok!$B$7,0)*Beallitasok!$B$7,"")</x:f>
        <x:v>9950</x:v>
      </x:c>
      <x:c r="R361" s="113"/>
      <x:c r="S361" s="113" t="n">
        <x:f>IF(Q361="","",Q361+IF(R361="",0,R361))</x:f>
        <x:v>9950</x:v>
      </x:c>
      <x:c r="T361" s="113" t="n">
        <x:f>M361*Beallitasok!$B$4</x:f>
        <x:v>475000</x:v>
      </x:c>
      <x:c r="U361" s="115" t="n">
        <x:f>N361*Beallitasok!$B$4</x:f>
        <x:v>55</x:v>
      </x:c>
      <x:c r="V361" s="113"/>
      <x:c r="W361" s="113" t="str">
        <x:f>IF(V361="","",V361-J361)</x:f>
      </x:c>
      <x:c r="X361" s="19"/>
      <x:c r="Y361" s="113" t="n">
        <x:f>IF(S361="","",J361-S361)</x:f>
        <x:v>-6250</x:v>
      </x:c>
      <x:c r="Z361" s="19" t="str">
        <x:f>IF(AA361="IGEN",IF(J361&lt;S361,"GÉPIGÉNY + KRITIKUS: gépdíj nélkül is alacsony a plafon","GÉPIGÉNY: a saját egységár gépdíj nélkül értendő"),IF(J361&lt;S361,"KRITIKUS: alvállalkozói plafon &lt; saját terhelt egységköltség",IF(J361&lt;S361*Beallitasok!$B$6,"SZŰK TARTALÉK: 10% alatti tartalék","OK")))</x:f>
        <x:v>KRITIKUS: alvállalkozói plafon &lt; saját terhelt egységköltség</x:v>
      </x:c>
      <x:c r="AA361" s="19" t="str">
        <x:v>NEM</x:v>
      </x:c>
      <x:c r="AB361" s="19" t="str">
        <x:v>https://joszaki.hu/arak/villanyszereles</x:v>
      </x:c>
      <x:c r="AC361" s="19" t="str">
        <x:v>2026 villanyszerelési óradíj/pontár és részfolyamat-levezetés</x:v>
      </x:c>
      <x:c r="AD361" s="19" t="str">
        <x:v>Anyag, E.ON/MVM díj, mérőszekrény, lámpatest, készülék és minősítő mérés külön, ha nincs nevesítve.</x:v>
      </x:c>
    </x:row>
    <x:row r="362">
      <x:c r="A362" s="19" t="str">
        <x:v>AR-0361</x:v>
      </x:c>
      <x:c r="B362" s="19" t="str">
        <x:v>16 Villanyszerelés</x:v>
      </x:c>
      <x:c r="C362" s="19" t="str">
        <x:v>Erősáram, gyengeáram, mérés</x:v>
      </x:c>
      <x:c r="D362" s="19" t="str">
        <x:v>Mindegyik</x:v>
      </x:c>
      <x:c r="E362" s="19" t="str">
        <x:v>Riasztó érzékelő kábelezési pont</x:v>
      </x:c>
      <x:c r="F362" s="19" t="str">
        <x:v>pont</x:v>
      </x:c>
      <x:c r="G362" s="113" t="n">
        <x:v>4200</x:v>
      </x:c>
      <x:c r="H362" s="113" t="n">
        <x:v>6500</x:v>
      </x:c>
      <x:c r="I362" s="114" t="n">
        <x:v>0.6</x:v>
      </x:c>
      <x:c r="J362" s="113" t="n">
        <x:f>ROUND(H362*I362/Beallitasok!$B$7,0)*Beallitasok!$B$7</x:f>
        <x:v>3900</x:v>
      </x:c>
      <x:c r="K362" s="19" t="n">
        <x:v>2</x:v>
      </x:c>
      <x:c r="L362" s="19" t="n">
        <x:v>1</x:v>
      </x:c>
      <x:c r="M362" s="113" t="n">
        <x:f>K362*Beallitasok!$B$2+L362*Beallitasok!$B$3</x:f>
        <x:v>95000</x:v>
      </x:c>
      <x:c r="N362" s="115" t="n">
        <x:v>11</x:v>
      </x:c>
      <x:c r="O362" s="113" t="n">
        <x:f>IFERROR(M362/N362,"")</x:f>
        <x:v>8636.363636363636</x:v>
      </x:c>
      <x:c r="P362" s="116" t="n">
        <x:f>Beallitasok!$B$5</x:f>
        <x:v>1.15</x:v>
      </x:c>
      <x:c r="Q362" s="113" t="n">
        <x:f>IFERROR(ROUND(O362*P362/Beallitasok!$B$7,0)*Beallitasok!$B$7,"")</x:f>
        <x:v>9950</x:v>
      </x:c>
      <x:c r="R362" s="113"/>
      <x:c r="S362" s="113" t="n">
        <x:f>IF(Q362="","",Q362+IF(R362="",0,R362))</x:f>
        <x:v>9950</x:v>
      </x:c>
      <x:c r="T362" s="113" t="n">
        <x:f>M362*Beallitasok!$B$4</x:f>
        <x:v>475000</x:v>
      </x:c>
      <x:c r="U362" s="115" t="n">
        <x:f>N362*Beallitasok!$B$4</x:f>
        <x:v>55</x:v>
      </x:c>
      <x:c r="V362" s="113"/>
      <x:c r="W362" s="113" t="str">
        <x:f>IF(V362="","",V362-J362)</x:f>
      </x:c>
      <x:c r="X362" s="19"/>
      <x:c r="Y362" s="113" t="n">
        <x:f>IF(S362="","",J362-S362)</x:f>
        <x:v>-6050</x:v>
      </x:c>
      <x:c r="Z362" s="19" t="str">
        <x:f>IF(AA362="IGEN",IF(J362&lt;S362,"GÉPIGÉNY + KRITIKUS: gépdíj nélkül is alacsony a plafon","GÉPIGÉNY: a saját egységár gépdíj nélkül értendő"),IF(J362&lt;S362,"KRITIKUS: alvállalkozói plafon &lt; saját terhelt egységköltség",IF(J362&lt;S362*Beallitasok!$B$6,"SZŰK TARTALÉK: 10% alatti tartalék","OK")))</x:f>
        <x:v>KRITIKUS: alvállalkozói plafon &lt; saját terhelt egységköltség</x:v>
      </x:c>
      <x:c r="AA362" s="19" t="str">
        <x:v>NEM</x:v>
      </x:c>
      <x:c r="AB362" s="19" t="str">
        <x:v>https://joszaki.hu/arak/villanyszereles</x:v>
      </x:c>
      <x:c r="AC362" s="19" t="str">
        <x:v>2026 villanyszerelési óradíj/pontár és részfolyamat-levezetés</x:v>
      </x:c>
      <x:c r="AD362" s="19" t="str">
        <x:v>Anyag, E.ON/MVM díj, mérőszekrény, lámpatest, készülék és minősítő mérés külön, ha nincs nevesítve.</x:v>
      </x:c>
    </x:row>
    <x:row r="363">
      <x:c r="A363" s="19" t="str">
        <x:v>AR-0362</x:v>
      </x:c>
      <x:c r="B363" s="19" t="str">
        <x:v>16 Villanyszerelés</x:v>
      </x:c>
      <x:c r="C363" s="19" t="str">
        <x:v>Erősáram, gyengeáram, mérés</x:v>
      </x:c>
      <x:c r="D363" s="19" t="str">
        <x:v>Mindegyik</x:v>
      </x:c>
      <x:c r="E363" s="19" t="str">
        <x:v>Mozgásérzékelő felszerelése és bekötése</x:v>
      </x:c>
      <x:c r="F363" s="19" t="str">
        <x:v>db</x:v>
      </x:c>
      <x:c r="G363" s="113" t="n">
        <x:v>6500</x:v>
      </x:c>
      <x:c r="H363" s="113" t="n">
        <x:v>9500</x:v>
      </x:c>
      <x:c r="I363" s="114" t="n">
        <x:v>0.6</x:v>
      </x:c>
      <x:c r="J363" s="113" t="n">
        <x:f>ROUND(H363*I363/Beallitasok!$B$7,0)*Beallitasok!$B$7</x:f>
        <x:v>5700</x:v>
      </x:c>
      <x:c r="K363" s="19" t="n">
        <x:v>1</x:v>
      </x:c>
      <x:c r="L363" s="19" t="n">
        <x:v>1</x:v>
      </x:c>
      <x:c r="M363" s="113" t="n">
        <x:f>K363*Beallitasok!$B$2+L363*Beallitasok!$B$3</x:f>
        <x:v>60000</x:v>
      </x:c>
      <x:c r="N363" s="115" t="n">
        <x:v>5</x:v>
      </x:c>
      <x:c r="O363" s="113" t="n">
        <x:f>IFERROR(M363/N363,"")</x:f>
        <x:v>12000</x:v>
      </x:c>
      <x:c r="P363" s="116" t="n">
        <x:f>Beallitasok!$B$5</x:f>
        <x:v>1.15</x:v>
      </x:c>
      <x:c r="Q363" s="113" t="n">
        <x:f>IFERROR(ROUND(O363*P363/Beallitasok!$B$7,0)*Beallitasok!$B$7,"")</x:f>
        <x:v>13800</x:v>
      </x:c>
      <x:c r="R363" s="113"/>
      <x:c r="S363" s="113" t="n">
        <x:f>IF(Q363="","",Q363+IF(R363="",0,R363))</x:f>
        <x:v>13800</x:v>
      </x:c>
      <x:c r="T363" s="113" t="n">
        <x:f>M363*Beallitasok!$B$4</x:f>
        <x:v>300000</x:v>
      </x:c>
      <x:c r="U363" s="115" t="n">
        <x:f>N363*Beallitasok!$B$4</x:f>
        <x:v>25</x:v>
      </x:c>
      <x:c r="V363" s="113"/>
      <x:c r="W363" s="113" t="str">
        <x:f>IF(V363="","",V363-J363)</x:f>
      </x:c>
      <x:c r="X363" s="19"/>
      <x:c r="Y363" s="113" t="n">
        <x:f>IF(S363="","",J363-S363)</x:f>
        <x:v>-8100</x:v>
      </x:c>
      <x:c r="Z363" s="19" t="str">
        <x:f>IF(AA363="IGEN",IF(J363&lt;S363,"GÉPIGÉNY + KRITIKUS: gépdíj nélkül is alacsony a plafon","GÉPIGÉNY: a saját egységár gépdíj nélkül értendő"),IF(J363&lt;S363,"KRITIKUS: alvállalkozói plafon &lt; saját terhelt egységköltség",IF(J363&lt;S363*Beallitasok!$B$6,"SZŰK TARTALÉK: 10% alatti tartalék","OK")))</x:f>
        <x:v>KRITIKUS: alvállalkozói plafon &lt; saját terhelt egységköltség</x:v>
      </x:c>
      <x:c r="AA363" s="19" t="str">
        <x:v>NEM</x:v>
      </x:c>
      <x:c r="AB363" s="19" t="str">
        <x:v>https://joszaki.hu/arak/villanyszereles</x:v>
      </x:c>
      <x:c r="AC363" s="19" t="str">
        <x:v>2026 villanyszerelési óradíj/pontár és részfolyamat-levezetés</x:v>
      </x:c>
      <x:c r="AD363" s="19" t="str">
        <x:v>Anyag, E.ON/MVM díj, mérőszekrény, lámpatest, készülék és minősítő mérés külön, ha nincs nevesítve.</x:v>
      </x:c>
    </x:row>
    <x:row r="364">
      <x:c r="A364" s="19" t="str">
        <x:v>AR-0363</x:v>
      </x:c>
      <x:c r="B364" s="19" t="str">
        <x:v>16 Villanyszerelés</x:v>
      </x:c>
      <x:c r="C364" s="19" t="str">
        <x:v>Erősáram, gyengeáram, mérés</x:v>
      </x:c>
      <x:c r="D364" s="19" t="str">
        <x:v>Mindegyik</x:v>
      </x:c>
      <x:c r="E364" s="19" t="str">
        <x:v>Kültéri kamera kábelezési pont</x:v>
      </x:c>
      <x:c r="F364" s="19" t="str">
        <x:v>pont</x:v>
      </x:c>
      <x:c r="G364" s="113" t="n">
        <x:v>6500</x:v>
      </x:c>
      <x:c r="H364" s="113" t="n">
        <x:v>9500</x:v>
      </x:c>
      <x:c r="I364" s="114" t="n">
        <x:v>0.6</x:v>
      </x:c>
      <x:c r="J364" s="113" t="n">
        <x:f>ROUND(H364*I364/Beallitasok!$B$7,0)*Beallitasok!$B$7</x:f>
        <x:v>5700</x:v>
      </x:c>
      <x:c r="K364" s="19" t="n">
        <x:v>2</x:v>
      </x:c>
      <x:c r="L364" s="19" t="n">
        <x:v>1</x:v>
      </x:c>
      <x:c r="M364" s="113" t="n">
        <x:f>K364*Beallitasok!$B$2+L364*Beallitasok!$B$3</x:f>
        <x:v>95000</x:v>
      </x:c>
      <x:c r="N364" s="115" t="n">
        <x:v>7</x:v>
      </x:c>
      <x:c r="O364" s="113" t="n">
        <x:f>IFERROR(M364/N364,"")</x:f>
        <x:v>13571.42857142857</x:v>
      </x:c>
      <x:c r="P364" s="116" t="n">
        <x:f>Beallitasok!$B$5</x:f>
        <x:v>1.15</x:v>
      </x:c>
      <x:c r="Q364" s="113" t="n">
        <x:f>IFERROR(ROUND(O364*P364/Beallitasok!$B$7,0)*Beallitasok!$B$7,"")</x:f>
        <x:v>15600</x:v>
      </x:c>
      <x:c r="R364" s="113"/>
      <x:c r="S364" s="113" t="n">
        <x:f>IF(Q364="","",Q364+IF(R364="",0,R364))</x:f>
        <x:v>15600</x:v>
      </x:c>
      <x:c r="T364" s="113" t="n">
        <x:f>M364*Beallitasok!$B$4</x:f>
        <x:v>475000</x:v>
      </x:c>
      <x:c r="U364" s="115" t="n">
        <x:f>N364*Beallitasok!$B$4</x:f>
        <x:v>35</x:v>
      </x:c>
      <x:c r="V364" s="113"/>
      <x:c r="W364" s="113" t="str">
        <x:f>IF(V364="","",V364-J364)</x:f>
      </x:c>
      <x:c r="X364" s="19"/>
      <x:c r="Y364" s="113" t="n">
        <x:f>IF(S364="","",J364-S364)</x:f>
        <x:v>-9900</x:v>
      </x:c>
      <x:c r="Z364" s="19" t="str">
        <x:f>IF(AA364="IGEN",IF(J364&lt;S364,"GÉPIGÉNY + KRITIKUS: gépdíj nélkül is alacsony a plafon","GÉPIGÉNY: a saját egységár gépdíj nélkül értendő"),IF(J364&lt;S364,"KRITIKUS: alvállalkozói plafon &lt; saját terhelt egységköltség",IF(J364&lt;S364*Beallitasok!$B$6,"SZŰK TARTALÉK: 10% alatti tartalék","OK")))</x:f>
        <x:v>KRITIKUS: alvállalkozói plafon &lt; saját terhelt egységköltség</x:v>
      </x:c>
      <x:c r="AA364" s="19" t="str">
        <x:v>NEM</x:v>
      </x:c>
      <x:c r="AB364" s="19" t="str">
        <x:v>https://joszaki.hu/arak/villanyszereles</x:v>
      </x:c>
      <x:c r="AC364" s="19" t="str">
        <x:v>2026 villanyszerelési óradíj/pontár és részfolyamat-levezetés</x:v>
      </x:c>
      <x:c r="AD364" s="19" t="str">
        <x:v>Anyag, E.ON/MVM díj, mérőszekrény, lámpatest, készülék és minősítő mérés külön, ha nincs nevesítve.</x:v>
      </x:c>
    </x:row>
    <x:row r="365">
      <x:c r="A365" s="19" t="str">
        <x:v>AR-0364</x:v>
      </x:c>
      <x:c r="B365" s="19" t="str">
        <x:v>16 Villanyszerelés</x:v>
      </x:c>
      <x:c r="C365" s="19" t="str">
        <x:v>Erősáram, gyengeáram, mérés</x:v>
      </x:c>
      <x:c r="D365" s="19" t="str">
        <x:v>Mindegyik</x:v>
      </x:c>
      <x:c r="E365" s="19" t="str">
        <x:v>Kaputelefon alapszerelés egy beltéri egységgel</x:v>
      </x:c>
      <x:c r="F365" s="19" t="str">
        <x:v>rendszer</x:v>
      </x:c>
      <x:c r="G365" s="113" t="n">
        <x:v>55000</x:v>
      </x:c>
      <x:c r="H365" s="113" t="n">
        <x:v>82000</x:v>
      </x:c>
      <x:c r="I365" s="114" t="n">
        <x:v>0.65</x:v>
      </x:c>
      <x:c r="J365" s="113" t="n">
        <x:f>ROUND(H365*I365/Beallitasok!$B$7,0)*Beallitasok!$B$7</x:f>
        <x:v>53300</x:v>
      </x:c>
      <x:c r="K365" s="19" t="n">
        <x:v>2</x:v>
      </x:c>
      <x:c r="L365" s="19" t="n">
        <x:v>1</x:v>
      </x:c>
      <x:c r="M365" s="113" t="n">
        <x:f>K365*Beallitasok!$B$2+L365*Beallitasok!$B$3</x:f>
        <x:v>95000</x:v>
      </x:c>
      <x:c r="N365" s="115" t="n">
        <x:v>0.8</x:v>
      </x:c>
      <x:c r="O365" s="113" t="n">
        <x:f>IFERROR(M365/N365,"")</x:f>
        <x:v>118750</x:v>
      </x:c>
      <x:c r="P365" s="116" t="n">
        <x:f>Beallitasok!$B$5</x:f>
        <x:v>1.15</x:v>
      </x:c>
      <x:c r="Q365" s="113" t="n">
        <x:f>IFERROR(ROUND(O365*P365/Beallitasok!$B$7,0)*Beallitasok!$B$7,"")</x:f>
        <x:v>136550</x:v>
      </x:c>
      <x:c r="R365" s="113"/>
      <x:c r="S365" s="113" t="n">
        <x:f>IF(Q365="","",Q365+IF(R365="",0,R365))</x:f>
        <x:v>136550</x:v>
      </x:c>
      <x:c r="T365" s="113" t="n">
        <x:f>M365*Beallitasok!$B$4</x:f>
        <x:v>475000</x:v>
      </x:c>
      <x:c r="U365" s="115" t="n">
        <x:f>N365*Beallitasok!$B$4</x:f>
        <x:v>4</x:v>
      </x:c>
      <x:c r="V365" s="113"/>
      <x:c r="W365" s="113" t="str">
        <x:f>IF(V365="","",V365-J365)</x:f>
      </x:c>
      <x:c r="X365" s="19"/>
      <x:c r="Y365" s="113" t="n">
        <x:f>IF(S365="","",J365-S365)</x:f>
        <x:v>-83250</x:v>
      </x:c>
      <x:c r="Z365" s="19" t="str">
        <x:f>IF(AA365="IGEN",IF(J365&lt;S365,"GÉPIGÉNY + KRITIKUS: gépdíj nélkül is alacsony a plafon","GÉPIGÉNY: a saját egységár gépdíj nélkül értendő"),IF(J365&lt;S365,"KRITIKUS: alvállalkozói plafon &lt; saját terhelt egységköltség",IF(J365&lt;S365*Beallitasok!$B$6,"SZŰK TARTALÉK: 10% alatti tartalék","OK")))</x:f>
        <x:v>KRITIKUS: alvállalkozói plafon &lt; saját terhelt egységköltség</x:v>
      </x:c>
      <x:c r="AA365" s="19" t="str">
        <x:v>NEM</x:v>
      </x:c>
      <x:c r="AB365" s="19" t="str">
        <x:v>https://joszaki.hu/arak/villanyszereles</x:v>
      </x:c>
      <x:c r="AC365" s="19" t="str">
        <x:v>2026 villanyszerelési óradíj/pontár és részfolyamat-levezetés</x:v>
      </x:c>
      <x:c r="AD365" s="19" t="str">
        <x:v>Anyag, E.ON/MVM díj, mérőszekrény, lámpatest, készülék és minősítő mérés külön, ha nincs nevesítve.</x:v>
      </x:c>
    </x:row>
    <x:row r="366">
      <x:c r="A366" s="19" t="str">
        <x:v>AR-0365</x:v>
      </x:c>
      <x:c r="B366" s="19" t="str">
        <x:v>16 Villanyszerelés</x:v>
      </x:c>
      <x:c r="C366" s="19" t="str">
        <x:v>Erősáram, gyengeáram, mérés</x:v>
      </x:c>
      <x:c r="D366" s="19" t="str">
        <x:v>Mindegyik</x:v>
      </x:c>
      <x:c r="E366" s="19" t="str">
        <x:v>Motoros redőny villamos kiállás</x:v>
      </x:c>
      <x:c r="F366" s="19" t="str">
        <x:v>pont</x:v>
      </x:c>
      <x:c r="G366" s="113" t="n">
        <x:v>4500</x:v>
      </x:c>
      <x:c r="H366" s="113" t="n">
        <x:v>7000</x:v>
      </x:c>
      <x:c r="I366" s="114" t="n">
        <x:v>0.6</x:v>
      </x:c>
      <x:c r="J366" s="113" t="n">
        <x:f>ROUND(H366*I366/Beallitasok!$B$7,0)*Beallitasok!$B$7</x:f>
        <x:v>4200</x:v>
      </x:c>
      <x:c r="K366" s="19" t="n">
        <x:v>2</x:v>
      </x:c>
      <x:c r="L366" s="19" t="n">
        <x:v>1</x:v>
      </x:c>
      <x:c r="M366" s="113" t="n">
        <x:f>K366*Beallitasok!$B$2+L366*Beallitasok!$B$3</x:f>
        <x:v>95000</x:v>
      </x:c>
      <x:c r="N366" s="115" t="n">
        <x:v>10</x:v>
      </x:c>
      <x:c r="O366" s="113" t="n">
        <x:f>IFERROR(M366/N366,"")</x:f>
        <x:v>9500</x:v>
      </x:c>
      <x:c r="P366" s="116" t="n">
        <x:f>Beallitasok!$B$5</x:f>
        <x:v>1.15</x:v>
      </x:c>
      <x:c r="Q366" s="113" t="n">
        <x:f>IFERROR(ROUND(O366*P366/Beallitasok!$B$7,0)*Beallitasok!$B$7,"")</x:f>
        <x:v>10950</x:v>
      </x:c>
      <x:c r="R366" s="113"/>
      <x:c r="S366" s="113" t="n">
        <x:f>IF(Q366="","",Q366+IF(R366="",0,R366))</x:f>
        <x:v>10950</x:v>
      </x:c>
      <x:c r="T366" s="113" t="n">
        <x:f>M366*Beallitasok!$B$4</x:f>
        <x:v>475000</x:v>
      </x:c>
      <x:c r="U366" s="115" t="n">
        <x:f>N366*Beallitasok!$B$4</x:f>
        <x:v>50</x:v>
      </x:c>
      <x:c r="V366" s="113"/>
      <x:c r="W366" s="113" t="str">
        <x:f>IF(V366="","",V366-J366)</x:f>
      </x:c>
      <x:c r="X366" s="19"/>
      <x:c r="Y366" s="113" t="n">
        <x:f>IF(S366="","",J366-S366)</x:f>
        <x:v>-6750</x:v>
      </x:c>
      <x:c r="Z366" s="19" t="str">
        <x:f>IF(AA366="IGEN",IF(J366&lt;S366,"GÉPIGÉNY + KRITIKUS: gépdíj nélkül is alacsony a plafon","GÉPIGÉNY: a saját egységár gépdíj nélkül értendő"),IF(J366&lt;S366,"KRITIKUS: alvállalkozói plafon &lt; saját terhelt egységköltség",IF(J366&lt;S366*Beallitasok!$B$6,"SZŰK TARTALÉK: 10% alatti tartalék","OK")))</x:f>
        <x:v>KRITIKUS: alvállalkozói plafon &lt; saját terhelt egységköltség</x:v>
      </x:c>
      <x:c r="AA366" s="19" t="str">
        <x:v>NEM</x:v>
      </x:c>
      <x:c r="AB366" s="19" t="str">
        <x:v>https://joszaki.hu/arak/villanyszereles</x:v>
      </x:c>
      <x:c r="AC366" s="19" t="str">
        <x:v>2026 villanyszerelési óradíj/pontár és részfolyamat-levezetés</x:v>
      </x:c>
      <x:c r="AD366" s="19" t="str">
        <x:v>Anyag, E.ON/MVM díj, mérőszekrény, lámpatest, készülék és minősítő mérés külön, ha nincs nevesítve.</x:v>
      </x:c>
    </x:row>
    <x:row r="367">
      <x:c r="A367" s="19" t="str">
        <x:v>AR-0366</x:v>
      </x:c>
      <x:c r="B367" s="19" t="str">
        <x:v>16 Villanyszerelés</x:v>
      </x:c>
      <x:c r="C367" s="19" t="str">
        <x:v>Erősáram, gyengeáram, mérés</x:v>
      </x:c>
      <x:c r="D367" s="19" t="str">
        <x:v>Mindegyik</x:v>
      </x:c>
      <x:c r="E367" s="19" t="str">
        <x:v>Okosotthon buszkábel kiépítése</x:v>
      </x:c>
      <x:c r="F367" s="19" t="str">
        <x:v>pont</x:v>
      </x:c>
      <x:c r="G367" s="113" t="n">
        <x:v>5500</x:v>
      </x:c>
      <x:c r="H367" s="113" t="n">
        <x:v>8200</x:v>
      </x:c>
      <x:c r="I367" s="114" t="n">
        <x:v>0.6</x:v>
      </x:c>
      <x:c r="J367" s="113" t="n">
        <x:f>ROUND(H367*I367/Beallitasok!$B$7,0)*Beallitasok!$B$7</x:f>
        <x:v>4900</x:v>
      </x:c>
      <x:c r="K367" s="19" t="n">
        <x:v>2</x:v>
      </x:c>
      <x:c r="L367" s="19" t="n">
        <x:v>1</x:v>
      </x:c>
      <x:c r="M367" s="113" t="n">
        <x:f>K367*Beallitasok!$B$2+L367*Beallitasok!$B$3</x:f>
        <x:v>95000</x:v>
      </x:c>
      <x:c r="N367" s="115" t="n">
        <x:v>8</x:v>
      </x:c>
      <x:c r="O367" s="113" t="n">
        <x:f>IFERROR(M367/N367,"")</x:f>
        <x:v>11875</x:v>
      </x:c>
      <x:c r="P367" s="116" t="n">
        <x:f>Beallitasok!$B$5</x:f>
        <x:v>1.15</x:v>
      </x:c>
      <x:c r="Q367" s="113" t="n">
        <x:f>IFERROR(ROUND(O367*P367/Beallitasok!$B$7,0)*Beallitasok!$B$7,"")</x:f>
        <x:v>13650</x:v>
      </x:c>
      <x:c r="R367" s="113"/>
      <x:c r="S367" s="113" t="n">
        <x:f>IF(Q367="","",Q367+IF(R367="",0,R367))</x:f>
        <x:v>13650</x:v>
      </x:c>
      <x:c r="T367" s="113" t="n">
        <x:f>M367*Beallitasok!$B$4</x:f>
        <x:v>475000</x:v>
      </x:c>
      <x:c r="U367" s="115" t="n">
        <x:f>N367*Beallitasok!$B$4</x:f>
        <x:v>40</x:v>
      </x:c>
      <x:c r="V367" s="113"/>
      <x:c r="W367" s="113" t="str">
        <x:f>IF(V367="","",V367-J367)</x:f>
      </x:c>
      <x:c r="X367" s="19"/>
      <x:c r="Y367" s="113" t="n">
        <x:f>IF(S367="","",J367-S367)</x:f>
        <x:v>-8750</x:v>
      </x:c>
      <x:c r="Z367" s="19" t="str">
        <x:f>IF(AA367="IGEN",IF(J367&lt;S367,"GÉPIGÉNY + KRITIKUS: gépdíj nélkül is alacsony a plafon","GÉPIGÉNY: a saját egységár gépdíj nélkül értendő"),IF(J367&lt;S367,"KRITIKUS: alvállalkozói plafon &lt; saját terhelt egységköltség",IF(J367&lt;S367*Beallitasok!$B$6,"SZŰK TARTALÉK: 10% alatti tartalék","OK")))</x:f>
        <x:v>KRITIKUS: alvállalkozói plafon &lt; saját terhelt egységköltség</x:v>
      </x:c>
      <x:c r="AA367" s="19" t="str">
        <x:v>NEM</x:v>
      </x:c>
      <x:c r="AB367" s="19" t="str">
        <x:v>https://joszaki.hu/arak/villanyszereles</x:v>
      </x:c>
      <x:c r="AC367" s="19" t="str">
        <x:v>2026 villanyszerelési óradíj/pontár és részfolyamat-levezetés</x:v>
      </x:c>
      <x:c r="AD367" s="19" t="str">
        <x:v>Anyag, E.ON/MVM díj, mérőszekrény, lámpatest, készülék és minősítő mérés külön, ha nincs nevesítve.</x:v>
      </x:c>
    </x:row>
    <x:row r="368">
      <x:c r="A368" s="19" t="str">
        <x:v>AR-0367</x:v>
      </x:c>
      <x:c r="B368" s="19" t="str">
        <x:v>16 Villanyszerelés</x:v>
      </x:c>
      <x:c r="C368" s="19" t="str">
        <x:v>Erősáram, gyengeáram, mérés</x:v>
      </x:c>
      <x:c r="D368" s="19" t="str">
        <x:v>Mindegyik</x:v>
      </x:c>
      <x:c r="E368" s="19" t="str">
        <x:v>Villamos hálózat szigetelési ellenállás mérése</x:v>
      </x:c>
      <x:c r="F368" s="19" t="str">
        <x:v>rendszer</x:v>
      </x:c>
      <x:c r="G368" s="113" t="n">
        <x:v>35000</x:v>
      </x:c>
      <x:c r="H368" s="113" t="n">
        <x:v>52000</x:v>
      </x:c>
      <x:c r="I368" s="114" t="n">
        <x:v>0.65</x:v>
      </x:c>
      <x:c r="J368" s="113" t="n">
        <x:f>ROUND(H368*I368/Beallitasok!$B$7,0)*Beallitasok!$B$7</x:f>
        <x:v>33800</x:v>
      </x:c>
      <x:c r="K368" s="19" t="n">
        <x:v>2</x:v>
      </x:c>
      <x:c r="L368" s="19" t="n">
        <x:v>0</x:v>
      </x:c>
      <x:c r="M368" s="113" t="n">
        <x:f>K368*Beallitasok!$B$2+L368*Beallitasok!$B$3</x:f>
        <x:v>70000</x:v>
      </x:c>
      <x:c r="N368" s="115" t="n">
        <x:v>1</x:v>
      </x:c>
      <x:c r="O368" s="113" t="n">
        <x:f>IFERROR(M368/N368,"")</x:f>
        <x:v>70000</x:v>
      </x:c>
      <x:c r="P368" s="116" t="n">
        <x:f>Beallitasok!$B$5</x:f>
        <x:v>1.15</x:v>
      </x:c>
      <x:c r="Q368" s="113" t="n">
        <x:f>IFERROR(ROUND(O368*P368/Beallitasok!$B$7,0)*Beallitasok!$B$7,"")</x:f>
        <x:v>80500</x:v>
      </x:c>
      <x:c r="R368" s="113"/>
      <x:c r="S368" s="113" t="n">
        <x:f>IF(Q368="","",Q368+IF(R368="",0,R368))</x:f>
        <x:v>80500</x:v>
      </x:c>
      <x:c r="T368" s="113" t="n">
        <x:f>M368*Beallitasok!$B$4</x:f>
        <x:v>350000</x:v>
      </x:c>
      <x:c r="U368" s="115" t="n">
        <x:f>N368*Beallitasok!$B$4</x:f>
        <x:v>5</x:v>
      </x:c>
      <x:c r="V368" s="113"/>
      <x:c r="W368" s="113" t="str">
        <x:f>IF(V368="","",V368-J368)</x:f>
      </x:c>
      <x:c r="X368" s="19"/>
      <x:c r="Y368" s="113" t="n">
        <x:f>IF(S368="","",J368-S368)</x:f>
        <x:v>-46700</x:v>
      </x:c>
      <x:c r="Z368" s="19" t="str">
        <x:f>IF(AA368="IGEN",IF(J368&lt;S368,"GÉPIGÉNY + KRITIKUS: gépdíj nélkül is alacsony a plafon","GÉPIGÉNY: a saját egységár gépdíj nélkül értendő"),IF(J368&lt;S368,"KRITIKUS: alvállalkozói plafon &lt; saját terhelt egységköltség",IF(J368&lt;S368*Beallitasok!$B$6,"SZŰK TARTALÉK: 10% alatti tartalék","OK")))</x:f>
        <x:v>KRITIKUS: alvállalkozói plafon &lt; saját terhelt egységköltség</x:v>
      </x:c>
      <x:c r="AA368" s="19" t="str">
        <x:v>NEM</x:v>
      </x:c>
      <x:c r="AB368" s="19" t="str">
        <x:v>https://joszaki.hu/arak/villanyszereles</x:v>
      </x:c>
      <x:c r="AC368" s="19" t="str">
        <x:v>2026 villanyszerelési óradíj/pontár és részfolyamat-levezetés</x:v>
      </x:c>
      <x:c r="AD368" s="19" t="str">
        <x:v>Anyag, E.ON/MVM díj, mérőszekrény, lámpatest, készülék és minősítő mérés külön, ha nincs nevesítve.</x:v>
      </x:c>
    </x:row>
    <x:row r="369">
      <x:c r="A369" s="19" t="str">
        <x:v>AR-0368</x:v>
      </x:c>
      <x:c r="B369" s="19" t="str">
        <x:v>16 Villanyszerelés</x:v>
      </x:c>
      <x:c r="C369" s="19" t="str">
        <x:v>Erősáram, gyengeáram, mérés</x:v>
      </x:c>
      <x:c r="D369" s="19" t="str">
        <x:v>Mindegyik</x:v>
      </x:c>
      <x:c r="E369" s="19" t="str">
        <x:v>Villamos biztonsági felülvizsgálat családi háznál</x:v>
      </x:c>
      <x:c r="F369" s="19" t="str">
        <x:v>rendszer</x:v>
      </x:c>
      <x:c r="G369" s="113" t="n">
        <x:v>65000</x:v>
      </x:c>
      <x:c r="H369" s="113" t="n">
        <x:v>95000</x:v>
      </x:c>
      <x:c r="I369" s="114" t="n">
        <x:v>0.65</x:v>
      </x:c>
      <x:c r="J369" s="113" t="n">
        <x:f>ROUND(H369*I369/Beallitasok!$B$7,0)*Beallitasok!$B$7</x:f>
        <x:v>61750</x:v>
      </x:c>
      <x:c r="K369" s="19" t="n">
        <x:v>1</x:v>
      </x:c>
      <x:c r="L369" s="19" t="n">
        <x:v>0</x:v>
      </x:c>
      <x:c r="M369" s="113" t="n">
        <x:f>K369*Beallitasok!$B$2+L369*Beallitasok!$B$3</x:f>
        <x:v>35000</x:v>
      </x:c>
      <x:c r="N369" s="115" t="n">
        <x:v>1</x:v>
      </x:c>
      <x:c r="O369" s="113" t="n">
        <x:f>IFERROR(M369/N369,"")</x:f>
        <x:v>35000</x:v>
      </x:c>
      <x:c r="P369" s="116" t="n">
        <x:f>Beallitasok!$B$5</x:f>
        <x:v>1.15</x:v>
      </x:c>
      <x:c r="Q369" s="113" t="n">
        <x:f>IFERROR(ROUND(O369*P369/Beallitasok!$B$7,0)*Beallitasok!$B$7,"")</x:f>
        <x:v>40250</x:v>
      </x:c>
      <x:c r="R369" s="113"/>
      <x:c r="S369" s="113" t="n">
        <x:f>IF(Q369="","",Q369+IF(R369="",0,R369))</x:f>
        <x:v>40250</x:v>
      </x:c>
      <x:c r="T369" s="113" t="n">
        <x:f>M369*Beallitasok!$B$4</x:f>
        <x:v>175000</x:v>
      </x:c>
      <x:c r="U369" s="115" t="n">
        <x:f>N369*Beallitasok!$B$4</x:f>
        <x:v>5</x:v>
      </x:c>
      <x:c r="V369" s="113"/>
      <x:c r="W369" s="113" t="str">
        <x:f>IF(V369="","",V369-J369)</x:f>
      </x:c>
      <x:c r="X369" s="19"/>
      <x:c r="Y369" s="113" t="n">
        <x:f>IF(S369="","",J369-S369)</x:f>
        <x:v>21500</x:v>
      </x:c>
      <x:c r="Z369" s="19" t="str">
        <x:f>IF(AA369="IGEN",IF(J369&lt;S369,"GÉPIGÉNY + KRITIKUS: gépdíj nélkül is alacsony a plafon","GÉPIGÉNY: a saját egységár gépdíj nélkül értendő"),IF(J369&lt;S369,"KRITIKUS: alvállalkozói plafon &lt; saját terhelt egységköltség",IF(J369&lt;S369*Beallitasok!$B$6,"SZŰK TARTALÉK: 10% alatti tartalék","OK")))</x:f>
        <x:v>OK</x:v>
      </x:c>
      <x:c r="AA369" s="19" t="str">
        <x:v>NEM</x:v>
      </x:c>
      <x:c r="AB369" s="19" t="str">
        <x:v>https://joszaki.hu/arak/villanyszereles</x:v>
      </x:c>
      <x:c r="AC369" s="19" t="str">
        <x:v>2026 villanyszerelési óradíj/pontár és részfolyamat-levezetés</x:v>
      </x:c>
      <x:c r="AD369" s="19" t="str">
        <x:v>Anyag, E.ON/MVM díj, mérőszekrény, lámpatest, készülék és minősítő mérés külön, ha nincs nevesítve.</x:v>
      </x:c>
    </x:row>
    <x:row r="370">
      <x:c r="A370" s="19" t="str">
        <x:v>AR-0369</x:v>
      </x:c>
      <x:c r="B370" s="19" t="str">
        <x:v>17 Külső munkák</x:v>
      </x:c>
      <x:c r="C370" s="19" t="str">
        <x:v>Térburkolat, kerítés, kert</x:v>
      </x:c>
      <x:c r="D370" s="19" t="str">
        <x:v>Mindegyik</x:v>
      </x:c>
      <x:c r="E370" s="19" t="str">
        <x:v>Térkő ágyazat tükörkészítése</x:v>
      </x:c>
      <x:c r="F370" s="19" t="str">
        <x:v>m²</x:v>
      </x:c>
      <x:c r="G370" s="113" t="n">
        <x:v>1800</x:v>
      </x:c>
      <x:c r="H370" s="113" t="n">
        <x:v>2700</x:v>
      </x:c>
      <x:c r="I370" s="114" t="n">
        <x:v>0.55</x:v>
      </x:c>
      <x:c r="J370" s="113" t="n">
        <x:f>ROUND(H370*I370/Beallitasok!$B$7,0)*Beallitasok!$B$7</x:f>
        <x:v>1500</x:v>
      </x:c>
      <x:c r="K370" s="19" t="n">
        <x:v>1</x:v>
      </x:c>
      <x:c r="L370" s="19" t="n">
        <x:v>2</x:v>
      </x:c>
      <x:c r="M370" s="113" t="n">
        <x:f>K370*Beallitasok!$B$2+L370*Beallitasok!$B$3</x:f>
        <x:v>85000</x:v>
      </x:c>
      <x:c r="N370" s="115" t="n">
        <x:v>70</x:v>
      </x:c>
      <x:c r="O370" s="113" t="n">
        <x:f>IFERROR(M370/N370,"")</x:f>
        <x:v>1214.2857142857142</x:v>
      </x:c>
      <x:c r="P370" s="116" t="n">
        <x:f>Beallitasok!$B$5</x:f>
        <x:v>1.15</x:v>
      </x:c>
      <x:c r="Q370" s="113" t="n">
        <x:f>IFERROR(ROUND(O370*P370/Beallitasok!$B$7,0)*Beallitasok!$B$7,"")</x:f>
        <x:v>1400</x:v>
      </x:c>
      <x:c r="R370" s="113"/>
      <x:c r="S370" s="113" t="n">
        <x:f>IF(Q370="","",Q370+IF(R370="",0,R370))</x:f>
        <x:v>1400</x:v>
      </x:c>
      <x:c r="T370" s="113" t="n">
        <x:f>M370*Beallitasok!$B$4</x:f>
        <x:v>425000</x:v>
      </x:c>
      <x:c r="U370" s="115" t="n">
        <x:f>N370*Beallitasok!$B$4</x:f>
        <x:v>350</x:v>
      </x:c>
      <x:c r="V370" s="113"/>
      <x:c r="W370" s="113" t="str">
        <x:f>IF(V370="","",V370-J370)</x:f>
      </x:c>
      <x:c r="X370" s="19"/>
      <x:c r="Y370" s="113" t="n">
        <x:f>IF(S370="","",J370-S370)</x:f>
        <x:v>100</x:v>
      </x:c>
      <x:c r="Z370" s="19" t="str">
        <x:f>IF(AA370="IGEN",IF(J370&lt;S370,"GÉPIGÉNY + KRITIKUS: gépdíj nélkül is alacsony a plafon","GÉPIGÉNY: a saját egységár gépdíj nélkül értendő"),IF(J370&lt;S370,"KRITIKUS: alvállalkozói plafon &lt; saját terhelt egységköltség",IF(J370&lt;S370*Beallitasok!$B$6,"SZŰK TARTALÉK: 10% alatti tartalék","OK")))</x:f>
        <x:v>SZŰK TARTALÉK: 10% alatti tartalék</x:v>
      </x:c>
      <x:c r="AA370" s="19" t="str">
        <x:v>NEM</x:v>
      </x:c>
      <x:c r="AB370" s="19" t="str">
        <x:v>https://www.ksh.hu/gyorstajekoztatok/epi/epi2603.html</x:v>
      </x:c>
      <x:c r="AC370" s="19" t="str">
        <x:v>2026 térkövezési/kerítés piaci ajánlatok és brigádnorma</x:v>
      </x:c>
      <x:c r="AD370" s="19" t="str">
        <x:v>Földmunka, gép, térkő, beton, kerítéselem, termőföld és növényanyag külön.</x:v>
      </x:c>
    </x:row>
    <x:row r="371">
      <x:c r="A371" s="19" t="str">
        <x:v>AR-0370</x:v>
      </x:c>
      <x:c r="B371" s="19" t="str">
        <x:v>17 Külső munkák</x:v>
      </x:c>
      <x:c r="C371" s="19" t="str">
        <x:v>Térburkolat, kerítés, kert</x:v>
      </x:c>
      <x:c r="D371" s="19" t="str">
        <x:v>Mindegyik</x:v>
      </x:c>
      <x:c r="E371" s="19" t="str">
        <x:v>Zúzottkő alapréteg terítése és tömörítése</x:v>
      </x:c>
      <x:c r="F371" s="19" t="str">
        <x:v>m²</x:v>
      </x:c>
      <x:c r="G371" s="113" t="n">
        <x:v>2800</x:v>
      </x:c>
      <x:c r="H371" s="113" t="n">
        <x:v>4200</x:v>
      </x:c>
      <x:c r="I371" s="114" t="n">
        <x:v>0.55</x:v>
      </x:c>
      <x:c r="J371" s="113" t="n">
        <x:f>ROUND(H371*I371/Beallitasok!$B$7,0)*Beallitasok!$B$7</x:f>
        <x:v>2300</x:v>
      </x:c>
      <x:c r="K371" s="19" t="n">
        <x:v>1</x:v>
      </x:c>
      <x:c r="L371" s="19" t="n">
        <x:v>2</x:v>
      </x:c>
      <x:c r="M371" s="113" t="n">
        <x:f>K371*Beallitasok!$B$2+L371*Beallitasok!$B$3</x:f>
        <x:v>85000</x:v>
      </x:c>
      <x:c r="N371" s="115" t="n">
        <x:v>50</x:v>
      </x:c>
      <x:c r="O371" s="113" t="n">
        <x:f>IFERROR(M371/N371,"")</x:f>
        <x:v>1700</x:v>
      </x:c>
      <x:c r="P371" s="116" t="n">
        <x:f>Beallitasok!$B$5</x:f>
        <x:v>1.15</x:v>
      </x:c>
      <x:c r="Q371" s="113" t="n">
        <x:f>IFERROR(ROUND(O371*P371/Beallitasok!$B$7,0)*Beallitasok!$B$7,"")</x:f>
        <x:v>1950</x:v>
      </x:c>
      <x:c r="R371" s="113"/>
      <x:c r="S371" s="113" t="n">
        <x:f>IF(Q371="","",Q371+IF(R371="",0,R371))</x:f>
        <x:v>1950</x:v>
      </x:c>
      <x:c r="T371" s="113" t="n">
        <x:f>M371*Beallitasok!$B$4</x:f>
        <x:v>425000</x:v>
      </x:c>
      <x:c r="U371" s="115" t="n">
        <x:f>N371*Beallitasok!$B$4</x:f>
        <x:v>250</x:v>
      </x:c>
      <x:c r="V371" s="113"/>
      <x:c r="W371" s="113" t="str">
        <x:f>IF(V371="","",V371-J371)</x:f>
      </x:c>
      <x:c r="X371" s="19"/>
      <x:c r="Y371" s="113" t="n">
        <x:f>IF(S371="","",J371-S371)</x:f>
        <x:v>350</x:v>
      </x:c>
      <x:c r="Z371" s="19" t="str">
        <x:f>IF(AA371="IGEN",IF(J371&lt;S371,"GÉPIGÉNY + KRITIKUS: gépdíj nélkül is alacsony a plafon","GÉPIGÉNY: a saját egységár gépdíj nélkül értendő"),IF(J371&lt;S371,"KRITIKUS: alvállalkozói plafon &lt; saját terhelt egységköltség",IF(J371&lt;S371*Beallitasok!$B$6,"SZŰK TARTALÉK: 10% alatti tartalék","OK")))</x:f>
        <x:v>OK</x:v>
      </x:c>
      <x:c r="AA371" s="19" t="str">
        <x:v>NEM</x:v>
      </x:c>
      <x:c r="AB371" s="19" t="str">
        <x:v>https://www.ksh.hu/gyorstajekoztatok/epi/epi2603.html</x:v>
      </x:c>
      <x:c r="AC371" s="19" t="str">
        <x:v>2026 térkövezési/kerítés piaci ajánlatok és brigádnorma</x:v>
      </x:c>
      <x:c r="AD371" s="19" t="str">
        <x:v>Földmunka, gép, térkő, beton, kerítéselem, termőföld és növényanyag külön.</x:v>
      </x:c>
    </x:row>
    <x:row r="372">
      <x:c r="A372" s="19" t="str">
        <x:v>AR-0371</x:v>
      </x:c>
      <x:c r="B372" s="19" t="str">
        <x:v>17 Külső munkák</x:v>
      </x:c>
      <x:c r="C372" s="19" t="str">
        <x:v>Térburkolat, kerítés, kert</x:v>
      </x:c>
      <x:c r="D372" s="19" t="str">
        <x:v>Mindegyik</x:v>
      </x:c>
      <x:c r="E372" s="19" t="str">
        <x:v>Térkő fektetése egyszerű hálós kiosztásban</x:v>
      </x:c>
      <x:c r="F372" s="19" t="str">
        <x:v>m²</x:v>
      </x:c>
      <x:c r="G372" s="113" t="n">
        <x:v>5500</x:v>
      </x:c>
      <x:c r="H372" s="113" t="n">
        <x:v>8000</x:v>
      </x:c>
      <x:c r="I372" s="114" t="n">
        <x:v>0.55</x:v>
      </x:c>
      <x:c r="J372" s="113" t="n">
        <x:f>ROUND(H372*I372/Beallitasok!$B$7,0)*Beallitasok!$B$7</x:f>
        <x:v>4400</x:v>
      </x:c>
      <x:c r="K372" s="19" t="n">
        <x:v>2</x:v>
      </x:c>
      <x:c r="L372" s="19" t="n">
        <x:v>2</x:v>
      </x:c>
      <x:c r="M372" s="113" t="n">
        <x:f>K372*Beallitasok!$B$2+L372*Beallitasok!$B$3</x:f>
        <x:v>120000</x:v>
      </x:c>
      <x:c r="N372" s="115" t="n">
        <x:v>30</x:v>
      </x:c>
      <x:c r="O372" s="113" t="n">
        <x:f>IFERROR(M372/N372,"")</x:f>
        <x:v>4000</x:v>
      </x:c>
      <x:c r="P372" s="116" t="n">
        <x:f>Beallitasok!$B$5</x:f>
        <x:v>1.15</x:v>
      </x:c>
      <x:c r="Q372" s="113" t="n">
        <x:f>IFERROR(ROUND(O372*P372/Beallitasok!$B$7,0)*Beallitasok!$B$7,"")</x:f>
        <x:v>4600</x:v>
      </x:c>
      <x:c r="R372" s="113"/>
      <x:c r="S372" s="113" t="n">
        <x:f>IF(Q372="","",Q372+IF(R372="",0,R372))</x:f>
        <x:v>4600</x:v>
      </x:c>
      <x:c r="T372" s="113" t="n">
        <x:f>M372*Beallitasok!$B$4</x:f>
        <x:v>600000</x:v>
      </x:c>
      <x:c r="U372" s="115" t="n">
        <x:f>N372*Beallitasok!$B$4</x:f>
        <x:v>150</x:v>
      </x:c>
      <x:c r="V372" s="113"/>
      <x:c r="W372" s="113" t="str">
        <x:f>IF(V372="","",V372-J372)</x:f>
      </x:c>
      <x:c r="X372" s="19"/>
      <x:c r="Y372" s="113" t="n">
        <x:f>IF(S372="","",J372-S372)</x:f>
        <x:v>-200</x:v>
      </x:c>
      <x:c r="Z372" s="19" t="str">
        <x:f>IF(AA372="IGEN",IF(J372&lt;S372,"GÉPIGÉNY + KRITIKUS: gépdíj nélkül is alacsony a plafon","GÉPIGÉNY: a saját egységár gépdíj nélkül értendő"),IF(J372&lt;S372,"KRITIKUS: alvállalkozói plafon &lt; saját terhelt egységköltség",IF(J372&lt;S372*Beallitasok!$B$6,"SZŰK TARTALÉK: 10% alatti tartalék","OK")))</x:f>
        <x:v>KRITIKUS: alvállalkozói plafon &lt; saját terhelt egységköltség</x:v>
      </x:c>
      <x:c r="AA372" s="19" t="str">
        <x:v>NEM</x:v>
      </x:c>
      <x:c r="AB372" s="19" t="str">
        <x:v>https://www.ksh.hu/gyorstajekoztatok/epi/epi2603.html</x:v>
      </x:c>
      <x:c r="AC372" s="19" t="str">
        <x:v>2026 térkövezési/kerítés piaci ajánlatok és brigádnorma</x:v>
      </x:c>
      <x:c r="AD372" s="19" t="str">
        <x:v>Földmunka, gép, térkő, beton, kerítéselem, termőföld és növényanyag külön.</x:v>
      </x:c>
    </x:row>
    <x:row r="373">
      <x:c r="A373" s="19" t="str">
        <x:v>AR-0372</x:v>
      </x:c>
      <x:c r="B373" s="19" t="str">
        <x:v>17 Külső munkák</x:v>
      </x:c>
      <x:c r="C373" s="19" t="str">
        <x:v>Térburkolat, kerítés, kert</x:v>
      </x:c>
      <x:c r="D373" s="19" t="str">
        <x:v>Mindegyik</x:v>
      </x:c>
      <x:c r="E373" s="19" t="str">
        <x:v>Térkő fektetése mintás kiosztásban</x:v>
      </x:c>
      <x:c r="F373" s="19" t="str">
        <x:v>m²</x:v>
      </x:c>
      <x:c r="G373" s="113" t="n">
        <x:v>7000</x:v>
      </x:c>
      <x:c r="H373" s="113" t="n">
        <x:v>10500</x:v>
      </x:c>
      <x:c r="I373" s="114" t="n">
        <x:v>0.6</x:v>
      </x:c>
      <x:c r="J373" s="113" t="n">
        <x:f>ROUND(H373*I373/Beallitasok!$B$7,0)*Beallitasok!$B$7</x:f>
        <x:v>6300</x:v>
      </x:c>
      <x:c r="K373" s="19" t="n">
        <x:v>2</x:v>
      </x:c>
      <x:c r="L373" s="19" t="n">
        <x:v>2</x:v>
      </x:c>
      <x:c r="M373" s="113" t="n">
        <x:f>K373*Beallitasok!$B$2+L373*Beallitasok!$B$3</x:f>
        <x:v>120000</x:v>
      </x:c>
      <x:c r="N373" s="115" t="n">
        <x:v>22</x:v>
      </x:c>
      <x:c r="O373" s="113" t="n">
        <x:f>IFERROR(M373/N373,"")</x:f>
        <x:v>5454.545454545455</x:v>
      </x:c>
      <x:c r="P373" s="116" t="n">
        <x:f>Beallitasok!$B$5</x:f>
        <x:v>1.15</x:v>
      </x:c>
      <x:c r="Q373" s="113" t="n">
        <x:f>IFERROR(ROUND(O373*P373/Beallitasok!$B$7,0)*Beallitasok!$B$7,"")</x:f>
        <x:v>6250</x:v>
      </x:c>
      <x:c r="R373" s="113"/>
      <x:c r="S373" s="113" t="n">
        <x:f>IF(Q373="","",Q373+IF(R373="",0,R373))</x:f>
        <x:v>6250</x:v>
      </x:c>
      <x:c r="T373" s="113" t="n">
        <x:f>M373*Beallitasok!$B$4</x:f>
        <x:v>600000</x:v>
      </x:c>
      <x:c r="U373" s="115" t="n">
        <x:f>N373*Beallitasok!$B$4</x:f>
        <x:v>110</x:v>
      </x:c>
      <x:c r="V373" s="113"/>
      <x:c r="W373" s="113" t="str">
        <x:f>IF(V373="","",V373-J373)</x:f>
      </x:c>
      <x:c r="X373" s="19"/>
      <x:c r="Y373" s="113" t="n">
        <x:f>IF(S373="","",J373-S373)</x:f>
        <x:v>50</x:v>
      </x:c>
      <x:c r="Z373" s="19" t="str">
        <x:f>IF(AA373="IGEN",IF(J373&lt;S373,"GÉPIGÉNY + KRITIKUS: gépdíj nélkül is alacsony a plafon","GÉPIGÉNY: a saját egységár gépdíj nélkül értendő"),IF(J373&lt;S373,"KRITIKUS: alvállalkozói plafon &lt; saját terhelt egységköltség",IF(J373&lt;S373*Beallitasok!$B$6,"SZŰK TARTALÉK: 10% alatti tartalék","OK")))</x:f>
        <x:v>SZŰK TARTALÉK: 10% alatti tartalék</x:v>
      </x:c>
      <x:c r="AA373" s="19" t="str">
        <x:v>NEM</x:v>
      </x:c>
      <x:c r="AB373" s="19" t="str">
        <x:v>https://www.ksh.hu/gyorstajekoztatok/epi/epi2603.html</x:v>
      </x:c>
      <x:c r="AC373" s="19" t="str">
        <x:v>2026 térkövezési/kerítés piaci ajánlatok és brigádnorma</x:v>
      </x:c>
      <x:c r="AD373" s="19" t="str">
        <x:v>Földmunka, gép, térkő, beton, kerítéselem, termőföld és növényanyag külön.</x:v>
      </x:c>
    </x:row>
    <x:row r="374">
      <x:c r="A374" s="19" t="str">
        <x:v>AR-0373</x:v>
      </x:c>
      <x:c r="B374" s="19" t="str">
        <x:v>17 Külső munkák</x:v>
      </x:c>
      <x:c r="C374" s="19" t="str">
        <x:v>Térburkolat, kerítés, kert</x:v>
      </x:c>
      <x:c r="D374" s="19" t="str">
        <x:v>Mindegyik</x:v>
      </x:c>
      <x:c r="E374" s="19" t="str">
        <x:v>Kerti szegélykő betonágyba rakása</x:v>
      </x:c>
      <x:c r="F374" s="19" t="str">
        <x:v>fm</x:v>
      </x:c>
      <x:c r="G374" s="113" t="n">
        <x:v>3500</x:v>
      </x:c>
      <x:c r="H374" s="113" t="n">
        <x:v>5200</x:v>
      </x:c>
      <x:c r="I374" s="114" t="n">
        <x:v>0.55</x:v>
      </x:c>
      <x:c r="J374" s="113" t="n">
        <x:f>ROUND(H374*I374/Beallitasok!$B$7,0)*Beallitasok!$B$7</x:f>
        <x:v>2850</x:v>
      </x:c>
      <x:c r="K374" s="19" t="n">
        <x:v>2</x:v>
      </x:c>
      <x:c r="L374" s="19" t="n">
        <x:v>2</x:v>
      </x:c>
      <x:c r="M374" s="113" t="n">
        <x:f>K374*Beallitasok!$B$2+L374*Beallitasok!$B$3</x:f>
        <x:v>120000</x:v>
      </x:c>
      <x:c r="N374" s="115" t="n">
        <x:v>28</x:v>
      </x:c>
      <x:c r="O374" s="113" t="n">
        <x:f>IFERROR(M374/N374,"")</x:f>
        <x:v>4285.714285714285</x:v>
      </x:c>
      <x:c r="P374" s="116" t="n">
        <x:f>Beallitasok!$B$5</x:f>
        <x:v>1.15</x:v>
      </x:c>
      <x:c r="Q374" s="113" t="n">
        <x:f>IFERROR(ROUND(O374*P374/Beallitasok!$B$7,0)*Beallitasok!$B$7,"")</x:f>
        <x:v>4950</x:v>
      </x:c>
      <x:c r="R374" s="113"/>
      <x:c r="S374" s="113" t="n">
        <x:f>IF(Q374="","",Q374+IF(R374="",0,R374))</x:f>
        <x:v>4950</x:v>
      </x:c>
      <x:c r="T374" s="113" t="n">
        <x:f>M374*Beallitasok!$B$4</x:f>
        <x:v>600000</x:v>
      </x:c>
      <x:c r="U374" s="115" t="n">
        <x:f>N374*Beallitasok!$B$4</x:f>
        <x:v>140</x:v>
      </x:c>
      <x:c r="V374" s="113"/>
      <x:c r="W374" s="113" t="str">
        <x:f>IF(V374="","",V374-J374)</x:f>
      </x:c>
      <x:c r="X374" s="19"/>
      <x:c r="Y374" s="113" t="n">
        <x:f>IF(S374="","",J374-S374)</x:f>
        <x:v>-2100</x:v>
      </x:c>
      <x:c r="Z374" s="19" t="str">
        <x:f>IF(AA374="IGEN",IF(J374&lt;S374,"GÉPIGÉNY + KRITIKUS: gépdíj nélkül is alacsony a plafon","GÉPIGÉNY: a saját egységár gépdíj nélkül értendő"),IF(J374&lt;S374,"KRITIKUS: alvállalkozói plafon &lt; saját terhelt egységköltség",IF(J374&lt;S374*Beallitasok!$B$6,"SZŰK TARTALÉK: 10% alatti tartalék","OK")))</x:f>
        <x:v>KRITIKUS: alvállalkozói plafon &lt; saját terhelt egységköltség</x:v>
      </x:c>
      <x:c r="AA374" s="19" t="str">
        <x:v>NEM</x:v>
      </x:c>
      <x:c r="AB374" s="19" t="str">
        <x:v>https://www.ksh.hu/gyorstajekoztatok/epi/epi2603.html</x:v>
      </x:c>
      <x:c r="AC374" s="19" t="str">
        <x:v>2026 térkövezési/kerítés piaci ajánlatok és brigádnorma</x:v>
      </x:c>
      <x:c r="AD374" s="19" t="str">
        <x:v>Földmunka, gép, térkő, beton, kerítéselem, termőföld és növényanyag külön.</x:v>
      </x:c>
    </x:row>
    <x:row r="375">
      <x:c r="A375" s="19" t="str">
        <x:v>AR-0374</x:v>
      </x:c>
      <x:c r="B375" s="19" t="str">
        <x:v>17 Külső munkák</x:v>
      </x:c>
      <x:c r="C375" s="19" t="str">
        <x:v>Térburkolat, kerítés, kert</x:v>
      </x:c>
      <x:c r="D375" s="19" t="str">
        <x:v>Mindegyik</x:v>
      </x:c>
      <x:c r="E375" s="19" t="str">
        <x:v>Beton folyóka beépítése</x:v>
      </x:c>
      <x:c r="F375" s="19" t="str">
        <x:v>fm</x:v>
      </x:c>
      <x:c r="G375" s="113" t="n">
        <x:v>5500</x:v>
      </x:c>
      <x:c r="H375" s="113" t="n">
        <x:v>8200</x:v>
      </x:c>
      <x:c r="I375" s="114" t="n">
        <x:v>0.6</x:v>
      </x:c>
      <x:c r="J375" s="113" t="n">
        <x:f>ROUND(H375*I375/Beallitasok!$B$7,0)*Beallitasok!$B$7</x:f>
        <x:v>4900</x:v>
      </x:c>
      <x:c r="K375" s="19" t="n">
        <x:v>2</x:v>
      </x:c>
      <x:c r="L375" s="19" t="n">
        <x:v>2</x:v>
      </x:c>
      <x:c r="M375" s="113" t="n">
        <x:f>K375*Beallitasok!$B$2+L375*Beallitasok!$B$3</x:f>
        <x:v>120000</x:v>
      </x:c>
      <x:c r="N375" s="115" t="n">
        <x:v>18</x:v>
      </x:c>
      <x:c r="O375" s="113" t="n">
        <x:f>IFERROR(M375/N375,"")</x:f>
        <x:v>6666.666666666667</x:v>
      </x:c>
      <x:c r="P375" s="116" t="n">
        <x:f>Beallitasok!$B$5</x:f>
        <x:v>1.15</x:v>
      </x:c>
      <x:c r="Q375" s="113" t="n">
        <x:f>IFERROR(ROUND(O375*P375/Beallitasok!$B$7,0)*Beallitasok!$B$7,"")</x:f>
        <x:v>7650</x:v>
      </x:c>
      <x:c r="R375" s="113"/>
      <x:c r="S375" s="113" t="n">
        <x:f>IF(Q375="","",Q375+IF(R375="",0,R375))</x:f>
        <x:v>7650</x:v>
      </x:c>
      <x:c r="T375" s="113" t="n">
        <x:f>M375*Beallitasok!$B$4</x:f>
        <x:v>600000</x:v>
      </x:c>
      <x:c r="U375" s="115" t="n">
        <x:f>N375*Beallitasok!$B$4</x:f>
        <x:v>90</x:v>
      </x:c>
      <x:c r="V375" s="113"/>
      <x:c r="W375" s="113" t="str">
        <x:f>IF(V375="","",V375-J375)</x:f>
      </x:c>
      <x:c r="X375" s="19"/>
      <x:c r="Y375" s="113" t="n">
        <x:f>IF(S375="","",J375-S375)</x:f>
        <x:v>-2750</x:v>
      </x:c>
      <x:c r="Z375" s="19" t="str">
        <x:f>IF(AA375="IGEN",IF(J375&lt;S375,"GÉPIGÉNY + KRITIKUS: gépdíj nélkül is alacsony a plafon","GÉPIGÉNY: a saját egységár gépdíj nélkül értendő"),IF(J375&lt;S375,"KRITIKUS: alvállalkozói plafon &lt; saját terhelt egységköltség",IF(J375&lt;S375*Beallitasok!$B$6,"SZŰK TARTALÉK: 10% alatti tartalék","OK")))</x:f>
        <x:v>KRITIKUS: alvállalkozói plafon &lt; saját terhelt egységköltség</x:v>
      </x:c>
      <x:c r="AA375" s="19" t="str">
        <x:v>NEM</x:v>
      </x:c>
      <x:c r="AB375" s="19" t="str">
        <x:v>https://www.ksh.hu/gyorstajekoztatok/epi/epi2603.html</x:v>
      </x:c>
      <x:c r="AC375" s="19" t="str">
        <x:v>2026 térkövezési/kerítés piaci ajánlatok és brigádnorma</x:v>
      </x:c>
      <x:c r="AD375" s="19" t="str">
        <x:v>Földmunka, gép, térkő, beton, kerítéselem, termőföld és növényanyag külön.</x:v>
      </x:c>
    </x:row>
    <x:row r="376">
      <x:c r="A376" s="19" t="str">
        <x:v>AR-0375</x:v>
      </x:c>
      <x:c r="B376" s="19" t="str">
        <x:v>17 Külső munkák</x:v>
      </x:c>
      <x:c r="C376" s="19" t="str">
        <x:v>Térburkolat, kerítés, kert</x:v>
      </x:c>
      <x:c r="D376" s="19" t="str">
        <x:v>Mindegyik</x:v>
      </x:c>
      <x:c r="E376" s="19" t="str">
        <x:v>Kerítés sávalap zsaluzása és betonozási munkája</x:v>
      </x:c>
      <x:c r="F376" s="19" t="str">
        <x:v>fm</x:v>
      </x:c>
      <x:c r="G376" s="113" t="n">
        <x:v>8500</x:v>
      </x:c>
      <x:c r="H376" s="113" t="n">
        <x:v>12500</x:v>
      </x:c>
      <x:c r="I376" s="114" t="n">
        <x:v>0.5</x:v>
      </x:c>
      <x:c r="J376" s="113" t="n">
        <x:f>ROUND(H376*I376/Beallitasok!$B$7,0)*Beallitasok!$B$7</x:f>
        <x:v>6250</x:v>
      </x:c>
      <x:c r="K376" s="19" t="n">
        <x:v>2</x:v>
      </x:c>
      <x:c r="L376" s="19" t="n">
        <x:v>2</x:v>
      </x:c>
      <x:c r="M376" s="113" t="n">
        <x:f>K376*Beallitasok!$B$2+L376*Beallitasok!$B$3</x:f>
        <x:v>120000</x:v>
      </x:c>
      <x:c r="N376" s="115" t="n">
        <x:v>14</x:v>
      </x:c>
      <x:c r="O376" s="113" t="n">
        <x:f>IFERROR(M376/N376,"")</x:f>
        <x:v>8571.42857142857</x:v>
      </x:c>
      <x:c r="P376" s="116" t="n">
        <x:f>Beallitasok!$B$5</x:f>
        <x:v>1.15</x:v>
      </x:c>
      <x:c r="Q376" s="113" t="n">
        <x:f>IFERROR(ROUND(O376*P376/Beallitasok!$B$7,0)*Beallitasok!$B$7,"")</x:f>
        <x:v>9850</x:v>
      </x:c>
      <x:c r="R376" s="113"/>
      <x:c r="S376" s="113" t="n">
        <x:f>IF(Q376="","",Q376+IF(R376="",0,R376))</x:f>
        <x:v>9850</x:v>
      </x:c>
      <x:c r="T376" s="113" t="n">
        <x:f>M376*Beallitasok!$B$4</x:f>
        <x:v>600000</x:v>
      </x:c>
      <x:c r="U376" s="115" t="n">
        <x:f>N376*Beallitasok!$B$4</x:f>
        <x:v>70</x:v>
      </x:c>
      <x:c r="V376" s="113"/>
      <x:c r="W376" s="113" t="str">
        <x:f>IF(V376="","",V376-J376)</x:f>
      </x:c>
      <x:c r="X376" s="19"/>
      <x:c r="Y376" s="113" t="n">
        <x:f>IF(S376="","",J376-S376)</x:f>
        <x:v>-3600</x:v>
      </x:c>
      <x:c r="Z376" s="19" t="str">
        <x:f>IF(AA376="IGEN",IF(J376&lt;S376,"GÉPIGÉNY + KRITIKUS: gépdíj nélkül is alacsony a plafon","GÉPIGÉNY: a saját egységár gépdíj nélkül értendő"),IF(J376&lt;S376,"KRITIKUS: alvállalkozói plafon &lt; saját terhelt egységköltség",IF(J376&lt;S376*Beallitasok!$B$6,"SZŰK TARTALÉK: 10% alatti tartalék","OK")))</x:f>
        <x:v>KRITIKUS: alvállalkozói plafon &lt; saját terhelt egységköltség</x:v>
      </x:c>
      <x:c r="AA376" s="19" t="str">
        <x:v>NEM</x:v>
      </x:c>
      <x:c r="AB376" s="19" t="str">
        <x:v>https://www.ksh.hu/gyorstajekoztatok/epi/epi2603.html</x:v>
      </x:c>
      <x:c r="AC376" s="19" t="str">
        <x:v>2026 térkövezési/kerítés piaci ajánlatok és brigádnorma</x:v>
      </x:c>
      <x:c r="AD376" s="19" t="str">
        <x:v>Földmunka, gép, térkő, beton, kerítéselem, termőföld és növényanyag külön.</x:v>
      </x:c>
    </x:row>
    <x:row r="377">
      <x:c r="A377" s="19" t="str">
        <x:v>AR-0376</x:v>
      </x:c>
      <x:c r="B377" s="19" t="str">
        <x:v>17 Külső munkák</x:v>
      </x:c>
      <x:c r="C377" s="19" t="str">
        <x:v>Térburkolat, kerítés, kert</x:v>
      </x:c>
      <x:c r="D377" s="19" t="str">
        <x:v>Mindegyik</x:v>
      </x:c>
      <x:c r="E377" s="19" t="str">
        <x:v>Zsalukő kerítéslábazat építése 20 cm</x:v>
      </x:c>
      <x:c r="F377" s="19" t="str">
        <x:v>m²</x:v>
      </x:c>
      <x:c r="G377" s="113" t="n">
        <x:v>7500</x:v>
      </x:c>
      <x:c r="H377" s="113" t="n">
        <x:v>11000</x:v>
      </x:c>
      <x:c r="I377" s="114" t="n">
        <x:v>0.5</x:v>
      </x:c>
      <x:c r="J377" s="113" t="n">
        <x:f>ROUND(H377*I377/Beallitasok!$B$7,0)*Beallitasok!$B$7</x:f>
        <x:v>5500</x:v>
      </x:c>
      <x:c r="K377" s="19" t="n">
        <x:v>2</x:v>
      </x:c>
      <x:c r="L377" s="19" t="n">
        <x:v>2</x:v>
      </x:c>
      <x:c r="M377" s="113" t="n">
        <x:f>K377*Beallitasok!$B$2+L377*Beallitasok!$B$3</x:f>
        <x:v>120000</x:v>
      </x:c>
      <x:c r="N377" s="115" t="n">
        <x:v>18</x:v>
      </x:c>
      <x:c r="O377" s="113" t="n">
        <x:f>IFERROR(M377/N377,"")</x:f>
        <x:v>6666.666666666667</x:v>
      </x:c>
      <x:c r="P377" s="116" t="n">
        <x:f>Beallitasok!$B$5</x:f>
        <x:v>1.15</x:v>
      </x:c>
      <x:c r="Q377" s="113" t="n">
        <x:f>IFERROR(ROUND(O377*P377/Beallitasok!$B$7,0)*Beallitasok!$B$7,"")</x:f>
        <x:v>7650</x:v>
      </x:c>
      <x:c r="R377" s="113"/>
      <x:c r="S377" s="113" t="n">
        <x:f>IF(Q377="","",Q377+IF(R377="",0,R377))</x:f>
        <x:v>7650</x:v>
      </x:c>
      <x:c r="T377" s="113" t="n">
        <x:f>M377*Beallitasok!$B$4</x:f>
        <x:v>600000</x:v>
      </x:c>
      <x:c r="U377" s="115" t="n">
        <x:f>N377*Beallitasok!$B$4</x:f>
        <x:v>90</x:v>
      </x:c>
      <x:c r="V377" s="113"/>
      <x:c r="W377" s="113" t="str">
        <x:f>IF(V377="","",V377-J377)</x:f>
      </x:c>
      <x:c r="X377" s="19"/>
      <x:c r="Y377" s="113" t="n">
        <x:f>IF(S377="","",J377-S377)</x:f>
        <x:v>-2150</x:v>
      </x:c>
      <x:c r="Z377" s="19" t="str">
        <x:f>IF(AA377="IGEN",IF(J377&lt;S377,"GÉPIGÉNY + KRITIKUS: gépdíj nélkül is alacsony a plafon","GÉPIGÉNY: a saját egységár gépdíj nélkül értendő"),IF(J377&lt;S377,"KRITIKUS: alvállalkozói plafon &lt; saját terhelt egységköltség",IF(J377&lt;S377*Beallitasok!$B$6,"SZŰK TARTALÉK: 10% alatti tartalék","OK")))</x:f>
        <x:v>KRITIKUS: alvállalkozói plafon &lt; saját terhelt egységköltség</x:v>
      </x:c>
      <x:c r="AA377" s="19" t="str">
        <x:v>NEM</x:v>
      </x:c>
      <x:c r="AB377" s="19" t="str">
        <x:v>https://www.ksh.hu/gyorstajekoztatok/epi/epi2603.html</x:v>
      </x:c>
      <x:c r="AC377" s="19" t="str">
        <x:v>2026 térkövezési/kerítés piaci ajánlatok és brigádnorma</x:v>
      </x:c>
      <x:c r="AD377" s="19" t="str">
        <x:v>Földmunka, gép, térkő, beton, kerítéselem, termőföld és növényanyag külön.</x:v>
      </x:c>
    </x:row>
    <x:row r="378">
      <x:c r="A378" s="19" t="str">
        <x:v>AR-0377</x:v>
      </x:c>
      <x:c r="B378" s="19" t="str">
        <x:v>17 Külső munkák</x:v>
      </x:c>
      <x:c r="C378" s="19" t="str">
        <x:v>Térburkolat, kerítés, kert</x:v>
      </x:c>
      <x:c r="D378" s="19" t="str">
        <x:v>Mindegyik</x:v>
      </x:c>
      <x:c r="E378" s="19" t="str">
        <x:v>Kerítéspillérek falazása zsalukőből</x:v>
      </x:c>
      <x:c r="F378" s="19" t="str">
        <x:v>fm</x:v>
      </x:c>
      <x:c r="G378" s="113" t="n">
        <x:v>9500</x:v>
      </x:c>
      <x:c r="H378" s="113" t="n">
        <x:v>14000</x:v>
      </x:c>
      <x:c r="I378" s="114" t="n">
        <x:v>0.5</x:v>
      </x:c>
      <x:c r="J378" s="113" t="n">
        <x:f>ROUND(H378*I378/Beallitasok!$B$7,0)*Beallitasok!$B$7</x:f>
        <x:v>7000</x:v>
      </x:c>
      <x:c r="K378" s="19" t="n">
        <x:v>2</x:v>
      </x:c>
      <x:c r="L378" s="19" t="n">
        <x:v>2</x:v>
      </x:c>
      <x:c r="M378" s="113" t="n">
        <x:f>K378*Beallitasok!$B$2+L378*Beallitasok!$B$3</x:f>
        <x:v>120000</x:v>
      </x:c>
      <x:c r="N378" s="115" t="n">
        <x:v>10</x:v>
      </x:c>
      <x:c r="O378" s="113" t="n">
        <x:f>IFERROR(M378/N378,"")</x:f>
        <x:v>12000</x:v>
      </x:c>
      <x:c r="P378" s="116" t="n">
        <x:f>Beallitasok!$B$5</x:f>
        <x:v>1.15</x:v>
      </x:c>
      <x:c r="Q378" s="113" t="n">
        <x:f>IFERROR(ROUND(O378*P378/Beallitasok!$B$7,0)*Beallitasok!$B$7,"")</x:f>
        <x:v>13800</x:v>
      </x:c>
      <x:c r="R378" s="113"/>
      <x:c r="S378" s="113" t="n">
        <x:f>IF(Q378="","",Q378+IF(R378="",0,R378))</x:f>
        <x:v>13800</x:v>
      </x:c>
      <x:c r="T378" s="113" t="n">
        <x:f>M378*Beallitasok!$B$4</x:f>
        <x:v>600000</x:v>
      </x:c>
      <x:c r="U378" s="115" t="n">
        <x:f>N378*Beallitasok!$B$4</x:f>
        <x:v>50</x:v>
      </x:c>
      <x:c r="V378" s="113"/>
      <x:c r="W378" s="113" t="str">
        <x:f>IF(V378="","",V378-J378)</x:f>
      </x:c>
      <x:c r="X378" s="19"/>
      <x:c r="Y378" s="113" t="n">
        <x:f>IF(S378="","",J378-S378)</x:f>
        <x:v>-6800</x:v>
      </x:c>
      <x:c r="Z378" s="19" t="str">
        <x:f>IF(AA378="IGEN",IF(J378&lt;S378,"GÉPIGÉNY + KRITIKUS: gépdíj nélkül is alacsony a plafon","GÉPIGÉNY: a saját egységár gépdíj nélkül értendő"),IF(J378&lt;S378,"KRITIKUS: alvállalkozói plafon &lt; saját terhelt egységköltség",IF(J378&lt;S378*Beallitasok!$B$6,"SZŰK TARTALÉK: 10% alatti tartalék","OK")))</x:f>
        <x:v>KRITIKUS: alvállalkozói plafon &lt; saját terhelt egységköltség</x:v>
      </x:c>
      <x:c r="AA378" s="19" t="str">
        <x:v>NEM</x:v>
      </x:c>
      <x:c r="AB378" s="19" t="str">
        <x:v>https://www.ksh.hu/gyorstajekoztatok/epi/epi2603.html</x:v>
      </x:c>
      <x:c r="AC378" s="19" t="str">
        <x:v>2026 térkövezési/kerítés piaci ajánlatok és brigádnorma</x:v>
      </x:c>
      <x:c r="AD378" s="19" t="str">
        <x:v>Földmunka, gép, térkő, beton, kerítéselem, termőföld és növényanyag külön.</x:v>
      </x:c>
    </x:row>
    <x:row r="379">
      <x:c r="A379" s="19" t="str">
        <x:v>AR-0378</x:v>
      </x:c>
      <x:c r="B379" s="19" t="str">
        <x:v>17 Külső munkák</x:v>
      </x:c>
      <x:c r="C379" s="19" t="str">
        <x:v>Térburkolat, kerítés, kert</x:v>
      </x:c>
      <x:c r="D379" s="19" t="str">
        <x:v>Mindegyik</x:v>
      </x:c>
      <x:c r="E379" s="19" t="str">
        <x:v>Táblás kerítéselem szerelése</x:v>
      </x:c>
      <x:c r="F379" s="19" t="str">
        <x:v>fm</x:v>
      </x:c>
      <x:c r="G379" s="113" t="n">
        <x:v>4500</x:v>
      </x:c>
      <x:c r="H379" s="113" t="n">
        <x:v>6800</x:v>
      </x:c>
      <x:c r="I379" s="114" t="n">
        <x:v>0.6</x:v>
      </x:c>
      <x:c r="J379" s="113" t="n">
        <x:f>ROUND(H379*I379/Beallitasok!$B$7,0)*Beallitasok!$B$7</x:f>
        <x:v>4100</x:v>
      </x:c>
      <x:c r="K379" s="19" t="n">
        <x:v>2</x:v>
      </x:c>
      <x:c r="L379" s="19" t="n">
        <x:v>1</x:v>
      </x:c>
      <x:c r="M379" s="113" t="n">
        <x:f>K379*Beallitasok!$B$2+L379*Beallitasok!$B$3</x:f>
        <x:v>95000</x:v>
      </x:c>
      <x:c r="N379" s="115" t="n">
        <x:v>18</x:v>
      </x:c>
      <x:c r="O379" s="113" t="n">
        <x:f>IFERROR(M379/N379,"")</x:f>
        <x:v>5277.777777777777</x:v>
      </x:c>
      <x:c r="P379" s="116" t="n">
        <x:f>Beallitasok!$B$5</x:f>
        <x:v>1.15</x:v>
      </x:c>
      <x:c r="Q379" s="113" t="n">
        <x:f>IFERROR(ROUND(O379*P379/Beallitasok!$B$7,0)*Beallitasok!$B$7,"")</x:f>
        <x:v>6050</x:v>
      </x:c>
      <x:c r="R379" s="113"/>
      <x:c r="S379" s="113" t="n">
        <x:f>IF(Q379="","",Q379+IF(R379="",0,R379))</x:f>
        <x:v>6050</x:v>
      </x:c>
      <x:c r="T379" s="113" t="n">
        <x:f>M379*Beallitasok!$B$4</x:f>
        <x:v>475000</x:v>
      </x:c>
      <x:c r="U379" s="115" t="n">
        <x:f>N379*Beallitasok!$B$4</x:f>
        <x:v>90</x:v>
      </x:c>
      <x:c r="V379" s="113"/>
      <x:c r="W379" s="113" t="str">
        <x:f>IF(V379="","",V379-J379)</x:f>
      </x:c>
      <x:c r="X379" s="19"/>
      <x:c r="Y379" s="113" t="n">
        <x:f>IF(S379="","",J379-S379)</x:f>
        <x:v>-1950</x:v>
      </x:c>
      <x:c r="Z379" s="19" t="str">
        <x:f>IF(AA379="IGEN",IF(J379&lt;S379,"GÉPIGÉNY + KRITIKUS: gépdíj nélkül is alacsony a plafon","GÉPIGÉNY: a saját egységár gépdíj nélkül értendő"),IF(J379&lt;S379,"KRITIKUS: alvállalkozói plafon &lt; saját terhelt egységköltség",IF(J379&lt;S379*Beallitasok!$B$6,"SZŰK TARTALÉK: 10% alatti tartalék","OK")))</x:f>
        <x:v>KRITIKUS: alvállalkozói plafon &lt; saját terhelt egységköltség</x:v>
      </x:c>
      <x:c r="AA379" s="19" t="str">
        <x:v>NEM</x:v>
      </x:c>
      <x:c r="AB379" s="19" t="str">
        <x:v>https://www.ksh.hu/gyorstajekoztatok/epi/epi2603.html</x:v>
      </x:c>
      <x:c r="AC379" s="19" t="str">
        <x:v>2026 térkövezési/kerítés piaci ajánlatok és brigádnorma</x:v>
      </x:c>
      <x:c r="AD379" s="19" t="str">
        <x:v>Földmunka, gép, térkő, beton, kerítéselem, termőföld és növényanyag külön.</x:v>
      </x:c>
    </x:row>
    <x:row r="380">
      <x:c r="A380" s="19" t="str">
        <x:v>AR-0379</x:v>
      </x:c>
      <x:c r="B380" s="19" t="str">
        <x:v>17 Külső munkák</x:v>
      </x:c>
      <x:c r="C380" s="19" t="str">
        <x:v>Térburkolat, kerítés, kert</x:v>
      </x:c>
      <x:c r="D380" s="19" t="str">
        <x:v>Mindegyik</x:v>
      </x:c>
      <x:c r="E380" s="19" t="str">
        <x:v>Drótfonatos kerítés szerelése</x:v>
      </x:c>
      <x:c r="F380" s="19" t="str">
        <x:v>fm</x:v>
      </x:c>
      <x:c r="G380" s="113" t="n">
        <x:v>3500</x:v>
      </x:c>
      <x:c r="H380" s="113" t="n">
        <x:v>5200</x:v>
      </x:c>
      <x:c r="I380" s="114" t="n">
        <x:v>0.6</x:v>
      </x:c>
      <x:c r="J380" s="113" t="n">
        <x:f>ROUND(H380*I380/Beallitasok!$B$7,0)*Beallitasok!$B$7</x:f>
        <x:v>3100</x:v>
      </x:c>
      <x:c r="K380" s="19" t="n">
        <x:v>2</x:v>
      </x:c>
      <x:c r="L380" s="19" t="n">
        <x:v>1</x:v>
      </x:c>
      <x:c r="M380" s="113" t="n">
        <x:f>K380*Beallitasok!$B$2+L380*Beallitasok!$B$3</x:f>
        <x:v>95000</x:v>
      </x:c>
      <x:c r="N380" s="115" t="n">
        <x:v>25</x:v>
      </x:c>
      <x:c r="O380" s="113" t="n">
        <x:f>IFERROR(M380/N380,"")</x:f>
        <x:v>3800</x:v>
      </x:c>
      <x:c r="P380" s="116" t="n">
        <x:f>Beallitasok!$B$5</x:f>
        <x:v>1.15</x:v>
      </x:c>
      <x:c r="Q380" s="113" t="n">
        <x:f>IFERROR(ROUND(O380*P380/Beallitasok!$B$7,0)*Beallitasok!$B$7,"")</x:f>
        <x:v>4350</x:v>
      </x:c>
      <x:c r="R380" s="113"/>
      <x:c r="S380" s="113" t="n">
        <x:f>IF(Q380="","",Q380+IF(R380="",0,R380))</x:f>
        <x:v>4350</x:v>
      </x:c>
      <x:c r="T380" s="113" t="n">
        <x:f>M380*Beallitasok!$B$4</x:f>
        <x:v>475000</x:v>
      </x:c>
      <x:c r="U380" s="115" t="n">
        <x:f>N380*Beallitasok!$B$4</x:f>
        <x:v>125</x:v>
      </x:c>
      <x:c r="V380" s="113"/>
      <x:c r="W380" s="113" t="str">
        <x:f>IF(V380="","",V380-J380)</x:f>
      </x:c>
      <x:c r="X380" s="19"/>
      <x:c r="Y380" s="113" t="n">
        <x:f>IF(S380="","",J380-S380)</x:f>
        <x:v>-1250</x:v>
      </x:c>
      <x:c r="Z380" s="19" t="str">
        <x:f>IF(AA380="IGEN",IF(J380&lt;S380,"GÉPIGÉNY + KRITIKUS: gépdíj nélkül is alacsony a plafon","GÉPIGÉNY: a saját egységár gépdíj nélkül értendő"),IF(J380&lt;S380,"KRITIKUS: alvállalkozói plafon &lt; saját terhelt egységköltség",IF(J380&lt;S380*Beallitasok!$B$6,"SZŰK TARTALÉK: 10% alatti tartalék","OK")))</x:f>
        <x:v>KRITIKUS: alvállalkozói plafon &lt; saját terhelt egységköltség</x:v>
      </x:c>
      <x:c r="AA380" s="19" t="str">
        <x:v>NEM</x:v>
      </x:c>
      <x:c r="AB380" s="19" t="str">
        <x:v>https://www.ksh.hu/gyorstajekoztatok/epi/epi2603.html</x:v>
      </x:c>
      <x:c r="AC380" s="19" t="str">
        <x:v>2026 térkövezési/kerítés piaci ajánlatok és brigádnorma</x:v>
      </x:c>
      <x:c r="AD380" s="19" t="str">
        <x:v>Földmunka, gép, térkő, beton, kerítéselem, termőföld és növényanyag külön.</x:v>
      </x:c>
    </x:row>
    <x:row r="381">
      <x:c r="A381" s="19" t="str">
        <x:v>AR-0380</x:v>
      </x:c>
      <x:c r="B381" s="19" t="str">
        <x:v>17 Külső munkák</x:v>
      </x:c>
      <x:c r="C381" s="19" t="str">
        <x:v>Térburkolat, kerítés, kert</x:v>
      </x:c>
      <x:c r="D381" s="19" t="str">
        <x:v>Mindegyik</x:v>
      </x:c>
      <x:c r="E381" s="19" t="str">
        <x:v>Kiskapu mechanikai beépítése</x:v>
      </x:c>
      <x:c r="F381" s="19" t="str">
        <x:v>db</x:v>
      </x:c>
      <x:c r="G381" s="113" t="n">
        <x:v>35000</x:v>
      </x:c>
      <x:c r="H381" s="113" t="n">
        <x:v>52000</x:v>
      </x:c>
      <x:c r="I381" s="114" t="n">
        <x:v>0.6</x:v>
      </x:c>
      <x:c r="J381" s="113" t="n">
        <x:f>ROUND(H381*I381/Beallitasok!$B$7,0)*Beallitasok!$B$7</x:f>
        <x:v>31200</x:v>
      </x:c>
      <x:c r="K381" s="19" t="n">
        <x:v>2</x:v>
      </x:c>
      <x:c r="L381" s="19" t="n">
        <x:v>1</x:v>
      </x:c>
      <x:c r="M381" s="113" t="n">
        <x:f>K381*Beallitasok!$B$2+L381*Beallitasok!$B$3</x:f>
        <x:v>95000</x:v>
      </x:c>
      <x:c r="N381" s="115" t="n">
        <x:v>1.2</x:v>
      </x:c>
      <x:c r="O381" s="113" t="n">
        <x:f>IFERROR(M381/N381,"")</x:f>
        <x:v>79166.66666666667</x:v>
      </x:c>
      <x:c r="P381" s="116" t="n">
        <x:f>Beallitasok!$B$5</x:f>
        <x:v>1.15</x:v>
      </x:c>
      <x:c r="Q381" s="113" t="n">
        <x:f>IFERROR(ROUND(O381*P381/Beallitasok!$B$7,0)*Beallitasok!$B$7,"")</x:f>
        <x:v>91050</x:v>
      </x:c>
      <x:c r="R381" s="113"/>
      <x:c r="S381" s="113" t="n">
        <x:f>IF(Q381="","",Q381+IF(R381="",0,R381))</x:f>
        <x:v>91050</x:v>
      </x:c>
      <x:c r="T381" s="113" t="n">
        <x:f>M381*Beallitasok!$B$4</x:f>
        <x:v>475000</x:v>
      </x:c>
      <x:c r="U381" s="115" t="n">
        <x:f>N381*Beallitasok!$B$4</x:f>
        <x:v>6</x:v>
      </x:c>
      <x:c r="V381" s="113"/>
      <x:c r="W381" s="113" t="str">
        <x:f>IF(V381="","",V381-J381)</x:f>
      </x:c>
      <x:c r="X381" s="19"/>
      <x:c r="Y381" s="113" t="n">
        <x:f>IF(S381="","",J381-S381)</x:f>
        <x:v>-59850</x:v>
      </x:c>
      <x:c r="Z381" s="19" t="str">
        <x:f>IF(AA381="IGEN",IF(J381&lt;S381,"GÉPIGÉNY + KRITIKUS: gépdíj nélkül is alacsony a plafon","GÉPIGÉNY: a saját egységár gépdíj nélkül értendő"),IF(J381&lt;S381,"KRITIKUS: alvállalkozói plafon &lt; saját terhelt egységköltség",IF(J381&lt;S381*Beallitasok!$B$6,"SZŰK TARTALÉK: 10% alatti tartalék","OK")))</x:f>
        <x:v>KRITIKUS: alvállalkozói plafon &lt; saját terhelt egységköltség</x:v>
      </x:c>
      <x:c r="AA381" s="19" t="str">
        <x:v>NEM</x:v>
      </x:c>
      <x:c r="AB381" s="19" t="str">
        <x:v>https://www.ksh.hu/gyorstajekoztatok/epi/epi2603.html</x:v>
      </x:c>
      <x:c r="AC381" s="19" t="str">
        <x:v>2026 térkövezési/kerítés piaci ajánlatok és brigádnorma</x:v>
      </x:c>
      <x:c r="AD381" s="19" t="str">
        <x:v>Földmunka, gép, térkő, beton, kerítéselem, termőföld és növényanyag külön.</x:v>
      </x:c>
    </x:row>
    <x:row r="382">
      <x:c r="A382" s="19" t="str">
        <x:v>AR-0381</x:v>
      </x:c>
      <x:c r="B382" s="19" t="str">
        <x:v>17 Külső munkák</x:v>
      </x:c>
      <x:c r="C382" s="19" t="str">
        <x:v>Térburkolat, kerítés, kert</x:v>
      </x:c>
      <x:c r="D382" s="19" t="str">
        <x:v>Mindegyik</x:v>
      </x:c>
      <x:c r="E382" s="19" t="str">
        <x:v>Úszókapu mechanikai beépítési segédmunkája</x:v>
      </x:c>
      <x:c r="F382" s="19" t="str">
        <x:v>db</x:v>
      </x:c>
      <x:c r="G382" s="113" t="n">
        <x:v>95000</x:v>
      </x:c>
      <x:c r="H382" s="113" t="n">
        <x:v>140000</x:v>
      </x:c>
      <x:c r="I382" s="114" t="n">
        <x:v>0.65</x:v>
      </x:c>
      <x:c r="J382" s="113" t="n">
        <x:f>ROUND(H382*I382/Beallitasok!$B$7,0)*Beallitasok!$B$7</x:f>
        <x:v>91000</x:v>
      </x:c>
      <x:c r="K382" s="19" t="n">
        <x:v>3</x:v>
      </x:c>
      <x:c r="L382" s="19" t="n">
        <x:v>2</x:v>
      </x:c>
      <x:c r="M382" s="113" t="n">
        <x:f>K382*Beallitasok!$B$2+L382*Beallitasok!$B$3</x:f>
        <x:v>155000</x:v>
      </x:c>
      <x:c r="N382" s="115" t="n">
        <x:v>0.5</x:v>
      </x:c>
      <x:c r="O382" s="113" t="n">
        <x:f>IFERROR(M382/N382,"")</x:f>
        <x:v>310000</x:v>
      </x:c>
      <x:c r="P382" s="116" t="n">
        <x:f>Beallitasok!$B$5</x:f>
        <x:v>1.15</x:v>
      </x:c>
      <x:c r="Q382" s="113" t="n">
        <x:f>IFERROR(ROUND(O382*P382/Beallitasok!$B$7,0)*Beallitasok!$B$7,"")</x:f>
        <x:v>356500</x:v>
      </x:c>
      <x:c r="R382" s="113"/>
      <x:c r="S382" s="113" t="n">
        <x:f>IF(Q382="","",Q382+IF(R382="",0,R382))</x:f>
        <x:v>356500</x:v>
      </x:c>
      <x:c r="T382" s="113" t="n">
        <x:f>M382*Beallitasok!$B$4</x:f>
        <x:v>775000</x:v>
      </x:c>
      <x:c r="U382" s="115" t="n">
        <x:f>N382*Beallitasok!$B$4</x:f>
        <x:v>2.5</x:v>
      </x:c>
      <x:c r="V382" s="113"/>
      <x:c r="W382" s="113" t="str">
        <x:f>IF(V382="","",V382-J382)</x:f>
      </x:c>
      <x:c r="X382" s="19"/>
      <x:c r="Y382" s="113" t="n">
        <x:f>IF(S382="","",J382-S382)</x:f>
        <x:v>-265500</x:v>
      </x:c>
      <x:c r="Z382" s="19" t="str">
        <x:f>IF(AA382="IGEN",IF(J382&lt;S382,"GÉPIGÉNY + KRITIKUS: gépdíj nélkül is alacsony a plafon","GÉPIGÉNY: a saját egységár gépdíj nélkül értendő"),IF(J382&lt;S382,"KRITIKUS: alvállalkozói plafon &lt; saját terhelt egységköltség",IF(J382&lt;S382*Beallitasok!$B$6,"SZŰK TARTALÉK: 10% alatti tartalék","OK")))</x:f>
        <x:v>KRITIKUS: alvállalkozói plafon &lt; saját terhelt egységköltség</x:v>
      </x:c>
      <x:c r="AA382" s="19" t="str">
        <x:v>NEM</x:v>
      </x:c>
      <x:c r="AB382" s="19" t="str">
        <x:v>https://www.ksh.hu/gyorstajekoztatok/epi/epi2603.html</x:v>
      </x:c>
      <x:c r="AC382" s="19" t="str">
        <x:v>2026 térkövezési/kerítés piaci ajánlatok és brigádnorma</x:v>
      </x:c>
      <x:c r="AD382" s="19" t="str">
        <x:v>Földmunka, gép, térkő, beton, kerítéselem, termőföld és növényanyag külön.</x:v>
      </x:c>
    </x:row>
    <x:row r="383">
      <x:c r="A383" s="19" t="str">
        <x:v>AR-0382</x:v>
      </x:c>
      <x:c r="B383" s="19" t="str">
        <x:v>17 Külső munkák</x:v>
      </x:c>
      <x:c r="C383" s="19" t="str">
        <x:v>Térburkolat, kerítés, kert</x:v>
      </x:c>
      <x:c r="D383" s="19" t="str">
        <x:v>Mindegyik</x:v>
      </x:c>
      <x:c r="E383" s="19" t="str">
        <x:v>Csapadékvíz szikkasztóblokk telepítési munkája</x:v>
      </x:c>
      <x:c r="F383" s="19" t="str">
        <x:v>m³ rendszer</x:v>
      </x:c>
      <x:c r="G383" s="113" t="n">
        <x:v>18000</x:v>
      </x:c>
      <x:c r="H383" s="113" t="n">
        <x:v>27000</x:v>
      </x:c>
      <x:c r="I383" s="114" t="n">
        <x:v>0.6</x:v>
      </x:c>
      <x:c r="J383" s="113" t="n">
        <x:f>ROUND(H383*I383/Beallitasok!$B$7,0)*Beallitasok!$B$7</x:f>
        <x:v>16200</x:v>
      </x:c>
      <x:c r="K383" s="19" t="n">
        <x:v>2</x:v>
      </x:c>
      <x:c r="L383" s="19" t="n">
        <x:v>2</x:v>
      </x:c>
      <x:c r="M383" s="113" t="n">
        <x:f>K383*Beallitasok!$B$2+L383*Beallitasok!$B$3</x:f>
        <x:v>120000</x:v>
      </x:c>
      <x:c r="N383" s="115" t="n">
        <x:v>6</x:v>
      </x:c>
      <x:c r="O383" s="113" t="n">
        <x:f>IFERROR(M383/N383,"")</x:f>
        <x:v>20000</x:v>
      </x:c>
      <x:c r="P383" s="116" t="n">
        <x:f>Beallitasok!$B$5</x:f>
        <x:v>1.15</x:v>
      </x:c>
      <x:c r="Q383" s="113" t="n">
        <x:f>IFERROR(ROUND(O383*P383/Beallitasok!$B$7,0)*Beallitasok!$B$7,"")</x:f>
        <x:v>23000</x:v>
      </x:c>
      <x:c r="R383" s="113"/>
      <x:c r="S383" s="113" t="n">
        <x:f>IF(Q383="","",Q383+IF(R383="",0,R383))</x:f>
        <x:v>23000</x:v>
      </x:c>
      <x:c r="T383" s="113" t="n">
        <x:f>M383*Beallitasok!$B$4</x:f>
        <x:v>600000</x:v>
      </x:c>
      <x:c r="U383" s="115" t="n">
        <x:f>N383*Beallitasok!$B$4</x:f>
        <x:v>30</x:v>
      </x:c>
      <x:c r="V383" s="113"/>
      <x:c r="W383" s="113" t="str">
        <x:f>IF(V383="","",V383-J383)</x:f>
      </x:c>
      <x:c r="X383" s="19"/>
      <x:c r="Y383" s="113" t="n">
        <x:f>IF(S383="","",J383-S383)</x:f>
        <x:v>-6800</x:v>
      </x:c>
      <x:c r="Z383" s="19" t="str">
        <x:f>IF(AA383="IGEN",IF(J383&lt;S383,"GÉPIGÉNY + KRITIKUS: gépdíj nélkül is alacsony a plafon","GÉPIGÉNY: a saját egységár gépdíj nélkül értendő"),IF(J383&lt;S383,"KRITIKUS: alvállalkozói plafon &lt; saját terhelt egységköltség",IF(J383&lt;S383*Beallitasok!$B$6,"SZŰK TARTALÉK: 10% alatti tartalék","OK")))</x:f>
        <x:v>KRITIKUS: alvállalkozói plafon &lt; saját terhelt egységköltség</x:v>
      </x:c>
      <x:c r="AA383" s="19" t="str">
        <x:v>NEM</x:v>
      </x:c>
      <x:c r="AB383" s="19" t="str">
        <x:v>https://www.ksh.hu/gyorstajekoztatok/epi/epi2603.html</x:v>
      </x:c>
      <x:c r="AC383" s="19" t="str">
        <x:v>2026 térkövezési/kerítés piaci ajánlatok és brigádnorma</x:v>
      </x:c>
      <x:c r="AD383" s="19" t="str">
        <x:v>Földmunka, gép, térkő, beton, kerítéselem, termőföld és növényanyag külön.</x:v>
      </x:c>
    </x:row>
    <x:row r="384">
      <x:c r="A384" s="19" t="str">
        <x:v>AR-0383</x:v>
      </x:c>
      <x:c r="B384" s="19" t="str">
        <x:v>17 Külső munkák</x:v>
      </x:c>
      <x:c r="C384" s="19" t="str">
        <x:v>Térburkolat, kerítés, kert</x:v>
      </x:c>
      <x:c r="D384" s="19" t="str">
        <x:v>Mindegyik</x:v>
      </x:c>
      <x:c r="E384" s="19" t="str">
        <x:v>Esővízgyűjtő tartály beemelési és csatlakozási segédmunkája</x:v>
      </x:c>
      <x:c r="F384" s="19" t="str">
        <x:v>db</x:v>
      </x:c>
      <x:c r="G384" s="113" t="n">
        <x:v>85000</x:v>
      </x:c>
      <x:c r="H384" s="113" t="n">
        <x:v>125000</x:v>
      </x:c>
      <x:c r="I384" s="114" t="n">
        <x:v>0.65</x:v>
      </x:c>
      <x:c r="J384" s="113" t="n">
        <x:f>ROUND(H384*I384/Beallitasok!$B$7,0)*Beallitasok!$B$7</x:f>
        <x:v>81250</x:v>
      </x:c>
      <x:c r="K384" s="19" t="n">
        <x:v>2</x:v>
      </x:c>
      <x:c r="L384" s="19" t="n">
        <x:v>2</x:v>
      </x:c>
      <x:c r="M384" s="113" t="n">
        <x:f>K384*Beallitasok!$B$2+L384*Beallitasok!$B$3</x:f>
        <x:v>120000</x:v>
      </x:c>
      <x:c r="N384" s="115" t="n">
        <x:v>0.7</x:v>
      </x:c>
      <x:c r="O384" s="113" t="n">
        <x:f>IFERROR(M384/N384,"")</x:f>
        <x:v>171428.57142857145</x:v>
      </x:c>
      <x:c r="P384" s="116" t="n">
        <x:f>Beallitasok!$B$5</x:f>
        <x:v>1.15</x:v>
      </x:c>
      <x:c r="Q384" s="113" t="n">
        <x:f>IFERROR(ROUND(O384*P384/Beallitasok!$B$7,0)*Beallitasok!$B$7,"")</x:f>
        <x:v>197150</x:v>
      </x:c>
      <x:c r="R384" s="113"/>
      <x:c r="S384" s="113" t="n">
        <x:f>IF(Q384="","",Q384+IF(R384="",0,R384))</x:f>
        <x:v>197150</x:v>
      </x:c>
      <x:c r="T384" s="113" t="n">
        <x:f>M384*Beallitasok!$B$4</x:f>
        <x:v>600000</x:v>
      </x:c>
      <x:c r="U384" s="115" t="n">
        <x:f>N384*Beallitasok!$B$4</x:f>
        <x:v>3.5</x:v>
      </x:c>
      <x:c r="V384" s="113"/>
      <x:c r="W384" s="113" t="str">
        <x:f>IF(V384="","",V384-J384)</x:f>
      </x:c>
      <x:c r="X384" s="19"/>
      <x:c r="Y384" s="113" t="n">
        <x:f>IF(S384="","",J384-S384)</x:f>
        <x:v>-115900</x:v>
      </x:c>
      <x:c r="Z384" s="19" t="str">
        <x:f>IF(AA384="IGEN",IF(J384&lt;S384,"GÉPIGÉNY + KRITIKUS: gépdíj nélkül is alacsony a plafon","GÉPIGÉNY: a saját egységár gépdíj nélkül értendő"),IF(J384&lt;S384,"KRITIKUS: alvállalkozói plafon &lt; saját terhelt egységköltség",IF(J384&lt;S384*Beallitasok!$B$6,"SZŰK TARTALÉK: 10% alatti tartalék","OK")))</x:f>
        <x:v>KRITIKUS: alvállalkozói plafon &lt; saját terhelt egységköltség</x:v>
      </x:c>
      <x:c r="AA384" s="19" t="str">
        <x:v>NEM</x:v>
      </x:c>
      <x:c r="AB384" s="19" t="str">
        <x:v>https://www.ksh.hu/gyorstajekoztatok/epi/epi2603.html</x:v>
      </x:c>
      <x:c r="AC384" s="19" t="str">
        <x:v>2026 térkövezési/kerítés piaci ajánlatok és brigádnorma</x:v>
      </x:c>
      <x:c r="AD384" s="19" t="str">
        <x:v>Földmunka, gép, térkő, beton, kerítéselem, termőföld és növényanyag külön.</x:v>
      </x:c>
    </x:row>
    <x:row r="385">
      <x:c r="A385" s="19" t="str">
        <x:v>AR-0384</x:v>
      </x:c>
      <x:c r="B385" s="19" t="str">
        <x:v>17 Külső munkák</x:v>
      </x:c>
      <x:c r="C385" s="19" t="str">
        <x:v>Térburkolat, kerítés, kert</x:v>
      </x:c>
      <x:c r="D385" s="19" t="str">
        <x:v>Mindegyik</x:v>
      </x:c>
      <x:c r="E385" s="19" t="str">
        <x:v>Kerti öntöző gerincvezeték fektetése földmunka nélkül</x:v>
      </x:c>
      <x:c r="F385" s="19" t="str">
        <x:v>fm</x:v>
      </x:c>
      <x:c r="G385" s="113" t="n">
        <x:v>2200</x:v>
      </x:c>
      <x:c r="H385" s="113" t="n">
        <x:v>3300</x:v>
      </x:c>
      <x:c r="I385" s="114" t="n">
        <x:v>0.6</x:v>
      </x:c>
      <x:c r="J385" s="113" t="n">
        <x:f>ROUND(H385*I385/Beallitasok!$B$7,0)*Beallitasok!$B$7</x:f>
        <x:v>2000</x:v>
      </x:c>
      <x:c r="K385" s="19" t="n">
        <x:v>1</x:v>
      </x:c>
      <x:c r="L385" s="19" t="n">
        <x:v>1</x:v>
      </x:c>
      <x:c r="M385" s="113" t="n">
        <x:f>K385*Beallitasok!$B$2+L385*Beallitasok!$B$3</x:f>
        <x:v>60000</x:v>
      </x:c>
      <x:c r="N385" s="115" t="n">
        <x:v>45</x:v>
      </x:c>
      <x:c r="O385" s="113" t="n">
        <x:f>IFERROR(M385/N385,"")</x:f>
        <x:v>1333.3333333333333</x:v>
      </x:c>
      <x:c r="P385" s="116" t="n">
        <x:f>Beallitasok!$B$5</x:f>
        <x:v>1.15</x:v>
      </x:c>
      <x:c r="Q385" s="113" t="n">
        <x:f>IFERROR(ROUND(O385*P385/Beallitasok!$B$7,0)*Beallitasok!$B$7,"")</x:f>
        <x:v>1550</x:v>
      </x:c>
      <x:c r="R385" s="113"/>
      <x:c r="S385" s="113" t="n">
        <x:f>IF(Q385="","",Q385+IF(R385="",0,R385))</x:f>
        <x:v>1550</x:v>
      </x:c>
      <x:c r="T385" s="113" t="n">
        <x:f>M385*Beallitasok!$B$4</x:f>
        <x:v>300000</x:v>
      </x:c>
      <x:c r="U385" s="115" t="n">
        <x:f>N385*Beallitasok!$B$4</x:f>
        <x:v>225</x:v>
      </x:c>
      <x:c r="V385" s="113"/>
      <x:c r="W385" s="113" t="str">
        <x:f>IF(V385="","",V385-J385)</x:f>
      </x:c>
      <x:c r="X385" s="19"/>
      <x:c r="Y385" s="113" t="n">
        <x:f>IF(S385="","",J385-S385)</x:f>
        <x:v>450</x:v>
      </x:c>
      <x:c r="Z385" s="19" t="str">
        <x:f>IF(AA385="IGEN",IF(J385&lt;S385,"GÉPIGÉNY + KRITIKUS: gépdíj nélkül is alacsony a plafon","GÉPIGÉNY: a saját egységár gépdíj nélkül értendő"),IF(J385&lt;S385,"KRITIKUS: alvállalkozói plafon &lt; saját terhelt egységköltség",IF(J385&lt;S385*Beallitasok!$B$6,"SZŰK TARTALÉK: 10% alatti tartalék","OK")))</x:f>
        <x:v>OK</x:v>
      </x:c>
      <x:c r="AA385" s="19" t="str">
        <x:v>NEM</x:v>
      </x:c>
      <x:c r="AB385" s="19" t="str">
        <x:v>https://www.ksh.hu/gyorstajekoztatok/epi/epi2603.html</x:v>
      </x:c>
      <x:c r="AC385" s="19" t="str">
        <x:v>2026 térkövezési/kerítés piaci ajánlatok és brigádnorma</x:v>
      </x:c>
      <x:c r="AD385" s="19" t="str">
        <x:v>Földmunka, gép, térkő, beton, kerítéselem, termőföld és növényanyag külön.</x:v>
      </x:c>
    </x:row>
    <x:row r="386">
      <x:c r="A386" s="19" t="str">
        <x:v>AR-0385</x:v>
      </x:c>
      <x:c r="B386" s="19" t="str">
        <x:v>17 Külső munkák</x:v>
      </x:c>
      <x:c r="C386" s="19" t="str">
        <x:v>Térburkolat, kerítés, kert</x:v>
      </x:c>
      <x:c r="D386" s="19" t="str">
        <x:v>Mindegyik</x:v>
      </x:c>
      <x:c r="E386" s="19" t="str">
        <x:v>Öntöző szórófej beépítése</x:v>
      </x:c>
      <x:c r="F386" s="19" t="str">
        <x:v>db</x:v>
      </x:c>
      <x:c r="G386" s="113" t="n">
        <x:v>5500</x:v>
      </x:c>
      <x:c r="H386" s="113" t="n">
        <x:v>8200</x:v>
      </x:c>
      <x:c r="I386" s="114" t="n">
        <x:v>0.6</x:v>
      </x:c>
      <x:c r="J386" s="113" t="n">
        <x:f>ROUND(H386*I386/Beallitasok!$B$7,0)*Beallitasok!$B$7</x:f>
        <x:v>4900</x:v>
      </x:c>
      <x:c r="K386" s="19" t="n">
        <x:v>1</x:v>
      </x:c>
      <x:c r="L386" s="19" t="n">
        <x:v>1</x:v>
      </x:c>
      <x:c r="M386" s="113" t="n">
        <x:f>K386*Beallitasok!$B$2+L386*Beallitasok!$B$3</x:f>
        <x:v>60000</x:v>
      </x:c>
      <x:c r="N386" s="115" t="n">
        <x:v>7</x:v>
      </x:c>
      <x:c r="O386" s="113" t="n">
        <x:f>IFERROR(M386/N386,"")</x:f>
        <x:v>8571.42857142857</x:v>
      </x:c>
      <x:c r="P386" s="116" t="n">
        <x:f>Beallitasok!$B$5</x:f>
        <x:v>1.15</x:v>
      </x:c>
      <x:c r="Q386" s="113" t="n">
        <x:f>IFERROR(ROUND(O386*P386/Beallitasok!$B$7,0)*Beallitasok!$B$7,"")</x:f>
        <x:v>9850</x:v>
      </x:c>
      <x:c r="R386" s="113"/>
      <x:c r="S386" s="113" t="n">
        <x:f>IF(Q386="","",Q386+IF(R386="",0,R386))</x:f>
        <x:v>9850</x:v>
      </x:c>
      <x:c r="T386" s="113" t="n">
        <x:f>M386*Beallitasok!$B$4</x:f>
        <x:v>300000</x:v>
      </x:c>
      <x:c r="U386" s="115" t="n">
        <x:f>N386*Beallitasok!$B$4</x:f>
        <x:v>35</x:v>
      </x:c>
      <x:c r="V386" s="113"/>
      <x:c r="W386" s="113" t="str">
        <x:f>IF(V386="","",V386-J386)</x:f>
      </x:c>
      <x:c r="X386" s="19"/>
      <x:c r="Y386" s="113" t="n">
        <x:f>IF(S386="","",J386-S386)</x:f>
        <x:v>-4950</x:v>
      </x:c>
      <x:c r="Z386" s="19" t="str">
        <x:f>IF(AA386="IGEN",IF(J386&lt;S386,"GÉPIGÉNY + KRITIKUS: gépdíj nélkül is alacsony a plafon","GÉPIGÉNY: a saját egységár gépdíj nélkül értendő"),IF(J386&lt;S386,"KRITIKUS: alvállalkozói plafon &lt; saját terhelt egységköltség",IF(J386&lt;S386*Beallitasok!$B$6,"SZŰK TARTALÉK: 10% alatti tartalék","OK")))</x:f>
        <x:v>KRITIKUS: alvállalkozói plafon &lt; saját terhelt egységköltség</x:v>
      </x:c>
      <x:c r="AA386" s="19" t="str">
        <x:v>NEM</x:v>
      </x:c>
      <x:c r="AB386" s="19" t="str">
        <x:v>https://www.ksh.hu/gyorstajekoztatok/epi/epi2603.html</x:v>
      </x:c>
      <x:c r="AC386" s="19" t="str">
        <x:v>2026 térkövezési/kerítés piaci ajánlatok és brigádnorma</x:v>
      </x:c>
      <x:c r="AD386" s="19" t="str">
        <x:v>Földmunka, gép, térkő, beton, kerítéselem, termőföld és növényanyag külön.</x:v>
      </x:c>
    </x:row>
    <x:row r="387">
      <x:c r="A387" s="19" t="str">
        <x:v>AR-0386</x:v>
      </x:c>
      <x:c r="B387" s="19" t="str">
        <x:v>17 Külső munkák</x:v>
      </x:c>
      <x:c r="C387" s="19" t="str">
        <x:v>Térburkolat, kerítés, kert</x:v>
      </x:c>
      <x:c r="D387" s="19" t="str">
        <x:v>Mindegyik</x:v>
      </x:c>
      <x:c r="E387" s="19" t="str">
        <x:v>Termőföld terítése és finomplanírozása</x:v>
      </x:c>
      <x:c r="F387" s="19" t="str">
        <x:v>m³</x:v>
      </x:c>
      <x:c r="G387" s="113" t="n">
        <x:v>6500</x:v>
      </x:c>
      <x:c r="H387" s="113" t="n">
        <x:v>9500</x:v>
      </x:c>
      <x:c r="I387" s="114" t="n">
        <x:v>0.55</x:v>
      </x:c>
      <x:c r="J387" s="113" t="n">
        <x:f>ROUND(H387*I387/Beallitasok!$B$7,0)*Beallitasok!$B$7</x:f>
        <x:v>5250</x:v>
      </x:c>
      <x:c r="K387" s="19" t="n">
        <x:v>0</x:v>
      </x:c>
      <x:c r="L387" s="19" t="n">
        <x:v>4</x:v>
      </x:c>
      <x:c r="M387" s="113" t="n">
        <x:f>K387*Beallitasok!$B$2+L387*Beallitasok!$B$3</x:f>
        <x:v>100000</x:v>
      </x:c>
      <x:c r="N387" s="115" t="n">
        <x:v>12</x:v>
      </x:c>
      <x:c r="O387" s="113" t="n">
        <x:f>IFERROR(M387/N387,"")</x:f>
        <x:v>8333.333333333334</x:v>
      </x:c>
      <x:c r="P387" s="116" t="n">
        <x:f>Beallitasok!$B$5</x:f>
        <x:v>1.15</x:v>
      </x:c>
      <x:c r="Q387" s="113" t="n">
        <x:f>IFERROR(ROUND(O387*P387/Beallitasok!$B$7,0)*Beallitasok!$B$7,"")</x:f>
        <x:v>9600</x:v>
      </x:c>
      <x:c r="R387" s="113"/>
      <x:c r="S387" s="113" t="n">
        <x:f>IF(Q387="","",Q387+IF(R387="",0,R387))</x:f>
        <x:v>9600</x:v>
      </x:c>
      <x:c r="T387" s="113" t="n">
        <x:f>M387*Beallitasok!$B$4</x:f>
        <x:v>500000</x:v>
      </x:c>
      <x:c r="U387" s="115" t="n">
        <x:f>N387*Beallitasok!$B$4</x:f>
        <x:v>60</x:v>
      </x:c>
      <x:c r="V387" s="113"/>
      <x:c r="W387" s="113" t="str">
        <x:f>IF(V387="","",V387-J387)</x:f>
      </x:c>
      <x:c r="X387" s="19"/>
      <x:c r="Y387" s="113" t="n">
        <x:f>IF(S387="","",J387-S387)</x:f>
        <x:v>-4350</x:v>
      </x:c>
      <x:c r="Z387" s="19" t="str">
        <x:f>IF(AA387="IGEN",IF(J387&lt;S387,"GÉPIGÉNY + KRITIKUS: gépdíj nélkül is alacsony a plafon","GÉPIGÉNY: a saját egységár gépdíj nélkül értendő"),IF(J387&lt;S387,"KRITIKUS: alvállalkozói plafon &lt; saját terhelt egységköltség",IF(J387&lt;S387*Beallitasok!$B$6,"SZŰK TARTALÉK: 10% alatti tartalék","OK")))</x:f>
        <x:v>KRITIKUS: alvállalkozói plafon &lt; saját terhelt egységköltség</x:v>
      </x:c>
      <x:c r="AA387" s="19" t="str">
        <x:v>NEM</x:v>
      </x:c>
      <x:c r="AB387" s="19" t="str">
        <x:v>https://www.ksh.hu/gyorstajekoztatok/epi/epi2603.html</x:v>
      </x:c>
      <x:c r="AC387" s="19" t="str">
        <x:v>2026 térkövezési/kerítés piaci ajánlatok és brigádnorma</x:v>
      </x:c>
      <x:c r="AD387" s="19" t="str">
        <x:v>Földmunka, gép, térkő, beton, kerítéselem, termőföld és növényanyag külön.</x:v>
      </x:c>
    </x:row>
    <x:row r="388">
      <x:c r="A388" s="19" t="str">
        <x:v>AR-0387</x:v>
      </x:c>
      <x:c r="B388" s="19" t="str">
        <x:v>17 Külső munkák</x:v>
      </x:c>
      <x:c r="C388" s="19" t="str">
        <x:v>Térburkolat, kerítés, kert</x:v>
      </x:c>
      <x:c r="D388" s="19" t="str">
        <x:v>Mindegyik</x:v>
      </x:c>
      <x:c r="E388" s="19" t="str">
        <x:v>Füvesítés magvetéssel</x:v>
      </x:c>
      <x:c r="F388" s="19" t="str">
        <x:v>m²</x:v>
      </x:c>
      <x:c r="G388" s="113" t="n">
        <x:v>900</x:v>
      </x:c>
      <x:c r="H388" s="113" t="n">
        <x:v>1400</x:v>
      </x:c>
      <x:c r="I388" s="114" t="n">
        <x:v>0.6</x:v>
      </x:c>
      <x:c r="J388" s="113" t="n">
        <x:f>ROUND(H388*I388/Beallitasok!$B$7,0)*Beallitasok!$B$7</x:f>
        <x:v>850</x:v>
      </x:c>
      <x:c r="K388" s="19" t="n">
        <x:v>1</x:v>
      </x:c>
      <x:c r="L388" s="19" t="n">
        <x:v>3</x:v>
      </x:c>
      <x:c r="M388" s="113" t="n">
        <x:f>K388*Beallitasok!$B$2+L388*Beallitasok!$B$3</x:f>
        <x:v>110000</x:v>
      </x:c>
      <x:c r="N388" s="115" t="n">
        <x:v>180</x:v>
      </x:c>
      <x:c r="O388" s="113" t="n">
        <x:f>IFERROR(M388/N388,"")</x:f>
        <x:v>611.1111111111111</x:v>
      </x:c>
      <x:c r="P388" s="116" t="n">
        <x:f>Beallitasok!$B$5</x:f>
        <x:v>1.15</x:v>
      </x:c>
      <x:c r="Q388" s="113" t="n">
        <x:f>IFERROR(ROUND(O388*P388/Beallitasok!$B$7,0)*Beallitasok!$B$7,"")</x:f>
        <x:v>700</x:v>
      </x:c>
      <x:c r="R388" s="113"/>
      <x:c r="S388" s="113" t="n">
        <x:f>IF(Q388="","",Q388+IF(R388="",0,R388))</x:f>
        <x:v>700</x:v>
      </x:c>
      <x:c r="T388" s="113" t="n">
        <x:f>M388*Beallitasok!$B$4</x:f>
        <x:v>550000</x:v>
      </x:c>
      <x:c r="U388" s="115" t="n">
        <x:f>N388*Beallitasok!$B$4</x:f>
        <x:v>900</x:v>
      </x:c>
      <x:c r="V388" s="113"/>
      <x:c r="W388" s="113" t="str">
        <x:f>IF(V388="","",V388-J388)</x:f>
      </x:c>
      <x:c r="X388" s="19"/>
      <x:c r="Y388" s="113" t="n">
        <x:f>IF(S388="","",J388-S388)</x:f>
        <x:v>150</x:v>
      </x:c>
      <x:c r="Z388" s="19" t="str">
        <x:f>IF(AA388="IGEN",IF(J388&lt;S388,"GÉPIGÉNY + KRITIKUS: gépdíj nélkül is alacsony a plafon","GÉPIGÉNY: a saját egységár gépdíj nélkül értendő"),IF(J388&lt;S388,"KRITIKUS: alvállalkozói plafon &lt; saját terhelt egységköltség",IF(J388&lt;S388*Beallitasok!$B$6,"SZŰK TARTALÉK: 10% alatti tartalék","OK")))</x:f>
        <x:v>OK</x:v>
      </x:c>
      <x:c r="AA388" s="19" t="str">
        <x:v>NEM</x:v>
      </x:c>
      <x:c r="AB388" s="19" t="str">
        <x:v>https://www.ksh.hu/gyorstajekoztatok/epi/epi2603.html</x:v>
      </x:c>
      <x:c r="AC388" s="19" t="str">
        <x:v>2026 térkövezési/kerítés piaci ajánlatok és brigádnorma</x:v>
      </x:c>
      <x:c r="AD388" s="19" t="str">
        <x:v>Földmunka, gép, térkő, beton, kerítéselem, termőföld és növényanyag külön.</x:v>
      </x:c>
    </x:row>
    <x:row r="389">
      <x:c r="A389" s="19" t="str">
        <x:v>AR-0388</x:v>
      </x:c>
      <x:c r="B389" s="19" t="str">
        <x:v>17 Külső munkák</x:v>
      </x:c>
      <x:c r="C389" s="19" t="str">
        <x:v>Térburkolat, kerítés, kert</x:v>
      </x:c>
      <x:c r="D389" s="19" t="str">
        <x:v>Mindegyik</x:v>
      </x:c>
      <x:c r="E389" s="19" t="str">
        <x:v>Gyepszőnyeg fektetése</x:v>
      </x:c>
      <x:c r="F389" s="19" t="str">
        <x:v>m²</x:v>
      </x:c>
      <x:c r="G389" s="113" t="n">
        <x:v>1800</x:v>
      </x:c>
      <x:c r="H389" s="113" t="n">
        <x:v>2700</x:v>
      </x:c>
      <x:c r="I389" s="114" t="n">
        <x:v>0.6</x:v>
      </x:c>
      <x:c r="J389" s="113" t="n">
        <x:f>ROUND(H389*I389/Beallitasok!$B$7,0)*Beallitasok!$B$7</x:f>
        <x:v>1600</x:v>
      </x:c>
      <x:c r="K389" s="19" t="n">
        <x:v>1</x:v>
      </x:c>
      <x:c r="L389" s="19" t="n">
        <x:v>3</x:v>
      </x:c>
      <x:c r="M389" s="113" t="n">
        <x:f>K389*Beallitasok!$B$2+L389*Beallitasok!$B$3</x:f>
        <x:v>110000</x:v>
      </x:c>
      <x:c r="N389" s="115" t="n">
        <x:v>90</x:v>
      </x:c>
      <x:c r="O389" s="113" t="n">
        <x:f>IFERROR(M389/N389,"")</x:f>
        <x:v>1222.2222222222222</x:v>
      </x:c>
      <x:c r="P389" s="116" t="n">
        <x:f>Beallitasok!$B$5</x:f>
        <x:v>1.15</x:v>
      </x:c>
      <x:c r="Q389" s="113" t="n">
        <x:f>IFERROR(ROUND(O389*P389/Beallitasok!$B$7,0)*Beallitasok!$B$7,"")</x:f>
        <x:v>1400</x:v>
      </x:c>
      <x:c r="R389" s="113"/>
      <x:c r="S389" s="113" t="n">
        <x:f>IF(Q389="","",Q389+IF(R389="",0,R389))</x:f>
        <x:v>1400</x:v>
      </x:c>
      <x:c r="T389" s="113" t="n">
        <x:f>M389*Beallitasok!$B$4</x:f>
        <x:v>550000</x:v>
      </x:c>
      <x:c r="U389" s="115" t="n">
        <x:f>N389*Beallitasok!$B$4</x:f>
        <x:v>450</x:v>
      </x:c>
      <x:c r="V389" s="113"/>
      <x:c r="W389" s="113" t="str">
        <x:f>IF(V389="","",V389-J389)</x:f>
      </x:c>
      <x:c r="X389" s="19"/>
      <x:c r="Y389" s="113" t="n">
        <x:f>IF(S389="","",J389-S389)</x:f>
        <x:v>200</x:v>
      </x:c>
      <x:c r="Z389" s="19" t="str">
        <x:f>IF(AA389="IGEN",IF(J389&lt;S389,"GÉPIGÉNY + KRITIKUS: gépdíj nélkül is alacsony a plafon","GÉPIGÉNY: a saját egységár gépdíj nélkül értendő"),IF(J389&lt;S389,"KRITIKUS: alvállalkozói plafon &lt; saját terhelt egységköltség",IF(J389&lt;S389*Beallitasok!$B$6,"SZŰK TARTALÉK: 10% alatti tartalék","OK")))</x:f>
        <x:v>OK</x:v>
      </x:c>
      <x:c r="AA389" s="19" t="str">
        <x:v>NEM</x:v>
      </x:c>
      <x:c r="AB389" s="19" t="str">
        <x:v>https://www.ksh.hu/gyorstajekoztatok/epi/epi2603.html</x:v>
      </x:c>
      <x:c r="AC389" s="19" t="str">
        <x:v>2026 térkövezési/kerítés piaci ajánlatok és brigádnorma</x:v>
      </x:c>
      <x:c r="AD389" s="19" t="str">
        <x:v>Földmunka, gép, térkő, beton, kerítéselem, termőföld és növényanyag külön.</x:v>
      </x:c>
    </x:row>
    <x:row r="390">
      <x:c r="A390" s="19" t="str">
        <x:v>AR-0389</x:v>
      </x:c>
      <x:c r="B390" s="19" t="str">
        <x:v>17 Külső munkák</x:v>
      </x:c>
      <x:c r="C390" s="19" t="str">
        <x:v>Térburkolat, kerítés, kert</x:v>
      </x:c>
      <x:c r="D390" s="19" t="str">
        <x:v>Mindegyik</x:v>
      </x:c>
      <x:c r="E390" s="19" t="str">
        <x:v>Terasz fa/WPC alépítmény szerelése</x:v>
      </x:c>
      <x:c r="F390" s="19" t="str">
        <x:v>m²</x:v>
      </x:c>
      <x:c r="G390" s="113" t="n">
        <x:v>6500</x:v>
      </x:c>
      <x:c r="H390" s="113" t="n">
        <x:v>9500</x:v>
      </x:c>
      <x:c r="I390" s="114" t="n">
        <x:v>0.6</x:v>
      </x:c>
      <x:c r="J390" s="113" t="n">
        <x:f>ROUND(H390*I390/Beallitasok!$B$7,0)*Beallitasok!$B$7</x:f>
        <x:v>5700</x:v>
      </x:c>
      <x:c r="K390" s="19" t="n">
        <x:v>2</x:v>
      </x:c>
      <x:c r="L390" s="19" t="n">
        <x:v>1</x:v>
      </x:c>
      <x:c r="M390" s="113" t="n">
        <x:f>K390*Beallitasok!$B$2+L390*Beallitasok!$B$3</x:f>
        <x:v>95000</x:v>
      </x:c>
      <x:c r="N390" s="115" t="n">
        <x:v>18</x:v>
      </x:c>
      <x:c r="O390" s="113" t="n">
        <x:f>IFERROR(M390/N390,"")</x:f>
        <x:v>5277.777777777777</x:v>
      </x:c>
      <x:c r="P390" s="116" t="n">
        <x:f>Beallitasok!$B$5</x:f>
        <x:v>1.15</x:v>
      </x:c>
      <x:c r="Q390" s="113" t="n">
        <x:f>IFERROR(ROUND(O390*P390/Beallitasok!$B$7,0)*Beallitasok!$B$7,"")</x:f>
        <x:v>6050</x:v>
      </x:c>
      <x:c r="R390" s="113"/>
      <x:c r="S390" s="113" t="n">
        <x:f>IF(Q390="","",Q390+IF(R390="",0,R390))</x:f>
        <x:v>6050</x:v>
      </x:c>
      <x:c r="T390" s="113" t="n">
        <x:f>M390*Beallitasok!$B$4</x:f>
        <x:v>475000</x:v>
      </x:c>
      <x:c r="U390" s="115" t="n">
        <x:f>N390*Beallitasok!$B$4</x:f>
        <x:v>90</x:v>
      </x:c>
      <x:c r="V390" s="113"/>
      <x:c r="W390" s="113" t="str">
        <x:f>IF(V390="","",V390-J390)</x:f>
      </x:c>
      <x:c r="X390" s="19"/>
      <x:c r="Y390" s="113" t="n">
        <x:f>IF(S390="","",J390-S390)</x:f>
        <x:v>-350</x:v>
      </x:c>
      <x:c r="Z390" s="19" t="str">
        <x:f>IF(AA390="IGEN",IF(J390&lt;S390,"GÉPIGÉNY + KRITIKUS: gépdíj nélkül is alacsony a plafon","GÉPIGÉNY: a saját egységár gépdíj nélkül értendő"),IF(J390&lt;S390,"KRITIKUS: alvállalkozói plafon &lt; saját terhelt egységköltség",IF(J390&lt;S390*Beallitasok!$B$6,"SZŰK TARTALÉK: 10% alatti tartalék","OK")))</x:f>
        <x:v>KRITIKUS: alvállalkozói plafon &lt; saját terhelt egységköltség</x:v>
      </x:c>
      <x:c r="AA390" s="19" t="str">
        <x:v>NEM</x:v>
      </x:c>
      <x:c r="AB390" s="19" t="str">
        <x:v>https://www.ksh.hu/gyorstajekoztatok/epi/epi2603.html</x:v>
      </x:c>
      <x:c r="AC390" s="19" t="str">
        <x:v>2026 térkövezési/kerítés piaci ajánlatok és brigádnorma</x:v>
      </x:c>
      <x:c r="AD390" s="19" t="str">
        <x:v>Földmunka, gép, térkő, beton, kerítéselem, termőföld és növényanyag külön.</x:v>
      </x:c>
    </x:row>
    <x:row r="391">
      <x:c r="A391" s="19" t="str">
        <x:v>AR-0390</x:v>
      </x:c>
      <x:c r="B391" s="19" t="str">
        <x:v>17 Külső munkák</x:v>
      </x:c>
      <x:c r="C391" s="19" t="str">
        <x:v>Térburkolat, kerítés, kert</x:v>
      </x:c>
      <x:c r="D391" s="19" t="str">
        <x:v>Mindegyik</x:v>
      </x:c>
      <x:c r="E391" s="19" t="str">
        <x:v>WPC teraszburkolat szerelése</x:v>
      </x:c>
      <x:c r="F391" s="19" t="str">
        <x:v>m²</x:v>
      </x:c>
      <x:c r="G391" s="113" t="n">
        <x:v>6500</x:v>
      </x:c>
      <x:c r="H391" s="113" t="n">
        <x:v>9500</x:v>
      </x:c>
      <x:c r="I391" s="114" t="n">
        <x:v>0.6</x:v>
      </x:c>
      <x:c r="J391" s="113" t="n">
        <x:f>ROUND(H391*I391/Beallitasok!$B$7,0)*Beallitasok!$B$7</x:f>
        <x:v>5700</x:v>
      </x:c>
      <x:c r="K391" s="19" t="n">
        <x:v>2</x:v>
      </x:c>
      <x:c r="L391" s="19" t="n">
        <x:v>1</x:v>
      </x:c>
      <x:c r="M391" s="113" t="n">
        <x:f>K391*Beallitasok!$B$2+L391*Beallitasok!$B$3</x:f>
        <x:v>95000</x:v>
      </x:c>
      <x:c r="N391" s="115" t="n">
        <x:v>18</x:v>
      </x:c>
      <x:c r="O391" s="113" t="n">
        <x:f>IFERROR(M391/N391,"")</x:f>
        <x:v>5277.777777777777</x:v>
      </x:c>
      <x:c r="P391" s="116" t="n">
        <x:f>Beallitasok!$B$5</x:f>
        <x:v>1.15</x:v>
      </x:c>
      <x:c r="Q391" s="113" t="n">
        <x:f>IFERROR(ROUND(O391*P391/Beallitasok!$B$7,0)*Beallitasok!$B$7,"")</x:f>
        <x:v>6050</x:v>
      </x:c>
      <x:c r="R391" s="113"/>
      <x:c r="S391" s="113" t="n">
        <x:f>IF(Q391="","",Q391+IF(R391="",0,R391))</x:f>
        <x:v>6050</x:v>
      </x:c>
      <x:c r="T391" s="113" t="n">
        <x:f>M391*Beallitasok!$B$4</x:f>
        <x:v>475000</x:v>
      </x:c>
      <x:c r="U391" s="115" t="n">
        <x:f>N391*Beallitasok!$B$4</x:f>
        <x:v>90</x:v>
      </x:c>
      <x:c r="V391" s="113"/>
      <x:c r="W391" s="113" t="str">
        <x:f>IF(V391="","",V391-J391)</x:f>
      </x:c>
      <x:c r="X391" s="19"/>
      <x:c r="Y391" s="113" t="n">
        <x:f>IF(S391="","",J391-S391)</x:f>
        <x:v>-350</x:v>
      </x:c>
      <x:c r="Z391" s="19" t="str">
        <x:f>IF(AA391="IGEN",IF(J391&lt;S391,"GÉPIGÉNY + KRITIKUS: gépdíj nélkül is alacsony a plafon","GÉPIGÉNY: a saját egységár gépdíj nélkül értendő"),IF(J391&lt;S391,"KRITIKUS: alvállalkozói plafon &lt; saját terhelt egységköltség",IF(J391&lt;S391*Beallitasok!$B$6,"SZŰK TARTALÉK: 10% alatti tartalék","OK")))</x:f>
        <x:v>KRITIKUS: alvállalkozói plafon &lt; saját terhelt egységköltség</x:v>
      </x:c>
      <x:c r="AA391" s="19" t="str">
        <x:v>NEM</x:v>
      </x:c>
      <x:c r="AB391" s="19" t="str">
        <x:v>https://www.ksh.hu/gyorstajekoztatok/epi/epi2603.html</x:v>
      </x:c>
      <x:c r="AC391" s="19" t="str">
        <x:v>2026 térkövezési/kerítés piaci ajánlatok és brigádnorma</x:v>
      </x:c>
      <x:c r="AD391" s="19" t="str">
        <x:v>Földmunka, gép, térkő, beton, kerítéselem, termőföld és növényanyag külön.</x:v>
      </x:c>
    </x:row>
    <x:row r="392">
      <x:c r="A392" s="19" t="str">
        <x:v>AR-0391</x:v>
      </x:c>
      <x:c r="B392" s="19" t="str">
        <x:v>18 Átadás</x:v>
      </x:c>
      <x:c r="C392" s="19" t="str">
        <x:v>Takarítás és lezárás</x:v>
      </x:c>
      <x:c r="D392" s="19" t="str">
        <x:v>Mindegyik</x:v>
      </x:c>
      <x:c r="E392" s="19" t="str">
        <x:v>Szerkezetépítés közbeni durva takarítás</x:v>
      </x:c>
      <x:c r="F392" s="19" t="str">
        <x:v>m² alapterület</x:v>
      </x:c>
      <x:c r="G392" s="113" t="n">
        <x:v>500</x:v>
      </x:c>
      <x:c r="H392" s="113" t="n">
        <x:v>800</x:v>
      </x:c>
      <x:c r="I392" s="114" t="n">
        <x:v>0.6</x:v>
      </x:c>
      <x:c r="J392" s="113" t="n">
        <x:f>ROUND(H392*I392/Beallitasok!$B$7,0)*Beallitasok!$B$7</x:f>
        <x:v>500</x:v>
      </x:c>
      <x:c r="K392" s="19" t="n">
        <x:v>0</x:v>
      </x:c>
      <x:c r="L392" s="19" t="n">
        <x:v>4</x:v>
      </x:c>
      <x:c r="M392" s="113" t="n">
        <x:f>K392*Beallitasok!$B$2+L392*Beallitasok!$B$3</x:f>
        <x:v>100000</x:v>
      </x:c>
      <x:c r="N392" s="115" t="n">
        <x:v>260</x:v>
      </x:c>
      <x:c r="O392" s="113" t="n">
        <x:f>IFERROR(M392/N392,"")</x:f>
        <x:v>384.61538461538464</x:v>
      </x:c>
      <x:c r="P392" s="116" t="n">
        <x:f>Beallitasok!$B$5</x:f>
        <x:v>1.15</x:v>
      </x:c>
      <x:c r="Q392" s="113" t="n">
        <x:f>IFERROR(ROUND(O392*P392/Beallitasok!$B$7,0)*Beallitasok!$B$7,"")</x:f>
        <x:v>450</x:v>
      </x:c>
      <x:c r="R392" s="113"/>
      <x:c r="S392" s="113" t="n">
        <x:f>IF(Q392="","",Q392+IF(R392="",0,R392))</x:f>
        <x:v>450</x:v>
      </x:c>
      <x:c r="T392" s="113" t="n">
        <x:f>M392*Beallitasok!$B$4</x:f>
        <x:v>500000</x:v>
      </x:c>
      <x:c r="U392" s="115" t="n">
        <x:f>N392*Beallitasok!$B$4</x:f>
        <x:v>1300</x:v>
      </x:c>
      <x:c r="V392" s="113"/>
      <x:c r="W392" s="113" t="str">
        <x:f>IF(V392="","",V392-J392)</x:f>
      </x:c>
      <x:c r="X392" s="19"/>
      <x:c r="Y392" s="113" t="n">
        <x:f>IF(S392="","",J392-S392)</x:f>
        <x:v>50</x:v>
      </x:c>
      <x:c r="Z392" s="19" t="str">
        <x:f>IF(AA392="IGEN",IF(J392&lt;S392,"GÉPIGÉNY + KRITIKUS: gépdíj nélkül is alacsony a plafon","GÉPIGÉNY: a saját egységár gépdíj nélkül értendő"),IF(J392&lt;S392,"KRITIKUS: alvállalkozói plafon &lt; saját terhelt egységköltség",IF(J392&lt;S392*Beallitasok!$B$6,"SZŰK TARTALÉK: 10% alatti tartalék","OK")))</x:f>
        <x:v>OK</x:v>
      </x:c>
      <x:c r="AA392" s="19" t="str">
        <x:v>NEM</x:v>
      </x:c>
      <x:c r="AB392" s="19" t="str">
        <x:v>https://www.ksh.hu/gyorstajekoztatok/epi/epi2603.html</x:v>
      </x:c>
      <x:c r="AC392" s="19" t="str">
        <x:v>Mérnöki levezetés brigádköltségből</x:v>
      </x:c>
      <x:c r="AD392" s="19" t="str"/>
    </x:row>
    <x:row r="393">
      <x:c r="A393" s="19" t="str">
        <x:v>AR-0392</x:v>
      </x:c>
      <x:c r="B393" s="19" t="str">
        <x:v>18 Átadás</x:v>
      </x:c>
      <x:c r="C393" s="19" t="str">
        <x:v>Takarítás és lezárás</x:v>
      </x:c>
      <x:c r="D393" s="19" t="str">
        <x:v>Mindegyik</x:v>
      </x:c>
      <x:c r="E393" s="19" t="str">
        <x:v>Befejező munkák közbeni takarítás</x:v>
      </x:c>
      <x:c r="F393" s="19" t="str">
        <x:v>m² alapterület</x:v>
      </x:c>
      <x:c r="G393" s="113" t="n">
        <x:v>650</x:v>
      </x:c>
      <x:c r="H393" s="113" t="n">
        <x:v>1000</x:v>
      </x:c>
      <x:c r="I393" s="114" t="n">
        <x:v>0.6</x:v>
      </x:c>
      <x:c r="J393" s="113" t="n">
        <x:f>ROUND(H393*I393/Beallitasok!$B$7,0)*Beallitasok!$B$7</x:f>
        <x:v>600</x:v>
      </x:c>
      <x:c r="K393" s="19" t="n">
        <x:v>0</x:v>
      </x:c>
      <x:c r="L393" s="19" t="n">
        <x:v>4</x:v>
      </x:c>
      <x:c r="M393" s="113" t="n">
        <x:f>K393*Beallitasok!$B$2+L393*Beallitasok!$B$3</x:f>
        <x:v>100000</x:v>
      </x:c>
      <x:c r="N393" s="115" t="n">
        <x:v>200</x:v>
      </x:c>
      <x:c r="O393" s="113" t="n">
        <x:f>IFERROR(M393/N393,"")</x:f>
        <x:v>500</x:v>
      </x:c>
      <x:c r="P393" s="116" t="n">
        <x:f>Beallitasok!$B$5</x:f>
        <x:v>1.15</x:v>
      </x:c>
      <x:c r="Q393" s="113" t="n">
        <x:f>IFERROR(ROUND(O393*P393/Beallitasok!$B$7,0)*Beallitasok!$B$7,"")</x:f>
        <x:v>600</x:v>
      </x:c>
      <x:c r="R393" s="113"/>
      <x:c r="S393" s="113" t="n">
        <x:f>IF(Q393="","",Q393+IF(R393="",0,R393))</x:f>
        <x:v>600</x:v>
      </x:c>
      <x:c r="T393" s="113" t="n">
        <x:f>M393*Beallitasok!$B$4</x:f>
        <x:v>500000</x:v>
      </x:c>
      <x:c r="U393" s="115" t="n">
        <x:f>N393*Beallitasok!$B$4</x:f>
        <x:v>1000</x:v>
      </x:c>
      <x:c r="V393" s="113"/>
      <x:c r="W393" s="113" t="str">
        <x:f>IF(V393="","",V393-J393)</x:f>
      </x:c>
      <x:c r="X393" s="19"/>
      <x:c r="Y393" s="113" t="n">
        <x:f>IF(S393="","",J393-S393)</x:f>
        <x:v>0</x:v>
      </x:c>
      <x:c r="Z393" s="19" t="str">
        <x:f>IF(AA393="IGEN",IF(J393&lt;S393,"GÉPIGÉNY + KRITIKUS: gépdíj nélkül is alacsony a plafon","GÉPIGÉNY: a saját egységár gépdíj nélkül értendő"),IF(J393&lt;S393,"KRITIKUS: alvállalkozói plafon &lt; saját terhelt egységköltség",IF(J393&lt;S393*Beallitasok!$B$6,"SZŰK TARTALÉK: 10% alatti tartalék","OK")))</x:f>
        <x:v>SZŰK TARTALÉK: 10% alatti tartalék</x:v>
      </x:c>
      <x:c r="AA393" s="19" t="str">
        <x:v>NEM</x:v>
      </x:c>
      <x:c r="AB393" s="19" t="str">
        <x:v>https://www.ksh.hu/gyorstajekoztatok/epi/epi2603.html</x:v>
      </x:c>
      <x:c r="AC393" s="19" t="str">
        <x:v>Mérnöki levezetés brigádköltségből</x:v>
      </x:c>
      <x:c r="AD393" s="19" t="str"/>
    </x:row>
    <x:row r="394">
      <x:c r="A394" s="19" t="str">
        <x:v>AR-0393</x:v>
      </x:c>
      <x:c r="B394" s="19" t="str">
        <x:v>18 Átadás</x:v>
      </x:c>
      <x:c r="C394" s="19" t="str">
        <x:v>Takarítás és lezárás</x:v>
      </x:c>
      <x:c r="D394" s="19" t="str">
        <x:v>Mindegyik</x:v>
      </x:c>
      <x:c r="E394" s="19" t="str">
        <x:v>Átadás előtti finomtakarítás</x:v>
      </x:c>
      <x:c r="F394" s="19" t="str">
        <x:v>m² alapterület</x:v>
      </x:c>
      <x:c r="G394" s="113" t="n">
        <x:v>1100</x:v>
      </x:c>
      <x:c r="H394" s="113" t="n">
        <x:v>1600</x:v>
      </x:c>
      <x:c r="I394" s="114" t="n">
        <x:v>0.6</x:v>
      </x:c>
      <x:c r="J394" s="113" t="n">
        <x:f>ROUND(H394*I394/Beallitasok!$B$7,0)*Beallitasok!$B$7</x:f>
        <x:v>950</x:v>
      </x:c>
      <x:c r="K394" s="19" t="n">
        <x:v>0</x:v>
      </x:c>
      <x:c r="L394" s="19" t="n">
        <x:v>4</x:v>
      </x:c>
      <x:c r="M394" s="113" t="n">
        <x:f>K394*Beallitasok!$B$2+L394*Beallitasok!$B$3</x:f>
        <x:v>100000</x:v>
      </x:c>
      <x:c r="N394" s="115" t="n">
        <x:v>120</x:v>
      </x:c>
      <x:c r="O394" s="113" t="n">
        <x:f>IFERROR(M394/N394,"")</x:f>
        <x:v>833.3333333333334</x:v>
      </x:c>
      <x:c r="P394" s="116" t="n">
        <x:f>Beallitasok!$B$5</x:f>
        <x:v>1.15</x:v>
      </x:c>
      <x:c r="Q394" s="113" t="n">
        <x:f>IFERROR(ROUND(O394*P394/Beallitasok!$B$7,0)*Beallitasok!$B$7,"")</x:f>
        <x:v>950</x:v>
      </x:c>
      <x:c r="R394" s="113"/>
      <x:c r="S394" s="113" t="n">
        <x:f>IF(Q394="","",Q394+IF(R394="",0,R394))</x:f>
        <x:v>950</x:v>
      </x:c>
      <x:c r="T394" s="113" t="n">
        <x:f>M394*Beallitasok!$B$4</x:f>
        <x:v>500000</x:v>
      </x:c>
      <x:c r="U394" s="115" t="n">
        <x:f>N394*Beallitasok!$B$4</x:f>
        <x:v>600</x:v>
      </x:c>
      <x:c r="V394" s="113"/>
      <x:c r="W394" s="113" t="str">
        <x:f>IF(V394="","",V394-J394)</x:f>
      </x:c>
      <x:c r="X394" s="19"/>
      <x:c r="Y394" s="113" t="n">
        <x:f>IF(S394="","",J394-S394)</x:f>
        <x:v>0</x:v>
      </x:c>
      <x:c r="Z394" s="19" t="str">
        <x:f>IF(AA394="IGEN",IF(J394&lt;S394,"GÉPIGÉNY + KRITIKUS: gépdíj nélkül is alacsony a plafon","GÉPIGÉNY: a saját egységár gépdíj nélkül értendő"),IF(J394&lt;S394,"KRITIKUS: alvállalkozói plafon &lt; saját terhelt egységköltség",IF(J394&lt;S394*Beallitasok!$B$6,"SZŰK TARTALÉK: 10% alatti tartalék","OK")))</x:f>
        <x:v>SZŰK TARTALÉK: 10% alatti tartalék</x:v>
      </x:c>
      <x:c r="AA394" s="19" t="str">
        <x:v>NEM</x:v>
      </x:c>
      <x:c r="AB394" s="19" t="str">
        <x:v>https://www.ksh.hu/gyorstajekoztatok/epi/epi2603.html</x:v>
      </x:c>
      <x:c r="AC394" s="19" t="str">
        <x:v>Mérnöki levezetés brigádköltségből</x:v>
      </x:c>
      <x:c r="AD394" s="19" t="str"/>
    </x:row>
    <x:row r="395">
      <x:c r="A395" s="19" t="str">
        <x:v>AR-0394</x:v>
      </x:c>
      <x:c r="B395" s="19" t="str">
        <x:v>18 Átadás</x:v>
      </x:c>
      <x:c r="C395" s="19" t="str">
        <x:v>Takarítás és lezárás</x:v>
      </x:c>
      <x:c r="D395" s="19" t="str">
        <x:v>Mindegyik</x:v>
      </x:c>
      <x:c r="E395" s="19" t="str">
        <x:v>Ablak- és üvegfelületek átadás előtti tisztítása</x:v>
      </x:c>
      <x:c r="F395" s="19" t="str">
        <x:v>m² üveg</x:v>
      </x:c>
      <x:c r="G395" s="113" t="n">
        <x:v>900</x:v>
      </x:c>
      <x:c r="H395" s="113" t="n">
        <x:v>1400</x:v>
      </x:c>
      <x:c r="I395" s="114" t="n">
        <x:v>0.6</x:v>
      </x:c>
      <x:c r="J395" s="113" t="n">
        <x:f>ROUND(H395*I395/Beallitasok!$B$7,0)*Beallitasok!$B$7</x:f>
        <x:v>850</x:v>
      </x:c>
      <x:c r="K395" s="19" t="n">
        <x:v>0</x:v>
      </x:c>
      <x:c r="L395" s="19" t="n">
        <x:v>3</x:v>
      </x:c>
      <x:c r="M395" s="113" t="n">
        <x:f>K395*Beallitasok!$B$2+L395*Beallitasok!$B$3</x:f>
        <x:v>75000</x:v>
      </x:c>
      <x:c r="N395" s="115" t="n">
        <x:v>90</x:v>
      </x:c>
      <x:c r="O395" s="113" t="n">
        <x:f>IFERROR(M395/N395,"")</x:f>
        <x:v>833.3333333333334</x:v>
      </x:c>
      <x:c r="P395" s="116" t="n">
        <x:f>Beallitasok!$B$5</x:f>
        <x:v>1.15</x:v>
      </x:c>
      <x:c r="Q395" s="113" t="n">
        <x:f>IFERROR(ROUND(O395*P395/Beallitasok!$B$7,0)*Beallitasok!$B$7,"")</x:f>
        <x:v>950</x:v>
      </x:c>
      <x:c r="R395" s="113"/>
      <x:c r="S395" s="113" t="n">
        <x:f>IF(Q395="","",Q395+IF(R395="",0,R395))</x:f>
        <x:v>950</x:v>
      </x:c>
      <x:c r="T395" s="113" t="n">
        <x:f>M395*Beallitasok!$B$4</x:f>
        <x:v>375000</x:v>
      </x:c>
      <x:c r="U395" s="115" t="n">
        <x:f>N395*Beallitasok!$B$4</x:f>
        <x:v>450</x:v>
      </x:c>
      <x:c r="V395" s="113"/>
      <x:c r="W395" s="113" t="str">
        <x:f>IF(V395="","",V395-J395)</x:f>
      </x:c>
      <x:c r="X395" s="19"/>
      <x:c r="Y395" s="113" t="n">
        <x:f>IF(S395="","",J395-S395)</x:f>
        <x:v>-100</x:v>
      </x:c>
      <x:c r="Z395" s="19" t="str">
        <x:f>IF(AA395="IGEN",IF(J395&lt;S395,"GÉPIGÉNY + KRITIKUS: gépdíj nélkül is alacsony a plafon","GÉPIGÉNY: a saját egységár gépdíj nélkül értendő"),IF(J395&lt;S395,"KRITIKUS: alvállalkozói plafon &lt; saját terhelt egységköltség",IF(J395&lt;S395*Beallitasok!$B$6,"SZŰK TARTALÉK: 10% alatti tartalék","OK")))</x:f>
        <x:v>KRITIKUS: alvállalkozói plafon &lt; saját terhelt egységköltség</x:v>
      </x:c>
      <x:c r="AA395" s="19" t="str">
        <x:v>NEM</x:v>
      </x:c>
      <x:c r="AB395" s="19" t="str">
        <x:v>https://www.ksh.hu/gyorstajekoztatok/epi/epi2603.html</x:v>
      </x:c>
      <x:c r="AC395" s="19" t="str">
        <x:v>Mérnöki levezetés brigádköltségből</x:v>
      </x:c>
      <x:c r="AD395" s="19" t="str"/>
    </x:row>
    <x:row r="396">
      <x:c r="A396" s="19" t="str">
        <x:v>AR-0395</x:v>
      </x:c>
      <x:c r="B396" s="19" t="str">
        <x:v>18 Átadás</x:v>
      </x:c>
      <x:c r="C396" s="19" t="str">
        <x:v>Takarítás és lezárás</x:v>
      </x:c>
      <x:c r="D396" s="19" t="str">
        <x:v>Mindegyik</x:v>
      </x:c>
      <x:c r="E396" s="19" t="str">
        <x:v>Védőfóliák és címkék eltávolítása nyílászárókról</x:v>
      </x:c>
      <x:c r="F396" s="19" t="str">
        <x:v>db</x:v>
      </x:c>
      <x:c r="G396" s="113" t="n">
        <x:v>1200</x:v>
      </x:c>
      <x:c r="H396" s="113" t="n">
        <x:v>1800</x:v>
      </x:c>
      <x:c r="I396" s="114" t="n">
        <x:v>0.6</x:v>
      </x:c>
      <x:c r="J396" s="113" t="n">
        <x:f>ROUND(H396*I396/Beallitasok!$B$7,0)*Beallitasok!$B$7</x:f>
        <x:v>1100</x:v>
      </x:c>
      <x:c r="K396" s="19" t="n">
        <x:v>0</x:v>
      </x:c>
      <x:c r="L396" s="19" t="n">
        <x:v>2</x:v>
      </x:c>
      <x:c r="M396" s="113" t="n">
        <x:f>K396*Beallitasok!$B$2+L396*Beallitasok!$B$3</x:f>
        <x:v>50000</x:v>
      </x:c>
      <x:c r="N396" s="115" t="n">
        <x:v>35</x:v>
      </x:c>
      <x:c r="O396" s="113" t="n">
        <x:f>IFERROR(M396/N396,"")</x:f>
        <x:v>1428.5714285714287</x:v>
      </x:c>
      <x:c r="P396" s="116" t="n">
        <x:f>Beallitasok!$B$5</x:f>
        <x:v>1.15</x:v>
      </x:c>
      <x:c r="Q396" s="113" t="n">
        <x:f>IFERROR(ROUND(O396*P396/Beallitasok!$B$7,0)*Beallitasok!$B$7,"")</x:f>
        <x:v>1650</x:v>
      </x:c>
      <x:c r="R396" s="113"/>
      <x:c r="S396" s="113" t="n">
        <x:f>IF(Q396="","",Q396+IF(R396="",0,R396))</x:f>
        <x:v>1650</x:v>
      </x:c>
      <x:c r="T396" s="113" t="n">
        <x:f>M396*Beallitasok!$B$4</x:f>
        <x:v>250000</x:v>
      </x:c>
      <x:c r="U396" s="115" t="n">
        <x:f>N396*Beallitasok!$B$4</x:f>
        <x:v>175</x:v>
      </x:c>
      <x:c r="V396" s="113"/>
      <x:c r="W396" s="113" t="str">
        <x:f>IF(V396="","",V396-J396)</x:f>
      </x:c>
      <x:c r="X396" s="19"/>
      <x:c r="Y396" s="113" t="n">
        <x:f>IF(S396="","",J396-S396)</x:f>
        <x:v>-550</x:v>
      </x:c>
      <x:c r="Z396" s="19" t="str">
        <x:f>IF(AA396="IGEN",IF(J396&lt;S396,"GÉPIGÉNY + KRITIKUS: gépdíj nélkül is alacsony a plafon","GÉPIGÉNY: a saját egységár gépdíj nélkül értendő"),IF(J396&lt;S396,"KRITIKUS: alvállalkozói plafon &lt; saját terhelt egységköltség",IF(J396&lt;S396*Beallitasok!$B$6,"SZŰK TARTALÉK: 10% alatti tartalék","OK")))</x:f>
        <x:v>KRITIKUS: alvállalkozói plafon &lt; saját terhelt egységköltség</x:v>
      </x:c>
      <x:c r="AA396" s="19" t="str">
        <x:v>NEM</x:v>
      </x:c>
      <x:c r="AB396" s="19" t="str">
        <x:v>https://www.ksh.hu/gyorstajekoztatok/epi/epi2603.html</x:v>
      </x:c>
      <x:c r="AC396" s="19" t="str">
        <x:v>Mérnöki levezetés brigádköltségből</x:v>
      </x:c>
      <x:c r="AD396" s="19" t="str"/>
    </x:row>
    <x:row r="397">
      <x:c r="A397" s="19" t="str">
        <x:v>AR-0396</x:v>
      </x:c>
      <x:c r="B397" s="19" t="str">
        <x:v>18 Átadás</x:v>
      </x:c>
      <x:c r="C397" s="19" t="str">
        <x:v>Takarítás és lezárás</x:v>
      </x:c>
      <x:c r="D397" s="19" t="str">
        <x:v>Mindegyik</x:v>
      </x:c>
      <x:c r="E397" s="19" t="str">
        <x:v>Szaniterek és burkolatok építési tisztítása</x:v>
      </x:c>
      <x:c r="F397" s="19" t="str">
        <x:v>helyiség</x:v>
      </x:c>
      <x:c r="G397" s="113" t="n">
        <x:v>12000</x:v>
      </x:c>
      <x:c r="H397" s="113" t="n">
        <x:v>18000</x:v>
      </x:c>
      <x:c r="I397" s="114" t="n">
        <x:v>0.6</x:v>
      </x:c>
      <x:c r="J397" s="113" t="n">
        <x:f>ROUND(H397*I397/Beallitasok!$B$7,0)*Beallitasok!$B$7</x:f>
        <x:v>10800</x:v>
      </x:c>
      <x:c r="K397" s="19" t="n">
        <x:v>0</x:v>
      </x:c>
      <x:c r="L397" s="19" t="n">
        <x:v>2</x:v>
      </x:c>
      <x:c r="M397" s="113" t="n">
        <x:f>K397*Beallitasok!$B$2+L397*Beallitasok!$B$3</x:f>
        <x:v>50000</x:v>
      </x:c>
      <x:c r="N397" s="115" t="n">
        <x:v>4</x:v>
      </x:c>
      <x:c r="O397" s="113" t="n">
        <x:f>IFERROR(M397/N397,"")</x:f>
        <x:v>12500</x:v>
      </x:c>
      <x:c r="P397" s="116" t="n">
        <x:f>Beallitasok!$B$5</x:f>
        <x:v>1.15</x:v>
      </x:c>
      <x:c r="Q397" s="113" t="n">
        <x:f>IFERROR(ROUND(O397*P397/Beallitasok!$B$7,0)*Beallitasok!$B$7,"")</x:f>
        <x:v>14350</x:v>
      </x:c>
      <x:c r="R397" s="113"/>
      <x:c r="S397" s="113" t="n">
        <x:f>IF(Q397="","",Q397+IF(R397="",0,R397))</x:f>
        <x:v>14350</x:v>
      </x:c>
      <x:c r="T397" s="113" t="n">
        <x:f>M397*Beallitasok!$B$4</x:f>
        <x:v>250000</x:v>
      </x:c>
      <x:c r="U397" s="115" t="n">
        <x:f>N397*Beallitasok!$B$4</x:f>
        <x:v>20</x:v>
      </x:c>
      <x:c r="V397" s="113"/>
      <x:c r="W397" s="113" t="str">
        <x:f>IF(V397="","",V397-J397)</x:f>
      </x:c>
      <x:c r="X397" s="19"/>
      <x:c r="Y397" s="113" t="n">
        <x:f>IF(S397="","",J397-S397)</x:f>
        <x:v>-3550</x:v>
      </x:c>
      <x:c r="Z397" s="19" t="str">
        <x:f>IF(AA397="IGEN",IF(J397&lt;S397,"GÉPIGÉNY + KRITIKUS: gépdíj nélkül is alacsony a plafon","GÉPIGÉNY: a saját egységár gépdíj nélkül értendő"),IF(J397&lt;S397,"KRITIKUS: alvállalkozói plafon &lt; saját terhelt egységköltség",IF(J397&lt;S397*Beallitasok!$B$6,"SZŰK TARTALÉK: 10% alatti tartalék","OK")))</x:f>
        <x:v>KRITIKUS: alvállalkozói plafon &lt; saját terhelt egységköltség</x:v>
      </x:c>
      <x:c r="AA397" s="19" t="str">
        <x:v>NEM</x:v>
      </x:c>
      <x:c r="AB397" s="19" t="str">
        <x:v>https://www.ksh.hu/gyorstajekoztatok/epi/epi2603.html</x:v>
      </x:c>
      <x:c r="AC397" s="19" t="str">
        <x:v>Mérnöki levezetés brigádköltségből</x:v>
      </x:c>
      <x:c r="AD397" s="19" t="str"/>
    </x:row>
    <x:row r="398">
      <x:c r="A398" s="19" t="str">
        <x:v>AR-0397</x:v>
      </x:c>
      <x:c r="B398" s="19" t="str">
        <x:v>18 Átadás</x:v>
      </x:c>
      <x:c r="C398" s="19" t="str">
        <x:v>Takarítás és lezárás</x:v>
      </x:c>
      <x:c r="D398" s="19" t="str">
        <x:v>Mindegyik</x:v>
      </x:c>
      <x:c r="E398" s="19" t="str">
        <x:v>Műszaki hibajegyzék szerinti kisebb javítási nap</x:v>
      </x:c>
      <x:c r="F398" s="19" t="str">
        <x:v>nap</x:v>
      </x:c>
      <x:c r="G398" s="113" t="n">
        <x:v>95000</x:v>
      </x:c>
      <x:c r="H398" s="113" t="n">
        <x:v>135000</x:v>
      </x:c>
      <x:c r="I398" s="114" t="n">
        <x:v>0.6</x:v>
      </x:c>
      <x:c r="J398" s="113" t="n">
        <x:f>ROUND(H398*I398/Beallitasok!$B$7,0)*Beallitasok!$B$7</x:f>
        <x:v>81000</x:v>
      </x:c>
      <x:c r="K398" s="19" t="n">
        <x:v>2</x:v>
      </x:c>
      <x:c r="L398" s="19" t="n">
        <x:v>1</x:v>
      </x:c>
      <x:c r="M398" s="113" t="n">
        <x:f>K398*Beallitasok!$B$2+L398*Beallitasok!$B$3</x:f>
        <x:v>95000</x:v>
      </x:c>
      <x:c r="N398" s="115" t="n">
        <x:v>1</x:v>
      </x:c>
      <x:c r="O398" s="113" t="n">
        <x:f>IFERROR(M398/N398,"")</x:f>
        <x:v>95000</x:v>
      </x:c>
      <x:c r="P398" s="116" t="n">
        <x:f>Beallitasok!$B$5</x:f>
        <x:v>1.15</x:v>
      </x:c>
      <x:c r="Q398" s="113" t="n">
        <x:f>IFERROR(ROUND(O398*P398/Beallitasok!$B$7,0)*Beallitasok!$B$7,"")</x:f>
        <x:v>109250</x:v>
      </x:c>
      <x:c r="R398" s="113"/>
      <x:c r="S398" s="113" t="n">
        <x:f>IF(Q398="","",Q398+IF(R398="",0,R398))</x:f>
        <x:v>109250</x:v>
      </x:c>
      <x:c r="T398" s="113" t="n">
        <x:f>M398*Beallitasok!$B$4</x:f>
        <x:v>475000</x:v>
      </x:c>
      <x:c r="U398" s="115" t="n">
        <x:f>N398*Beallitasok!$B$4</x:f>
        <x:v>5</x:v>
      </x:c>
      <x:c r="V398" s="113"/>
      <x:c r="W398" s="113" t="str">
        <x:f>IF(V398="","",V398-J398)</x:f>
      </x:c>
      <x:c r="X398" s="19"/>
      <x:c r="Y398" s="113" t="n">
        <x:f>IF(S398="","",J398-S398)</x:f>
        <x:v>-28250</x:v>
      </x:c>
      <x:c r="Z398" s="19" t="str">
        <x:f>IF(AA398="IGEN",IF(J398&lt;S398,"GÉPIGÉNY + KRITIKUS: gépdíj nélkül is alacsony a plafon","GÉPIGÉNY: a saját egységár gépdíj nélkül értendő"),IF(J398&lt;S398,"KRITIKUS: alvállalkozói plafon &lt; saját terhelt egységköltség",IF(J398&lt;S398*Beallitasok!$B$6,"SZŰK TARTALÉK: 10% alatti tartalék","OK")))</x:f>
        <x:v>KRITIKUS: alvállalkozói plafon &lt; saját terhelt egységköltség</x:v>
      </x:c>
      <x:c r="AA398" s="19" t="str">
        <x:v>NEM</x:v>
      </x:c>
      <x:c r="AB398" s="19" t="str">
        <x:v>https://www.ksh.hu/gyorstajekoztatok/epi/epi2603.html</x:v>
      </x:c>
      <x:c r="AC398" s="19" t="str">
        <x:v>Mérnöki levezetés brigádköltségből</x:v>
      </x:c>
      <x:c r="AD398" s="19" t="str"/>
    </x:row>
    <x:row r="399">
      <x:c r="A399" s="19" t="str">
        <x:v>AR-0398</x:v>
      </x:c>
      <x:c r="B399" s="19" t="str">
        <x:v>18 Átadás</x:v>
      </x:c>
      <x:c r="C399" s="19" t="str">
        <x:v>Takarítás és lezárás</x:v>
      </x:c>
      <x:c r="D399" s="19" t="str">
        <x:v>Mindegyik</x:v>
      </x:c>
      <x:c r="E399" s="19" t="str">
        <x:v>Téli víztelenítés és munkaterület lezárása</x:v>
      </x:c>
      <x:c r="F399" s="19" t="str">
        <x:v>alkalom</x:v>
      </x:c>
      <x:c r="G399" s="113" t="n">
        <x:v>55000</x:v>
      </x:c>
      <x:c r="H399" s="113" t="n">
        <x:v>80000</x:v>
      </x:c>
      <x:c r="I399" s="114" t="n">
        <x:v>0.6</x:v>
      </x:c>
      <x:c r="J399" s="113" t="n">
        <x:f>ROUND(H399*I399/Beallitasok!$B$7,0)*Beallitasok!$B$7</x:f>
        <x:v>48000</x:v>
      </x:c>
      <x:c r="K399" s="19" t="n">
        <x:v>1</x:v>
      </x:c>
      <x:c r="L399" s="19" t="n">
        <x:v>1</x:v>
      </x:c>
      <x:c r="M399" s="113" t="n">
        <x:f>K399*Beallitasok!$B$2+L399*Beallitasok!$B$3</x:f>
        <x:v>60000</x:v>
      </x:c>
      <x:c r="N399" s="115" t="n">
        <x:v>1</x:v>
      </x:c>
      <x:c r="O399" s="113" t="n">
        <x:f>IFERROR(M399/N399,"")</x:f>
        <x:v>60000</x:v>
      </x:c>
      <x:c r="P399" s="116" t="n">
        <x:f>Beallitasok!$B$5</x:f>
        <x:v>1.15</x:v>
      </x:c>
      <x:c r="Q399" s="113" t="n">
        <x:f>IFERROR(ROUND(O399*P399/Beallitasok!$B$7,0)*Beallitasok!$B$7,"")</x:f>
        <x:v>69000</x:v>
      </x:c>
      <x:c r="R399" s="113"/>
      <x:c r="S399" s="113" t="n">
        <x:f>IF(Q399="","",Q399+IF(R399="",0,R399))</x:f>
        <x:v>69000</x:v>
      </x:c>
      <x:c r="T399" s="113" t="n">
        <x:f>M399*Beallitasok!$B$4</x:f>
        <x:v>300000</x:v>
      </x:c>
      <x:c r="U399" s="115" t="n">
        <x:f>N399*Beallitasok!$B$4</x:f>
        <x:v>5</x:v>
      </x:c>
      <x:c r="V399" s="113"/>
      <x:c r="W399" s="113" t="str">
        <x:f>IF(V399="","",V399-J399)</x:f>
      </x:c>
      <x:c r="X399" s="19"/>
      <x:c r="Y399" s="113" t="n">
        <x:f>IF(S399="","",J399-S399)</x:f>
        <x:v>-21000</x:v>
      </x:c>
      <x:c r="Z399" s="19" t="str">
        <x:f>IF(AA399="IGEN",IF(J399&lt;S399,"GÉPIGÉNY + KRITIKUS: gépdíj nélkül is alacsony a plafon","GÉPIGÉNY: a saját egységár gépdíj nélkül értendő"),IF(J399&lt;S399,"KRITIKUS: alvállalkozói plafon &lt; saját terhelt egységköltség",IF(J399&lt;S399*Beallitasok!$B$6,"SZŰK TARTALÉK: 10% alatti tartalék","OK")))</x:f>
        <x:v>KRITIKUS: alvállalkozói plafon &lt; saját terhelt egységköltség</x:v>
      </x:c>
      <x:c r="AA399" s="19" t="str">
        <x:v>NEM</x:v>
      </x:c>
      <x:c r="AB399" s="19" t="str">
        <x:v>https://www.ksh.hu/gyorstajekoztatok/epi/epi2603.html</x:v>
      </x:c>
      <x:c r="AC399" s="19" t="str">
        <x:v>Mérnöki levezetés brigádköltségből</x:v>
      </x:c>
      <x:c r="AD399" s="19" t="str"/>
    </x:row>
  </x:sheetData>
  <x:conditionalFormatting sqref="J2:J399">
    <x:cfRule type="dataBar" priority="1">
      <x:dataBar>
        <x:cfvo type="min"/>
        <x:cfvo type="max"/>
        <x:color rgb="FF2F6B9A"/>
      </x:dataBar>
      <x:extLst>
        <x:ext xmlns:x14="http://schemas.microsoft.com/office/spreadsheetml/2009/9/main" uri="{B025F937-C7B1-47D3-B67F-A62EFF666E3E}">
          <x14:id>{7E9E7C42-8A19-C065-EA76-2619A0E9D8D6}</x14:id>
        </x:ext>
      </x:extLst>
    </x:cfRule>
  </x:conditionalFormatting>
  <x:conditionalFormatting sqref="Y2:Y399">
    <x:cfRule type="cellIs" dxfId="0" priority="2" operator="lessThan">
      <x:formula>0</x:formula>
    </x:cfRule>
  </x:conditionalFormatting>
  <x:conditionalFormatting sqref="W2:W399">
    <x:cfRule type="cellIs" dxfId="1" priority="3" operator="greaterThan">
      <x:formula>0</x:formula>
    </x:cfRule>
  </x:conditionalFormatting>
  <x:conditionalFormatting sqref="Z2:Z399">
    <x:cfRule type="expression" dxfId="2" priority="4">
      <x:formula>LEFT(Z2,8)="KRITIKUS"</x:formula>
    </x:cfRule>
    <x:cfRule type="expression" dxfId="3" priority="5">
      <x:formula>LEFT(Z2,8)="GÉPIGÉNY"</x:formula>
    </x:cfRule>
    <x:cfRule type="expression" dxfId="4" priority="6">
      <x:formula>LEFT(Z2,4)="SZŰK"</x:formula>
    </x:cfRule>
    <x:cfRule type="expression" dxfId="5" priority="7">
      <x:formula>Z2="OK"</x:formula>
    </x:cfRule>
  </x:conditionalFormatting>
  <x:dataValidations count="2">
    <x:dataValidation type="list" sqref="X2:X399">
      <x:formula1>"Elfogadja,Saját árat ad,Nem vállalja"</x:formula1>
    </x:dataValidation>
    <x:dataValidation type="list" sqref="AA2:AA399">
      <x:formula1>"IGEN,NEM"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2348806d58469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E9E7C42-8A19-C065-EA76-2619A0E9D8D6}">
            <x14:dataBar gradient="1">
              <x14:cfvo type="min"/>
              <x14:cfvo type="max"/>
              <x14:fillColor rgb="FF2F6B9A"/>
            </x14:dataBar>
          </x14:cfRule>
          <xm:sqref>J2:J399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5" max="5" width="24" hidden="0" customWidth="1"/>
    <x:col min="6" max="6" width="40" hidden="0" customWidth="1"/>
    <x:col min="7" max="7" width="44" hidden="0" customWidth="1"/>
    <x:col min="8" max="8" width="16" hidden="0" customWidth="1"/>
  </x:cols>
  <x:sheetData>
    <x:row r="1">
      <x:c r="A1" s="122" t="str">
        <x:v>ÁRTÜKÖR VEZETŐI ÖSSZESÍTŐ</x:v>
      </x:c>
      <x:c r="B1" s="122"/>
      <x:c r="C1" s="122"/>
      <x:c r="D1" s="122"/>
      <x:c r="E1" s="122"/>
      <x:c r="F1" s="122"/>
      <x:c r="G1" s="122"/>
      <x:c r="H1" s="122"/>
    </x:row>
    <x:row r="3">
      <x:c r="A3" s="129" t="str">
        <x:v>Mutató</x:v>
      </x:c>
      <x:c r="B3" s="130" t="str">
        <x:v>Érték</x:v>
      </x:c>
      <x:c r="E3" s="141" t="str">
        <x:v>Kezelési szabály</x:v>
      </x:c>
      <x:c r="F3" s="142" t="str">
        <x:v>Jelentés</x:v>
      </x:c>
      <x:c r="G3" s="142" t="str">
        <x:v>Teendő</x:v>
      </x:c>
      <x:c r="H3" s="143" t="str">
        <x:v>Kockázat</x:v>
      </x:c>
    </x:row>
    <x:row r="4">
      <x:c r="A4" s="131" t="str">
        <x:v>Tételek száma</x:v>
      </x:c>
      <x:c r="B4" s="53" t="n">
        <x:f>COUNTA(Artukor_Master!A2:A399)</x:f>
        <x:v>398</x:v>
      </x:c>
      <x:c r="E4" s="144" t="str">
        <x:v>OK</x:v>
      </x:c>
      <x:c r="F4" s="18" t="str">
        <x:v>A plafon fedezi a terhelt béres költséget.</x:v>
      </x:c>
      <x:c r="G4" s="18" t="str">
        <x:v>Tárgyalható.</x:v>
      </x:c>
      <x:c r="H4" s="72" t="str">
        <x:v>Normál</x:v>
      </x:c>
    </x:row>
    <x:row r="5">
      <x:c r="A5" s="131" t="str">
        <x:v>Szakágak száma</x:v>
      </x:c>
      <x:c r="B5" s="53" t="n">
        <x:v>18</x:v>
      </x:c>
      <x:c r="E5" s="144" t="str">
        <x:v>SZŰK TARTALÉK</x:v>
      </x:c>
      <x:c r="F5" s="18" t="str">
        <x:v>10%-nál kisebb tartalék.</x:v>
      </x:c>
      <x:c r="G5" s="18" t="str">
        <x:v>Termelékenységet helyszínen mérni.</x:v>
      </x:c>
      <x:c r="H5" s="72" t="str">
        <x:v>Közepes</x:v>
      </x:c>
    </x:row>
    <x:row r="6">
      <x:c r="A6" s="131" t="str">
        <x:v>Technológiák száma</x:v>
      </x:c>
      <x:c r="B6" s="53" t="n">
        <x:v>5</x:v>
      </x:c>
      <x:c r="E6" s="144" t="str">
        <x:v>KRITIKUS</x:v>
      </x:c>
      <x:c r="F6" s="18" t="str">
        <x:v>A plafon a saját állomány számított költsége alatt van.</x:v>
      </x:c>
      <x:c r="G6" s="18" t="str">
        <x:v>Árat / teljesítményt / brigádot felülvizsgálni.</x:v>
      </x:c>
      <x:c r="H6" s="72" t="str">
        <x:v>Magas</x:v>
      </x:c>
    </x:row>
    <x:row r="7">
      <x:c r="A7" s="131" t="str">
        <x:v>Gépigényes tételek</x:v>
      </x:c>
      <x:c r="B7" s="53" t="n">
        <x:v>26</x:v>
      </x:c>
      <x:c r="E7" s="144" t="str">
        <x:v>GÉPIGÉNY</x:v>
      </x:c>
      <x:c r="F7" s="18" t="str">
        <x:v>A saját díj gép- vagy daruköltséget nem tartalmaz.</x:v>
      </x:c>
      <x:c r="G7" s="18" t="str">
        <x:v>Külön gépárajánlatot bekérni.</x:v>
      </x:c>
      <x:c r="H7" s="72" t="str">
        <x:v>Magas</x:v>
      </x:c>
    </x:row>
    <x:row r="8">
      <x:c r="A8" s="132" t="str">
        <x:v>Frissítés</x:v>
      </x:c>
      <x:c r="B8" s="57" t="str">
        <x:v>2026-07-14</x:v>
      </x:c>
      <x:c r="E8" s="145" t="str">
        <x:v>Alvállalkozói saját ár</x:v>
      </x:c>
      <x:c r="F8" s="78" t="str">
        <x:v>A V oszlopban tölthető.</x:v>
      </x:c>
      <x:c r="G8" s="78" t="str">
        <x:v>Plafon felett eltérés jelenik meg.</x:v>
      </x:c>
      <x:c r="H8" s="79" t="str">
        <x:v>Tárgyalási</x:v>
      </x:c>
    </x:row>
    <x:row r="9">
      <x:c r="A9" s="129" t="str">
        <x:v>Anomália mutató</x:v>
      </x:c>
      <x:c r="B9" s="130" t="str">
        <x:v>Darab</x:v>
      </x:c>
    </x:row>
    <x:row r="10">
      <x:c r="A10" s="51" t="str">
        <x:v>Kritikus pénzügyi eltérés</x:v>
      </x:c>
      <x:c r="B10" s="53" t="n">
        <x:f>COUNTIF(Artukor_Master!Z2:Z399,"*KRITIKUS*")</x:f>
        <x:v>0</x:v>
      </x:c>
    </x:row>
    <x:row r="11">
      <x:c r="A11" s="129" t="str">
        <x:v>Gépigényes / külön gépár kell</x:v>
      </x:c>
      <x:c r="B11" s="130" t="n">
        <x:f>COUNTIF(Artukor_Master!Z2:Z399,"GÉPIGÉNY*")</x:f>
        <x:v>0</x:v>
      </x:c>
      <x:c r="C11" s="130" t="str">
        <x:v>Gépigényes</x:v>
      </x:c>
    </x:row>
    <x:row r="12">
      <x:c r="A12" s="51" t="str">
        <x:v>Szűk tartalék</x:v>
      </x:c>
      <x:c r="B12" s="53" t="n">
        <x:f>COUNTIF(Artukor_Master!Z2:Z399,"SZŰK*")</x:f>
        <x:v>0</x:v>
      </x:c>
      <x:c r="C12" s="53" t="n">
        <x:v>0</x:v>
      </x:c>
    </x:row>
    <x:row r="13">
      <x:c r="A13" s="54" t="str">
        <x:v>OK tételek</x:v>
      </x:c>
      <x:c r="B13" s="57" t="n">
        <x:f>COUNTIF(Artukor_Master!Z2:Z399,"OK")</x:f>
        <x:v>72</x:v>
      </x:c>
      <x:c r="C13" s="53" t="n">
        <x:v>3</x:v>
      </x:c>
    </x:row>
    <x:row r="14">
      <x:c r="A14" s="131" t="str">
        <x:v>03 Földmunka</x:v>
      </x:c>
      <x:c r="B14" s="52" t="n">
        <x:v>18</x:v>
      </x:c>
      <x:c r="C14" s="53" t="n">
        <x:v>11</x:v>
      </x:c>
    </x:row>
    <x:row r="15">
      <x:c r="A15" s="131" t="str">
        <x:v>04 Vasbeton</x:v>
      </x:c>
      <x:c r="B15" s="52" t="n">
        <x:v>30</x:v>
      </x:c>
      <x:c r="C15" s="53" t="n">
        <x:v>5</x:v>
      </x:c>
    </x:row>
    <x:row r="16">
      <x:c r="A16" s="131" t="str">
        <x:v>05 Falazás</x:v>
      </x:c>
      <x:c r="B16" s="52" t="n">
        <x:v>23</x:v>
      </x:c>
      <x:c r="C16" s="53" t="n">
        <x:v>0</x:v>
      </x:c>
    </x:row>
    <x:row r="17">
      <x:c r="A17" s="131" t="str">
        <x:v>06 Előregyártott beton</x:v>
      </x:c>
      <x:c r="B17" s="52" t="n">
        <x:v>28</x:v>
      </x:c>
      <x:c r="C17" s="53" t="n">
        <x:v>7</x:v>
      </x:c>
    </x:row>
    <x:row r="18">
      <x:c r="A18" s="131" t="str">
        <x:v>07 Könnyűszerkezet</x:v>
      </x:c>
      <x:c r="B18" s="52" t="n">
        <x:v>34</x:v>
      </x:c>
      <x:c r="C18" s="53" t="n">
        <x:v>0</x:v>
      </x:c>
    </x:row>
    <x:row r="19">
      <x:c r="A19" s="131" t="str">
        <x:v>08 Tető</x:v>
      </x:c>
      <x:c r="B19" s="52" t="n">
        <x:v>27</x:v>
      </x:c>
      <x:c r="C19" s="53" t="n">
        <x:v>0</x:v>
      </x:c>
    </x:row>
    <x:row r="20">
      <x:c r="A20" s="131" t="str">
        <x:v>09 Szigetelés</x:v>
      </x:c>
      <x:c r="B20" s="52" t="n">
        <x:v>16</x:v>
      </x:c>
      <x:c r="C20" s="53" t="n">
        <x:v>0</x:v>
      </x:c>
    </x:row>
    <x:row r="21">
      <x:c r="A21" s="131" t="str">
        <x:v>10 Homlokzat</x:v>
      </x:c>
      <x:c r="B21" s="52" t="n">
        <x:v>19</x:v>
      </x:c>
      <x:c r="C21" s="53" t="n">
        <x:v>0</x:v>
      </x:c>
    </x:row>
    <x:row r="22">
      <x:c r="A22" s="131" t="str">
        <x:v>11 Nyílászáró</x:v>
      </x:c>
      <x:c r="B22" s="52" t="n">
        <x:v>17</x:v>
      </x:c>
      <x:c r="C22" s="53" t="n">
        <x:v>0</x:v>
      </x:c>
    </x:row>
    <x:row r="23">
      <x:c r="A23" s="131" t="str">
        <x:v>12 Belső alapfelületek</x:v>
      </x:c>
      <x:c r="B23" s="52" t="n">
        <x:v>22</x:v>
      </x:c>
      <x:c r="C23" s="53" t="n">
        <x:v>0</x:v>
      </x:c>
    </x:row>
    <x:row r="24">
      <x:c r="A24" s="131" t="str">
        <x:v>13 Befejező munkák</x:v>
      </x:c>
      <x:c r="B24" s="52" t="n">
        <x:v>25</x:v>
      </x:c>
      <x:c r="C24" s="53" t="n">
        <x:v>0</x:v>
      </x:c>
    </x:row>
    <x:row r="25">
      <x:c r="A25" s="131" t="str">
        <x:v>14 Épületgépészet</x:v>
      </x:c>
      <x:c r="B25" s="52" t="n">
        <x:v>23</x:v>
      </x:c>
      <x:c r="C25" s="53" t="n">
        <x:v>0</x:v>
      </x:c>
    </x:row>
    <x:row r="26">
      <x:c r="A26" s="131" t="str">
        <x:v>15 Épületgépészet</x:v>
      </x:c>
      <x:c r="B26" s="52" t="n">
        <x:v>25</x:v>
      </x:c>
      <x:c r="C26" s="53" t="n">
        <x:v>0</x:v>
      </x:c>
    </x:row>
    <x:row r="27">
      <x:c r="A27" s="131" t="str">
        <x:v>16 Villanyszerelés</x:v>
      </x:c>
      <x:c r="B27" s="52" t="n">
        <x:v>34</x:v>
      </x:c>
      <x:c r="C27" s="53" t="n">
        <x:v>0</x:v>
      </x:c>
    </x:row>
    <x:row r="28">
      <x:c r="A28" s="131" t="str">
        <x:v>17 Külső munkák</x:v>
      </x:c>
      <x:c r="B28" s="52" t="n">
        <x:v>22</x:v>
      </x:c>
      <x:c r="C28" s="53" t="n">
        <x:v>0</x:v>
      </x:c>
    </x:row>
    <x:row r="29">
      <x:c r="A29" s="132" t="str">
        <x:v>18 Átadás</x:v>
      </x:c>
      <x:c r="B29" s="56" t="n">
        <x:v>8</x:v>
      </x:c>
      <x:c r="C29" s="57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53d75e056514b79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90" hidden="0" customWidth="1"/>
    <x:col min="4" max="4" width="14" hidden="0" customWidth="1"/>
    <x:col min="5" max="5" width="65" hidden="0" customWidth="1"/>
  </x:cols>
  <x:sheetData>
    <x:row r="1">
      <x:c r="A1" s="67" t="str">
        <x:v>Forráskód</x:v>
      </x:c>
      <x:c r="B1" s="68" t="str">
        <x:v>Terület</x:v>
      </x:c>
      <x:c r="C1" s="68" t="str">
        <x:v>URL</x:v>
      </x:c>
      <x:c r="D1" s="68" t="str">
        <x:v>Ellenőrzés</x:v>
      </x:c>
      <x:c r="E1" s="69" t="str">
        <x:v>Megjegyzés</x:v>
      </x:c>
    </x:row>
    <x:row r="2">
      <x:c r="A2" s="144" t="str">
        <x:v>KSH</x:v>
      </x:c>
      <x:c r="B2" s="18" t="str">
        <x:v>Építőipari árindex és piaci trend</x:v>
      </x:c>
      <x:c r="C2" s="18" t="str">
        <x:v>https://www.ksh.hu/gyorstajekoztatok/epi/epi2603.html</x:v>
      </x:c>
      <x:c r="D2" s="18" t="str">
        <x:v>2026-07-14</x:v>
      </x:c>
      <x:c r="E2" s="72" t="str">
        <x:v>Piaci oldal esetén alsó ársáv; gyártói dokumentumnál technológiai munkafázisok. Nem minden tétel közvetlen árforrása.</x:v>
      </x:c>
    </x:row>
    <x:row r="3">
      <x:c r="A3" s="144" t="str">
        <x:v>KSH_INDEX</x:v>
      </x:c>
      <x:c r="B3" s="18" t="str">
        <x:v>Negyedéves termelőiár-index</x:v>
      </x:c>
      <x:c r="C3" s="18" t="str">
        <x:v>https://www.ksh.hu/stadat_files/ara/hu/ara0061.html</x:v>
      </x:c>
      <x:c r="D3" s="18" t="str">
        <x:v>2026-07-14</x:v>
      </x:c>
      <x:c r="E3" s="72" t="str">
        <x:v>Piaci oldal esetén alsó ársáv; gyártói dokumentumnál technológiai munkafázisok. Nem minden tétel közvetlen árforrása.</x:v>
      </x:c>
    </x:row>
    <x:row r="4">
      <x:c r="A4" s="144" t="str">
        <x:v>CONCRETE</x:v>
      </x:c>
      <x:c r="B4" s="18" t="str">
        <x:v>Betonozás</x:v>
      </x:c>
      <x:c r="C4" s="18" t="str">
        <x:v>https://joszaki.hu/arak/betonozas</x:v>
      </x:c>
      <x:c r="D4" s="18" t="str">
        <x:v>2026-07-14</x:v>
      </x:c>
      <x:c r="E4" s="72" t="str">
        <x:v>Piaci oldal esetén alsó ársáv; gyártói dokumentumnál technológiai munkafázisok. Nem minden tétel közvetlen árforrása.</x:v>
      </x:c>
    </x:row>
    <x:row r="5">
      <x:c r="A5" s="144" t="str">
        <x:v>FOUNDATION</x:v>
      </x:c>
      <x:c r="B5" s="18" t="str">
        <x:v>Alapozás és földmunka</x:v>
      </x:c>
      <x:c r="C5" s="18" t="str">
        <x:v>https://joszaki.hu/arak/haz-alapozas</x:v>
      </x:c>
      <x:c r="D5" s="18" t="str">
        <x:v>2026-07-14</x:v>
      </x:c>
      <x:c r="E5" s="72" t="str">
        <x:v>Piaci oldal esetén alsó ársáv; gyártói dokumentumnál technológiai munkafázisok. Nem minden tétel közvetlen árforrása.</x:v>
      </x:c>
    </x:row>
    <x:row r="6">
      <x:c r="A6" s="144" t="str">
        <x:v>FORMWORK</x:v>
      </x:c>
      <x:c r="B6" s="18" t="str">
        <x:v>Födémzsaluzás</x:v>
      </x:c>
      <x:c r="C6" s="18" t="str">
        <x:v>https://joszaki.hu/arak/fodem-zsaluzas</x:v>
      </x:c>
      <x:c r="D6" s="18" t="str">
        <x:v>2026-07-14</x:v>
      </x:c>
      <x:c r="E6" s="72" t="str">
        <x:v>Piaci oldal esetén alsó ársáv; gyártói dokumentumnál technológiai munkafázisok. Nem minden tétel közvetlen árforrása.</x:v>
      </x:c>
    </x:row>
    <x:row r="7">
      <x:c r="A7" s="144" t="str">
        <x:v>RC</x:v>
      </x:c>
      <x:c r="B7" s="18" t="str">
        <x:v>Vasbetonszerelés</x:v>
      </x:c>
      <x:c r="C7" s="18" t="str">
        <x:v>https://joszaki.hu/arak/vasbetonszereles</x:v>
      </x:c>
      <x:c r="D7" s="18" t="str">
        <x:v>2026-07-14</x:v>
      </x:c>
      <x:c r="E7" s="72" t="str">
        <x:v>Piaci oldal esetén alsó ársáv; gyártói dokumentumnál technológiai munkafázisok. Nem minden tétel közvetlen árforrása.</x:v>
      </x:c>
    </x:row>
    <x:row r="8">
      <x:c r="A8" s="144" t="str">
        <x:v>MASONRY</x:v>
      </x:c>
      <x:c r="B8" s="18" t="str">
        <x:v>Kőműves és falazási munkák</x:v>
      </x:c>
      <x:c r="C8" s="18" t="str">
        <x:v>https://gigabau.hu/komuvesarak</x:v>
      </x:c>
      <x:c r="D8" s="18" t="str">
        <x:v>2026-07-14</x:v>
      </x:c>
      <x:c r="E8" s="72" t="str">
        <x:v>Piaci oldal esetén alsó ársáv; gyártói dokumentumnál technológiai munkafázisok. Nem minden tétel közvetlen árforrása.</x:v>
      </x:c>
    </x:row>
    <x:row r="9">
      <x:c r="A9" s="144" t="str">
        <x:v>PAINT</x:v>
      </x:c>
      <x:c r="B9" s="18" t="str">
        <x:v>Festés</x:v>
      </x:c>
      <x:c r="C9" s="18" t="str">
        <x:v>https://joszaki.hu/arak/szobafestes</x:v>
      </x:c>
      <x:c r="D9" s="18" t="str">
        <x:v>2026-07-14</x:v>
      </x:c>
      <x:c r="E9" s="72" t="str">
        <x:v>Piaci oldal esetén alsó ársáv; gyártói dokumentumnál technológiai munkafázisok. Nem minden tétel közvetlen árforrása.</x:v>
      </x:c>
    </x:row>
    <x:row r="10">
      <x:c r="A10" s="144" t="str">
        <x:v>PLASTER</x:v>
      </x:c>
      <x:c r="B10" s="18" t="str">
        <x:v>Glettelés / felületképzés</x:v>
      </x:c>
      <x:c r="C10" s="18" t="str">
        <x:v>https://joszaki.hu/arak/gletteles</x:v>
      </x:c>
      <x:c r="D10" s="18" t="str">
        <x:v>2026-07-14</x:v>
      </x:c>
      <x:c r="E10" s="72" t="str">
        <x:v>Piaci oldal esetén alsó ársáv; gyártói dokumentumnál technológiai munkafázisok. Nem minden tétel közvetlen árforrása.</x:v>
      </x:c>
    </x:row>
    <x:row r="11">
      <x:c r="A11" s="144" t="str">
        <x:v>TILE</x:v>
      </x:c>
      <x:c r="B11" s="18" t="str">
        <x:v>Hideg- és melegburkolás</x:v>
      </x:c>
      <x:c r="C11" s="18" t="str">
        <x:v>https://joszaki.hu/arak/burkolas</x:v>
      </x:c>
      <x:c r="D11" s="18" t="str">
        <x:v>2026-07-14</x:v>
      </x:c>
      <x:c r="E11" s="72" t="str">
        <x:v>Piaci oldal esetén alsó ársáv; gyártói dokumentumnál technológiai munkafázisok. Nem minden tétel közvetlen árforrása.</x:v>
      </x:c>
    </x:row>
    <x:row r="12">
      <x:c r="A12" s="144" t="str">
        <x:v>FLOOR</x:v>
      </x:c>
      <x:c r="B12" s="18" t="str">
        <x:v>Parketta / melegburkolat</x:v>
      </x:c>
      <x:c r="C12" s="18" t="str">
        <x:v>https://joszaki.hu/arak/parkettazas</x:v>
      </x:c>
      <x:c r="D12" s="18" t="str">
        <x:v>2026-07-14</x:v>
      </x:c>
      <x:c r="E12" s="72" t="str">
        <x:v>Piaci oldal esetén alsó ársáv; gyártói dokumentumnál technológiai munkafázisok. Nem minden tétel közvetlen árforrása.</x:v>
      </x:c>
    </x:row>
    <x:row r="13">
      <x:c r="A13" s="144" t="str">
        <x:v>DRYWALL</x:v>
      </x:c>
      <x:c r="B13" s="18" t="str">
        <x:v>Gipszkarton</x:v>
      </x:c>
      <x:c r="C13" s="18" t="str">
        <x:v>https://joszaki.hu/arak/gipszkarton-szereles</x:v>
      </x:c>
      <x:c r="D13" s="18" t="str">
        <x:v>2026-07-14</x:v>
      </x:c>
      <x:c r="E13" s="72" t="str">
        <x:v>Piaci oldal esetén alsó ársáv; gyártói dokumentumnál technológiai munkafázisok. Nem minden tétel közvetlen árforrása.</x:v>
      </x:c>
    </x:row>
    <x:row r="14">
      <x:c r="A14" s="144" t="str">
        <x:v>ETICS</x:v>
      </x:c>
      <x:c r="B14" s="18" t="str">
        <x:v>Homlokzati hőszigetelés</x:v>
      </x:c>
      <x:c r="C14" s="18" t="str">
        <x:v>https://joszaki.hu/arak/homlokzati-hoszigeteles</x:v>
      </x:c>
      <x:c r="D14" s="18" t="str">
        <x:v>2026-07-14</x:v>
      </x:c>
      <x:c r="E14" s="72" t="str">
        <x:v>Piaci oldal esetén alsó ársáv; gyártói dokumentumnál technológiai munkafázisok. Nem minden tétel közvetlen árforrása.</x:v>
      </x:c>
    </x:row>
    <x:row r="15">
      <x:c r="A15" s="144" t="str">
        <x:v>SCAFFOLD</x:v>
      </x:c>
      <x:c r="B15" s="18" t="str">
        <x:v>Állványozás</x:v>
      </x:c>
      <x:c r="C15" s="18" t="str">
        <x:v>https://joszaki.hu/arak/homlokzati-allvanyozas</x:v>
      </x:c>
      <x:c r="D15" s="18" t="str">
        <x:v>2026-07-14</x:v>
      </x:c>
      <x:c r="E15" s="72" t="str">
        <x:v>Piaci oldal esetén alsó ársáv; gyártói dokumentumnál technológiai munkafázisok. Nem minden tétel közvetlen árforrása.</x:v>
      </x:c>
    </x:row>
    <x:row r="16">
      <x:c r="A16" s="144" t="str">
        <x:v>WATERPROOF</x:v>
      </x:c>
      <x:c r="B16" s="18" t="str">
        <x:v>Vízszigetelés</x:v>
      </x:c>
      <x:c r="C16" s="18" t="str">
        <x:v>https://joszaki.hu/arak/vizszigeteles</x:v>
      </x:c>
      <x:c r="D16" s="18" t="str">
        <x:v>2026-07-14</x:v>
      </x:c>
      <x:c r="E16" s="72" t="str">
        <x:v>Piaci oldal esetén alsó ársáv; gyártói dokumentumnál technológiai munkafázisok. Nem minden tétel közvetlen árforrása.</x:v>
      </x:c>
    </x:row>
    <x:row r="17">
      <x:c r="A17" s="144" t="str">
        <x:v>ROOF</x:v>
      </x:c>
      <x:c r="B17" s="18" t="str">
        <x:v>Tetőfedés / ács</x:v>
      </x:c>
      <x:c r="C17" s="18" t="str">
        <x:v>https://joszaki.hu/arak/tetofedes</x:v>
      </x:c>
      <x:c r="D17" s="18" t="str">
        <x:v>2026-07-14</x:v>
      </x:c>
      <x:c r="E17" s="72" t="str">
        <x:v>Piaci oldal esetén alsó ársáv; gyártói dokumentumnál technológiai munkafázisok. Nem minden tétel közvetlen árforrása.</x:v>
      </x:c>
    </x:row>
    <x:row r="18">
      <x:c r="A18" s="144" t="str">
        <x:v>SHEETMETAL</x:v>
      </x:c>
      <x:c r="B18" s="18" t="str">
        <x:v>Bádogos</x:v>
      </x:c>
      <x:c r="C18" s="18" t="str">
        <x:v>https://joszaki.hu/arak/badogozas</x:v>
      </x:c>
      <x:c r="D18" s="18" t="str">
        <x:v>2026-07-14</x:v>
      </x:c>
      <x:c r="E18" s="72" t="str">
        <x:v>Piaci oldal esetén alsó ársáv; gyártói dokumentumnál technológiai munkafázisok. Nem minden tétel közvetlen árforrása.</x:v>
      </x:c>
    </x:row>
    <x:row r="19">
      <x:c r="A19" s="144" t="str">
        <x:v>PLUMB</x:v>
      </x:c>
      <x:c r="B19" s="18" t="str">
        <x:v>Vízvezeték</x:v>
      </x:c>
      <x:c r="C19" s="18" t="str">
        <x:v>https://joszaki.hu/arak/vizhalozat-kiepites</x:v>
      </x:c>
      <x:c r="D19" s="18" t="str">
        <x:v>2026-07-14</x:v>
      </x:c>
      <x:c r="E19" s="72" t="str">
        <x:v>Piaci oldal esetén alsó ársáv; gyártói dokumentumnál technológiai munkafázisok. Nem minden tétel közvetlen árforrása.</x:v>
      </x:c>
    </x:row>
    <x:row r="20">
      <x:c r="A20" s="144" t="str">
        <x:v>SEWER</x:v>
      </x:c>
      <x:c r="B20" s="18" t="str">
        <x:v>Csatorna</x:v>
      </x:c>
      <x:c r="C20" s="18" t="str">
        <x:v>https://joszaki.hu/arak/csatornazas</x:v>
      </x:c>
      <x:c r="D20" s="18" t="str">
        <x:v>2026-07-14</x:v>
      </x:c>
      <x:c r="E20" s="72" t="str">
        <x:v>Piaci oldal esetén alsó ársáv; gyártói dokumentumnál technológiai munkafázisok. Nem minden tétel közvetlen árforrása.</x:v>
      </x:c>
    </x:row>
    <x:row r="21">
      <x:c r="A21" s="144" t="str">
        <x:v>HEATING</x:v>
      </x:c>
      <x:c r="B21" s="18" t="str">
        <x:v>Fűtés</x:v>
      </x:c>
      <x:c r="C21" s="18" t="str">
        <x:v>https://joszaki.hu/arak/futesi-rendszer-kiepites</x:v>
      </x:c>
      <x:c r="D21" s="18" t="str">
        <x:v>2026-07-14</x:v>
      </x:c>
      <x:c r="E21" s="72" t="str">
        <x:v>Piaci oldal esetén alsó ársáv; gyártói dokumentumnál technológiai munkafázisok. Nem minden tétel közvetlen árforrása.</x:v>
      </x:c>
    </x:row>
    <x:row r="22">
      <x:c r="A22" s="144" t="str">
        <x:v>UFH</x:v>
      </x:c>
      <x:c r="B22" s="18" t="str">
        <x:v>Padlófűtés</x:v>
      </x:c>
      <x:c r="C22" s="18" t="str">
        <x:v>https://joszaki.hu/arak/padlofutes-szereles</x:v>
      </x:c>
      <x:c r="D22" s="18" t="str">
        <x:v>2026-07-14</x:v>
      </x:c>
      <x:c r="E22" s="72" t="str">
        <x:v>Piaci oldal esetén alsó ársáv; gyártói dokumentumnál technológiai munkafázisok. Nem minden tétel közvetlen árforrása.</x:v>
      </x:c>
    </x:row>
    <x:row r="23">
      <x:c r="A23" s="144" t="str">
        <x:v>HEATPUMP</x:v>
      </x:c>
      <x:c r="B23" s="18" t="str">
        <x:v>Hőszivattyú</x:v>
      </x:c>
      <x:c r="C23" s="18" t="str">
        <x:v>https://joszaki.hu/arak/hoszivattyu-telepites</x:v>
      </x:c>
      <x:c r="D23" s="18" t="str">
        <x:v>2026-07-14</x:v>
      </x:c>
      <x:c r="E23" s="72" t="str">
        <x:v>Piaci oldal esetén alsó ársáv; gyártói dokumentumnál technológiai munkafázisok. Nem minden tétel közvetlen árforrása.</x:v>
      </x:c>
    </x:row>
    <x:row r="24">
      <x:c r="A24" s="144" t="str">
        <x:v>HVAC</x:v>
      </x:c>
      <x:c r="B24" s="18" t="str">
        <x:v>Légtechnika</x:v>
      </x:c>
      <x:c r="C24" s="18" t="str">
        <x:v>https://joszaki.hu/arak/legtechnika-szereles</x:v>
      </x:c>
      <x:c r="D24" s="18" t="str">
        <x:v>2026-07-14</x:v>
      </x:c>
      <x:c r="E24" s="72" t="str">
        <x:v>Piaci oldal esetén alsó ársáv; gyártói dokumentumnál technológiai munkafázisok. Nem minden tétel közvetlen árforrása.</x:v>
      </x:c>
    </x:row>
    <x:row r="25">
      <x:c r="A25" s="144" t="str">
        <x:v>AC</x:v>
      </x:c>
      <x:c r="B25" s="18" t="str">
        <x:v>Klíma</x:v>
      </x:c>
      <x:c r="C25" s="18" t="str">
        <x:v>https://joszaki.hu/arak/klima-telepites</x:v>
      </x:c>
      <x:c r="D25" s="18" t="str">
        <x:v>2026-07-14</x:v>
      </x:c>
      <x:c r="E25" s="72" t="str">
        <x:v>Piaci oldal esetén alsó ársáv; gyártói dokumentumnál technológiai munkafázisok. Nem minden tétel közvetlen árforrása.</x:v>
      </x:c>
    </x:row>
    <x:row r="26">
      <x:c r="A26" s="144" t="str">
        <x:v>ELECTRIC</x:v>
      </x:c>
      <x:c r="B26" s="18" t="str">
        <x:v>Villanyszerelés</x:v>
      </x:c>
      <x:c r="C26" s="18" t="str">
        <x:v>https://joszaki.hu/arak/villanyszereles</x:v>
      </x:c>
      <x:c r="D26" s="18" t="str">
        <x:v>2026-07-14</x:v>
      </x:c>
      <x:c r="E26" s="72" t="str">
        <x:v>Piaci oldal esetén alsó ársáv; gyártói dokumentumnál technológiai munkafázisok. Nem minden tétel közvetlen árforrása.</x:v>
      </x:c>
    </x:row>
    <x:row r="27">
      <x:c r="A27" s="144" t="str">
        <x:v>DB</x:v>
      </x:c>
      <x:c r="B27" s="18" t="str">
        <x:v>Elosztótábla</x:v>
      </x:c>
      <x:c r="C27" s="18" t="str">
        <x:v>https://joszaki.hu/arak/biztositek-tabla-csere</x:v>
      </x:c>
      <x:c r="D27" s="18" t="str">
        <x:v>2026-07-14</x:v>
      </x:c>
      <x:c r="E27" s="72" t="str">
        <x:v>Piaci oldal esetén alsó ársáv; gyártói dokumentumnál technológiai munkafázisok. Nem minden tétel közvetlen árforrása.</x:v>
      </x:c>
    </x:row>
    <x:row r="28">
      <x:c r="A28" s="144" t="str">
        <x:v>METER</x:v>
      </x:c>
      <x:c r="B28" s="18" t="str">
        <x:v>Mérőhely</x:v>
      </x:c>
      <x:c r="C28" s="18" t="str">
        <x:v>https://joszaki.hu/arak/merohely-kialakitas</x:v>
      </x:c>
      <x:c r="D28" s="18" t="str">
        <x:v>2026-07-14</x:v>
      </x:c>
      <x:c r="E28" s="72" t="str">
        <x:v>Piaci oldal esetén alsó ársáv; gyártói dokumentumnál technológiai munkafázisok. Nem minden tétel közvetlen árforrása.</x:v>
      </x:c>
    </x:row>
    <x:row r="29">
      <x:c r="A29" s="144" t="str">
        <x:v>LIGHTFRAME</x:v>
      </x:c>
      <x:c r="B29" s="18" t="str">
        <x:v>Könnyűszerkezet</x:v>
      </x:c>
      <x:c r="C29" s="18" t="str">
        <x:v>https://joszaki.hu/arak/konnyuszerkezetes-haz-epites</x:v>
      </x:c>
      <x:c r="D29" s="18" t="str">
        <x:v>2026-07-14</x:v>
      </x:c>
      <x:c r="E29" s="72" t="str">
        <x:v>Piaci oldal esetén alsó ársáv; gyártói dokumentumnál technológiai munkafázisok. Nem minden tétel közvetlen árforrása.</x:v>
      </x:c>
    </x:row>
    <x:row r="30">
      <x:c r="A30" s="144" t="str">
        <x:v>LEIER_PANEL</x:v>
      </x:c>
      <x:c r="B30" s="18" t="str">
        <x:v>Leier Mesterpanel technológia</x:v>
      </x:c>
      <x:c r="C30" s="18" t="str">
        <x:v>https://www.proidea.hu/leier-hungaria-227922/leier-mesterpanel-333982/a_16_d_4_1556978033130_leier_mesterpanel_alktech_es_terv_segedlet.pdf</x:v>
      </x:c>
      <x:c r="D30" s="18" t="str">
        <x:v>2026-07-14</x:v>
      </x:c>
      <x:c r="E30" s="72" t="str">
        <x:v>Piaci oldal esetén alsó ársáv; gyártói dokumentumnál technológiai munkafázisok. Nem minden tétel közvetlen árforrása.</x:v>
      </x:c>
    </x:row>
    <x:row r="31">
      <x:c r="A31" s="145" t="str">
        <x:v>LEIER_ELEMENTS</x:v>
      </x:c>
      <x:c r="B31" s="78" t="str">
        <x:v>Leier előregyártott elemek technológia</x:v>
      </x:c>
      <x:c r="C31" s="78" t="str">
        <x:v>https://www.leier.hu/uploads/files/Leier-eloregyartott-betonelemek-alkalmazattechnika-64991c9d377e3.pdf</x:v>
      </x:c>
      <x:c r="D31" s="78" t="str">
        <x:v>2026-07-14</x:v>
      </x:c>
      <x:c r="E31" s="79" t="str">
        <x:v>Piaci oldal esetén alsó ársáv; gyártói dokumentumnál technológiai munkafázisok. Nem minden tétel közvetlen árforrása.</x:v>
      </x:c>
    </x:row>
  </x:sheetData>
  <x:pageMargins left="0.7" right="0.7" top="0.75" bottom="0.75" header="0.3" footer="0.3"/>
  <x:tableParts count="1">
    <x:tablePart xmlns:r="http://schemas.openxmlformats.org/officeDocument/2006/relationships" r:id="R2c41653aa81c4c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3" hidden="0" customWidth="1"/>
    <x:col min="4" max="4" width="88" hidden="0" customWidth="1"/>
  </x:cols>
  <x:sheetData>
    <x:row r="1">
      <x:c r="A1" s="166" t="str">
        <x:v>Beállítás</x:v>
      </x:c>
      <x:c r="B1" s="167" t="str">
        <x:v>Érték</x:v>
      </x:c>
      <x:c r="C1" s="167" t="str">
        <x:v>Egység</x:v>
      </x:c>
      <x:c r="D1" s="168" t="str">
        <x:v>Megjegyzés</x:v>
      </x:c>
    </x:row>
    <x:row r="2">
      <x:c r="A2" s="169" t="str">
        <x:v>Eladási áfa</x:v>
      </x:c>
      <x:c r="B2" s="170" t="n">
        <x:v>0.05</x:v>
      </x:c>
      <x:c r="C2" s="171" t="str">
        <x:v>%</x:v>
      </x:c>
      <x:c r="D2" s="72" t="str">
        <x:v>A felhasználói modell szerint. Csak jogosult új lakóingatlan/egységes kivitelezési ügylet esetén alkalmazható.</x:v>
      </x:c>
    </x:row>
    <x:row r="3">
      <x:c r="A3" s="169" t="str">
        <x:v>Minimum bruttó cash-árrés</x:v>
      </x:c>
      <x:c r="B3" s="170" t="n">
        <x:v>0.35</x:v>
      </x:c>
      <x:c r="C3" s="171" t="str">
        <x:v>%</x:v>
      </x:c>
      <x:c r="D3" s="72" t="str">
        <x:v>A teljes cash-bekerülés legalább 35%-kal legyen az eladási bruttó ár alatt.</x:v>
      </x:c>
    </x:row>
    <x:row r="4">
      <x:c r="A4" s="169" t="str">
        <x:v>Ideális bruttó cash-árrés</x:v>
      </x:c>
      <x:c r="B4" s="170" t="n">
        <x:v>0.5</x:v>
      </x:c>
      <x:c r="C4" s="171" t="str">
        <x:v>%</x:v>
      </x:c>
      <x:c r="D4" s="72" t="str">
        <x:v>Célérték.</x:v>
      </x:c>
    </x:row>
    <x:row r="5">
      <x:c r="A5" s="169" t="str">
        <x:v>Kiemelkedő árrés küszöbe</x:v>
      </x:c>
      <x:c r="B5" s="170" t="n">
        <x:v>0.6</x:v>
      </x:c>
      <x:c r="C5" s="171" t="str">
        <x:v>%</x:v>
      </x:c>
      <x:c r="D5" s="72" t="str">
        <x:v>E fölött külön jelzés készül.</x:v>
      </x:c>
    </x:row>
    <x:row r="6">
      <x:c r="A6" s="169" t="str">
        <x:v>Árkerekítés</x:v>
      </x:c>
      <x:c r="B6" s="172" t="n">
        <x:v>50</x:v>
      </x:c>
      <x:c r="C6" s="171" t="str">
        <x:v>Ft</x:v>
      </x:c>
      <x:c r="D6" s="72" t="str">
        <x:v>Ajánlott árak kerekítése.</x:v>
      </x:c>
    </x:row>
    <x:row r="7">
      <x:c r="A7" s="169" t="str">
        <x:v>Projekt alapterület</x:v>
      </x:c>
      <x:c r="B7" s="173" t="n">
        <x:v>120</x:v>
      </x:c>
      <x:c r="C7" s="171" t="str">
        <x:v>m²</x:v>
      </x:c>
      <x:c r="D7" s="72" t="str">
        <x:v>A beépített mintamennyiségek 120 m²-es, egyszintes családi házhoz készültek.</x:v>
      </x:c>
    </x:row>
    <x:row r="8">
      <x:c r="A8" s="169" t="str">
        <x:v>Árfrissítés dátuma</x:v>
      </x:c>
      <x:c r="B8" s="171" t="str">
        <x:v>2026-07-14</x:v>
      </x:c>
      <x:c r="C8" s="171" t="str">
        <x:v>dátum</x:v>
      </x:c>
      <x:c r="D8" s="72" t="str">
        <x:v>Az aktuális beszerzési ajánlatokat minden szerződés előtt újra kell ellenőrizni.</x:v>
      </x:c>
    </x:row>
    <x:row r="9">
      <x:c r="A9" s="169" t="str">
        <x:v>Piaci eladási alap szorzó</x:v>
      </x:c>
      <x:c r="B9" s="174" t="n">
        <x:v>1</x:v>
      </x:c>
      <x:c r="C9" s="171" t="str">
        <x:v>szorzó</x:v>
      </x:c>
      <x:c r="D9" s="72" t="str">
        <x:v>A publikus bruttó referencia 5%-os áfával visszanettósított eladási árszintje.</x:v>
      </x:c>
    </x:row>
    <x:row r="10">
      <x:c r="A10" s="175" t="str">
        <x:v>Eladási felár figyelmeztetés</x:v>
      </x:c>
      <x:c r="B10" s="77" t="n">
        <x:v>0.2</x:v>
      </x:c>
      <x:c r="C10" s="78" t="str">
        <x:v>%</x:v>
      </x:c>
      <x:c r="D10" s="79" t="str">
        <x:v>Ha a minimum 35%-hoz a publikus bruttó referenciaszintnél több mint 20%-kal magasabb eladási ár szükséges.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0" hidden="0" customWidth="1"/>
  </x:cols>
  <x:sheetData>
    <x:row r="1" ht="32" customHeight="1">
      <x:c r="A1" s="178" t="str">
        <x:v>ANYAG-, GÉP-, LOGISZTIKAI ÉS HULLADÉKKÖLTSÉG-ÁRTÜKÖR – 2026. JÚLIUS</x:v>
      </x:c>
      <x:c r="B1" s="178" t="str">
        <x:v>ANYAG-, GÉP-, LOGISZTIKAI ÉS HULLADÉKKÖLTSÉG-ÁRTÜKÖR – 2026. JÚLIUS</x:v>
      </x:c>
      <x:c r="C1" s="178" t="str">
        <x:v>ANYAG-, GÉP-, LOGISZTIKAI ÉS HULLADÉKKÖLTSÉG-ÁRTÜKÖR – 2026. JÚLIUS</x:v>
      </x:c>
      <x:c r="D1" s="178" t="str">
        <x:v>ANYAG-, GÉP-, LOGISZTIKAI ÉS HULLADÉKKÖLTSÉG-ÁRTÜKÖR – 2026. JÚLIUS</x:v>
      </x:c>
      <x:c r="E1" s="178" t="str">
        <x:v>ANYAG-, GÉP-, LOGISZTIKAI ÉS HULLADÉKKÖLTSÉG-ÁRTÜKÖR – 2026. JÚLIUS</x:v>
      </x:c>
      <x:c r="F1" s="178" t="str">
        <x:v>ANYAG-, GÉP-, LOGISZTIKAI ÉS HULLADÉKKÖLTSÉG-ÁRTÜKÖR – 2026. JÚLIUS</x:v>
      </x:c>
      <x:c r="G1" s="178" t="str">
        <x:v>ANYAG-, GÉP-, LOGISZTIKAI ÉS HULLADÉKKÖLTSÉG-ÁRTÜKÖR – 2026. JÚLIUS</x:v>
      </x:c>
      <x:c r="H1" s="178" t="str">
        <x:v>ANYAG-, GÉP-, LOGISZTIKAI ÉS HULLADÉKKÖLTSÉG-ÁRTÜKÖR – 2026. JÚLIUS</x:v>
      </x:c>
    </x:row>
    <x:row r="3">
      <x:c r="A3" s="183" t="str">
        <x:v>Cél</x:v>
      </x:c>
      <x:c r="B3" s="23" t="str">
        <x:v>A munkadíjas ártükör kiegészítése minden olyan anyaggal, segédanyaggal, bérleti, szállítási és hulladékkezelési költséggel, amely a munkadíjban nem szerepelt.</x:v>
      </x:c>
    </x:row>
    <x:row r="4">
      <x:c r="A4" s="184" t="str">
        <x:v>Árképzés</x:v>
      </x:c>
      <x:c r="B4" s="25" t="str">
        <x:v>A publikus bruttó piaci referencia nettósítása után beszerzési kedvezmény, veszteség, szállítás, raklap/csomagolás és egyéb cash-költség kerül hozzáadásra.</x:v>
      </x:c>
    </x:row>
    <x:row r="5">
      <x:c r="A5" s="184" t="str">
        <x:v>35%-os feltétel</x:v>
      </x:c>
      <x:c r="B5" s="25" t="str">
        <x:v>Teljes cash-bekerülés / ajánlott eladási bruttó ár legfeljebb 65%. Az ajánlott eladási nettó ár képlettel biztosítja a minimum 35%-os bruttó cash-árrést.</x:v>
      </x:c>
    </x:row>
    <x:row r="6">
      <x:c r="A6" s="184" t="str">
        <x:v>50%-os ideális cél</x:v>
      </x:c>
      <x:c r="B6" s="25" t="str">
        <x:v>Külön oszlop mutatja azt az eladási nettó árat, amely mellett a teljes cash-bekerülés pontosan az eladási bruttó ár 50%-a.</x:v>
      </x:c>
    </x:row>
    <x:row r="7">
      <x:c r="A7" s="184" t="str">
        <x:v>27%-os beszerzési áfa</x:v>
      </x:c>
      <x:c r="B7" s="25" t="str">
        <x:v>Normál belföldi beszerzésnél a számla cash-bruttó összege a nettó ár + 27% áfa.</x:v>
      </x:c>
    </x:row>
    <x:row r="8">
      <x:c r="A8" s="184" t="str">
        <x:v>0%-os számla – acél</x:v>
      </x:c>
      <x:c r="B8" s="25" t="str">
        <x:v>Egyes, jogszabályban felsorolt acélipari termékeknél belföldi fordított adózás lehet: a számlán nincs felszámított áfa, de a vevő 27%-ot önadózással állapít meg. A VTSZ-t és a felek státuszát könyvelővel ellenőrizni kell.</x:v>
      </x:c>
    </x:row>
    <x:row r="9">
      <x:c r="A9" s="184" t="str">
        <x:v>0%-os számla – EU</x:v>
      </x:c>
      <x:c r="B9" s="25" t="str">
        <x:v>Érvényes közösségi adószámmal történő Közösségi beszerzésnél a külföldi eladó számlája lehet 0%-os, de a magyar vevő 27% áfát önadózással állapít meg és – levonási jog esetén – ugyanabban a bevallásban levonhatja.</x:v>
      </x:c>
    </x:row>
    <x:row r="10">
      <x:c r="A10" s="184" t="str">
        <x:v>5%-os eladási áfa</x:v>
      </x:c>
      <x:c r="B10" s="25" t="str">
        <x:v>Az 5%-os áfa nem a külön értékesített építőanyagra vonatkozik automatikusan. Az Excel a felhasználói generálkivitelezői modell szerint számol; a konkrét szerződés jogosultságát adótanácsadóval ellenőrizni kell.</x:v>
      </x:c>
    </x:row>
    <x:row r="11">
      <x:c r="A11" s="184" t="str">
        <x:v>Cash-árrés vs. számviteli árrés</x:v>
      </x:c>
      <x:c r="B11" s="25" t="str">
        <x:v>A kért összehasonlítás cash alapon számol a számlán ténylegesen megfizetett áfával. A levonható beszerzési áfa számvitelileg nem végleges költség, ezért a táblázat konzervatívabb lehet a számviteli fedezetnél.</x:v>
      </x:c>
    </x:row>
    <x:row r="12">
      <x:c r="A12" s="184" t="str">
        <x:v>Piaci referencia</x:v>
      </x:c>
      <x:c r="B12" s="25" t="str">
        <x:v>Közvetlen gyártói/kereskedői listaár, publikus webár vagy egyértelműen megjelölt mérnöki piaci becslés. Projektáras Liapor/Leier panelek és egyes komplett gépészeti rendszerek minden esetben konkrét ajánlatot igényelnek.</x:v>
      </x:c>
    </x:row>
    <x:row r="13">
      <x:c r="A13" s="184" t="str">
        <x:v>Mintaházak</x:v>
      </x:c>
      <x:c r="B13" s="25" t="str">
        <x:v>A Tégla 120 m², Faváz 120 m² és Liapor/Leier 120 m² oszlopok előzetes, tipikus mennyiségeket tartalmaznak. Nem helyettesítik a tervalapú mennyiségkimutatást.</x:v>
      </x:c>
    </x:row>
    <x:row r="14">
      <x:c r="A14" s="184" t="str">
        <x:v>Jelzések</x:v>
      </x:c>
      <x:c r="B14" s="25" t="str">
        <x:v>NEM ÉRI EL A 35%-OT: a publikus piaci eladási árszinten nem tartható a cél. MINIMUM: 35–49,9%. IDEÁLIS: 50–59,9%. KIEMELKEDŐ: legalább 60%. FELÁR SZÜKSÉGES: a célhoz a publikus referenciaszintnél jelentősen magasabb eladási ár kell.</x:v>
      </x:c>
    </x:row>
    <x:row r="15">
      <x:c r="A15" s="184" t="str">
        <x:v>Árfrissítés</x:v>
      </x:c>
      <x:c r="B15" s="25" t="str">
        <x:v>2026. július 14. A tényleges beszerzési árak telephely, mennyiség, fizetési mód, fuvar, daruzás és gyártói kedvezmény szerint változnak.</x:v>
      </x:c>
    </x:row>
    <x:row r="16">
      <x:c r="A16" s="185" t="str">
        <x:v>Anyag- és szolgáltatástételek száma</x:v>
      </x:c>
      <x:c r="B16" s="27" t="n">
        <x:v>283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4" hidden="0" customWidth="1"/>
    <x:col min="4" max="4" width="20" hidden="0" customWidth="1"/>
    <x:col min="5" max="5" width="47" hidden="0" customWidth="1"/>
    <x:col min="6" max="6" width="33" hidden="0" customWidth="1"/>
    <x:col min="7" max="7" width="16" hidden="0" customWidth="1"/>
    <x:col min="8" max="8" width="18" hidden="0" customWidth="1"/>
    <x:col min="9" max="9" width="14" hidden="0" customWidth="1"/>
    <x:col min="10" max="10" width="18" hidden="0" customWidth="1"/>
    <x:col min="11" max="11" width="15" hidden="0" customWidth="1"/>
    <x:col min="12" max="12" width="18" hidden="0" customWidth="1"/>
    <x:col min="13" max="13" width="45" hidden="0" customWidth="1"/>
    <x:col min="14" max="14" width="16" hidden="0" customWidth="1"/>
    <x:col min="15" max="15" width="13" hidden="0" customWidth="1"/>
    <x:col min="16" max="16" width="17" hidden="0" customWidth="1"/>
    <x:col min="17" max="17" width="20" hidden="0" customWidth="1"/>
    <x:col min="18" max="18" width="15" hidden="0" customWidth="1"/>
    <x:col min="19" max="19" width="21" hidden="0" customWidth="1"/>
    <x:col min="20" max="20" width="19" hidden="0" customWidth="1"/>
    <x:col min="21" max="21" width="20" hidden="0" customWidth="1"/>
    <x:col min="22" max="22" width="21" hidden="0" customWidth="1"/>
    <x:col min="23" max="23" width="21" hidden="0" customWidth="1"/>
    <x:col min="24" max="24" width="20" hidden="0" customWidth="1"/>
    <x:col min="25" max="25" width="20" hidden="0" customWidth="1"/>
    <x:col min="26" max="26" width="21" hidden="0" customWidth="1"/>
    <x:col min="27" max="27" width="12" hidden="0" customWidth="1"/>
    <x:col min="28" max="28" width="20" hidden="0" customWidth="1"/>
    <x:col min="29" max="29" width="18" hidden="0" customWidth="1"/>
    <x:col min="30" max="30" width="18" hidden="0" customWidth="1"/>
    <x:col min="31" max="31" width="24" hidden="0" customWidth="1"/>
    <x:col min="32" max="32" width="19" hidden="0" customWidth="1"/>
    <x:col min="33" max="33" width="40" hidden="0" customWidth="1"/>
    <x:col min="34" max="34" width="16" hidden="0" customWidth="1"/>
    <x:col min="35" max="35" width="16" hidden="0" customWidth="1"/>
    <x:col min="36" max="36" width="18" hidden="0" customWidth="1"/>
    <x:col min="37" max="37" width="17" hidden="0" customWidth="1"/>
    <x:col min="38" max="38" width="21" hidden="0" customWidth="1"/>
    <x:col min="39" max="39" width="20" hidden="0" customWidth="1"/>
    <x:col min="40" max="40" width="18" hidden="0" customWidth="1"/>
    <x:col min="41" max="41" width="50" hidden="0" customWidth="1"/>
    <x:col min="42" max="42" width="36" hidden="0" customWidth="1"/>
    <x:col min="43" max="43" width="58" hidden="0" customWidth="1"/>
  </x:cols>
  <x:sheetData>
    <x:row r="1" ht="48" customHeight="1">
      <x:c r="A1" s="188" t="str">
        <x:v>ID</x:v>
      </x:c>
      <x:c r="B1" s="188" t="str">
        <x:v>Szakág</x:v>
      </x:c>
      <x:c r="C1" s="188" t="str">
        <x:v>Alcsoport</x:v>
      </x:c>
      <x:c r="D1" s="188" t="str">
        <x:v>Technológia</x:v>
      </x:c>
      <x:c r="E1" s="188" t="str">
        <x:v>Anyag / költségelem</x:v>
      </x:c>
      <x:c r="F1" s="188" t="str">
        <x:v>Specifikáció</x:v>
      </x:c>
      <x:c r="G1" s="188" t="str">
        <x:v>Egység</x:v>
      </x:c>
      <x:c r="H1" s="188" t="str">
        <x:v>Piaci bruttó referencia</x:v>
      </x:c>
      <x:c r="I1" s="188" t="str">
        <x:v>Forrás szerinti áfa</x:v>
      </x:c>
      <x:c r="J1" s="188" t="str">
        <x:v>Piaci nettó referencia</x:v>
      </x:c>
      <x:c r="K1" s="188" t="str">
        <x:v>Beszerzési kedvezmény</x:v>
      </x:c>
      <x:c r="L1" s="188" t="str">
        <x:v>Beszerzési nettó</x:v>
      </x:c>
      <x:c r="M1" s="188" t="str">
        <x:v>Áfakezelés</x:v>
      </x:c>
      <x:c r="N1" s="188" t="str">
        <x:v>Számlán felszámított áfa</x:v>
      </x:c>
      <x:c r="O1" s="188" t="str">
        <x:v>Önadózott áfa</x:v>
      </x:c>
      <x:c r="P1" s="188" t="str">
        <x:v>Számlán nincs felszámított áfa?</x:v>
      </x:c>
      <x:c r="Q1" s="188" t="str">
        <x:v>Beszerzési számla cash-bruttó</x:v>
      </x:c>
      <x:c r="R1" s="188" t="str">
        <x:v>Veszteség / tartalék</x:v>
      </x:c>
      <x:c r="S1" s="188" t="str">
        <x:v>Veszteséggel korrigált beszerzés</x:v>
      </x:c>
      <x:c r="T1" s="188" t="str">
        <x:v>Szállítás / egység cash-bruttó</x:v>
      </x:c>
      <x:c r="U1" s="188" t="str">
        <x:v>Raklap / csomagolás / kiegészítő</x:v>
      </x:c>
      <x:c r="V1" s="188" t="str">
        <x:v>Teljes cash-bekerülés / egység</x:v>
      </x:c>
      <x:c r="W1" s="188" t="str">
        <x:v>Piaci eladási nettó 5% áfával</x:v>
      </x:c>
      <x:c r="X1" s="188" t="str">
        <x:v>Min. eladási nettó 35%-hoz</x:v>
      </x:c>
      <x:c r="Y1" s="188" t="str">
        <x:v>Ideális eladási nettó 50%-hoz</x:v>
      </x:c>
      <x:c r="Z1" s="188" t="str">
        <x:v>Ajánlott generál eladási nettó</x:v>
      </x:c>
      <x:c r="AA1" s="188" t="str">
        <x:v>Eladási áfa</x:v>
      </x:c>
      <x:c r="AB1" s="188" t="str">
        <x:v>Ajánlott eladási bruttó</x:v>
      </x:c>
      <x:c r="AC1" s="188" t="str">
        <x:v>Piaci árszint bruttó cash-árrése</x:v>
      </x:c>
      <x:c r="AD1" s="188" t="str">
        <x:v>Ajánlott ár bruttó cash-árrése</x:v>
      </x:c>
      <x:c r="AE1" s="188" t="str">
        <x:v>Árrés-státusz piaci árszinten</x:v>
      </x:c>
      <x:c r="AF1" s="188" t="str">
        <x:v>Ajánlott ár eltérése a publikus bruttótól</x:v>
      </x:c>
      <x:c r="AG1" s="188" t="str">
        <x:v>Anomália / figyelmeztetés</x:v>
      </x:c>
      <x:c r="AH1" s="188" t="str">
        <x:v>Tégla 120 m² mennyiség</x:v>
      </x:c>
      <x:c r="AI1" s="188" t="str">
        <x:v>Faváz 120 m² mennyiség</x:v>
      </x:c>
      <x:c r="AJ1" s="188" t="str">
        <x:v>Liapor/Leier 120 m² mennyiség</x:v>
      </x:c>
      <x:c r="AK1" s="188" t="str">
        <x:v>Saját projekt mennyiség</x:v>
      </x:c>
      <x:c r="AL1" s="188" t="str">
        <x:v>Projekt beszerzési cash-költség</x:v>
      </x:c>
      <x:c r="AM1" s="188" t="str">
        <x:v>Projekt eladási bruttó</x:v>
      </x:c>
      <x:c r="AN1" s="188" t="str">
        <x:v>Projekt bruttó cash-árrés</x:v>
      </x:c>
      <x:c r="AO1" s="188" t="str">
        <x:v>Forrás</x:v>
      </x:c>
      <x:c r="AP1" s="188" t="str">
        <x:v>Adatminőség</x:v>
      </x:c>
      <x:c r="AQ1" s="188" t="str">
        <x:v>Megjegyzés</x:v>
      </x:c>
    </x:row>
    <x:row r="2">
      <x:c r="A2" s="19" t="str">
        <x:v>ANY-0001</x:v>
      </x:c>
      <x:c r="B2" s="19" t="str">
        <x:v>01 Felvonulás</x:v>
      </x:c>
      <x:c r="C2" s="19" t="str">
        <x:v>Ideiglenes létesítmények</x:v>
      </x:c>
      <x:c r="D2" s="19" t="str">
        <x:v>Mindegyik</x:v>
      </x:c>
      <x:c r="E2" s="19" t="str">
        <x:v>Mobil WC normál kivitel</x:v>
      </x:c>
      <x:c r="F2" s="19" t="str">
        <x:v>heti karbantartással</x:v>
      </x:c>
      <x:c r="G2" s="19" t="str">
        <x:v>nap</x:v>
      </x:c>
      <x:c r="H2" s="203" t="n">
        <x:v>990</x:v>
      </x:c>
      <x:c r="I2" s="204" t="n">
        <x:v>0.27</x:v>
      </x:c>
      <x:c r="J2" s="203" t="n">
        <x:f>IFERROR(H2/(1+I2),"")</x:f>
        <x:v>779.5275590551181</x:v>
      </x:c>
      <x:c r="K2" s="205" t="n">
        <x:v>0.15</x:v>
      </x:c>
      <x:c r="L2" s="203" t="n">
        <x:f>IFERROR(J2*(1-K2),"")</x:f>
        <x:v>662.5984251968504</x:v>
      </x:c>
      <x:c r="M2" s="19" t="str">
        <x:v>27% normál belföldi</x:v>
      </x:c>
      <x:c r="N2" s="204" t="n">
        <x:v>0.27</x:v>
      </x:c>
      <x:c r="O2" s="204" t="n">
        <x:v>0</x:v>
      </x:c>
      <x:c r="P2" s="19" t="str">
        <x:v>NEM</x:v>
      </x:c>
      <x:c r="Q2" s="203" t="n">
        <x:f>IFERROR(L2*(1+N2),"")</x:f>
        <x:v>841.5</x:v>
      </x:c>
      <x:c r="R2" s="205" t="n">
        <x:v>0</x:v>
      </x:c>
      <x:c r="S2" s="203" t="n">
        <x:f>IFERROR(Q2*(1+R2),"")</x:f>
        <x:v>841.5</x:v>
      </x:c>
      <x:c r="T2" s="206" t="n">
        <x:v>0</x:v>
      </x:c>
      <x:c r="U2" s="206" t="n">
        <x:v>0</x:v>
      </x:c>
      <x:c r="V2" s="203" t="n">
        <x:f>IFERROR(S2+T2+U2,"")</x:f>
        <x:v>841.5</x:v>
      </x:c>
      <x:c r="W2" s="203" t="n">
        <x:f>IFERROR(H2/(1+Anyag_Beallitasok!$B$2)*Anyag_Beallitasok!$B$9,"")</x:f>
        <x:v>942.8571428571428</x:v>
      </x:c>
      <x:c r="X2" s="203" t="n">
        <x:f>IFERROR(V2/((1-Anyag_Beallitasok!$B$3)*(1+Anyag_Beallitasok!$B$2)),"")</x:f>
        <x:v>1232.9670329670328</x:v>
      </x:c>
      <x:c r="Y2" s="203" t="n">
        <x:f>IFERROR(V2/((1-Anyag_Beallitasok!$B$4)*(1+Anyag_Beallitasok!$B$2)),"")</x:f>
        <x:v>1602.857142857143</x:v>
      </x:c>
      <x:c r="Z2" s="203" t="n">
        <x:f>IFERROR(ROUNDUP(MAX(W2,X2)/Anyag_Beallitasok!$B$6,0)*Anyag_Beallitasok!$B$6,"")</x:f>
        <x:v>1250</x:v>
      </x:c>
      <x:c r="AA2" s="204" t="n">
        <x:f>Anyag_Beallitasok!$B$2</x:f>
        <x:v>0.05</x:v>
      </x:c>
      <x:c r="AB2" s="203" t="n">
        <x:f>IFERROR(Z2*(1+AA2),"")</x:f>
        <x:v>1312.5</x:v>
      </x:c>
      <x:c r="AC2" s="204" t="n">
        <x:f>IFERROR(1-V2/H2,"")</x:f>
        <x:v>0.15000000000000002</x:v>
      </x:c>
      <x:c r="AD2" s="204" t="n">
        <x:f>IFERROR(1-V2/AB2,"")</x:f>
        <x:v>0.3588571428571429</x:v>
      </x:c>
      <x:c r="AE2" s="19" t="str">
        <x:f>IF(AC2&lt;Anyag_Beallitasok!$B$3,"NEM ÉRI EL A 35%-OT",IF(AC2&lt;Anyag_Beallitasok!$B$4,"MINIMUM 35–49,9%",IF(AC2&lt;Anyag_Beallitasok!$B$5,"IDEÁLIS 50–59,9%","KIEMELKEDŐ ≥60%")))</x:f>
        <x:v>NEM ÉRI EL A 35%-OT</x:v>
      </x:c>
      <x:c r="AF2" s="204" t="n">
        <x:f>IFERROR(AB2/H2-1,"")</x:f>
        <x:v>0.3257575757575757</x:v>
      </x:c>
      <x:c r="AG2" s="19" t="str">
        <x:f>IF(AND(P2="IGEN",O2&gt;0),IF(AF2&gt;Anyag_Beallitasok!$B$10,"0%-OS SZÁMLA + ÖNADÓZÁS; FELÁR SZÜKSÉGES","0%-OS SZÁMLA + ÖNADÓZÁS"),IF(AF2&gt;Anyag_Beallitasok!$B$10,"FELÁR SZÜKSÉGES A 35%-HOZ",IF(AC2&lt;Anyag_Beallitasok!$B$3,"PIACI ÁRON NEM TARTHATÓ A 35%","OK")))</x:f>
        <x:v>FELÁR SZÜKSÉGES A 35%-HOZ</x:v>
      </x:c>
      <x:c r="AH2" s="207" t="n">
        <x:v>240</x:v>
      </x:c>
      <x:c r="AI2" s="207" t="n">
        <x:v>240</x:v>
      </x:c>
      <x:c r="AJ2" s="207" t="n">
        <x:v>240</x:v>
      </x:c>
      <x:c r="AK2" s="208"/>
      <x:c r="AL2" s="203" t="str">
        <x:f>IF(AK2="","",V2*AK2)</x:f>
      </x:c>
      <x:c r="AM2" s="203" t="str">
        <x:f>IF(AK2="","",AB2*AK2)</x:f>
      </x:c>
      <x:c r="AN2" s="204" t="str">
        <x:f>IFERROR(1-AL2/AM2,"")</x:f>
      </x:c>
      <x:c r="AO2" s="19" t="str">
        <x:v>https://www.kontenercentrum.hu/mobil-wc-berles/</x:v>
      </x:c>
      <x:c r="AP2" s="19" t="str">
        <x:v>Közvetlen 2026 webár</x:v>
      </x:c>
      <x:c r="AQ2" s="19" t="str">
        <x:v>Minimum 30 nap; telepítés és elszállítás ajánlatfüggő.</x:v>
      </x:c>
    </x:row>
    <x:row r="3">
      <x:c r="A3" s="19" t="str">
        <x:v>ANY-0002</x:v>
      </x:c>
      <x:c r="B3" s="19" t="str">
        <x:v>01 Felvonulás</x:v>
      </x:c>
      <x:c r="C3" s="19" t="str">
        <x:v>Ideiglenes létesítmények</x:v>
      </x:c>
      <x:c r="D3" s="19" t="str">
        <x:v>Mindegyik</x:v>
      </x:c>
      <x:c r="E3" s="19" t="str">
        <x:v>Mobil WC kézmosóval</x:v>
      </x:c>
      <x:c r="F3" s="19" t="str">
        <x:v>heti karbantartással</x:v>
      </x:c>
      <x:c r="G3" s="19" t="str">
        <x:v>nap</x:v>
      </x:c>
      <x:c r="H3" s="203" t="n">
        <x:v>1290</x:v>
      </x:c>
      <x:c r="I3" s="204" t="n">
        <x:v>0.27</x:v>
      </x:c>
      <x:c r="J3" s="203" t="n">
        <x:f>IFERROR(H3/(1+I3),"")</x:f>
        <x:v>1015.7480314960629</x:v>
      </x:c>
      <x:c r="K3" s="205" t="n">
        <x:v>0.15</x:v>
      </x:c>
      <x:c r="L3" s="203" t="n">
        <x:f>IFERROR(J3*(1-K3),"")</x:f>
        <x:v>863.3858267716535</x:v>
      </x:c>
      <x:c r="M3" s="19" t="str">
        <x:v>27% normál belföldi</x:v>
      </x:c>
      <x:c r="N3" s="204" t="n">
        <x:v>0.27</x:v>
      </x:c>
      <x:c r="O3" s="204" t="n">
        <x:v>0</x:v>
      </x:c>
      <x:c r="P3" s="19" t="str">
        <x:v>NEM</x:v>
      </x:c>
      <x:c r="Q3" s="203" t="n">
        <x:f>IFERROR(L3*(1+N3),"")</x:f>
        <x:v>1096.5</x:v>
      </x:c>
      <x:c r="R3" s="205" t="n">
        <x:v>0</x:v>
      </x:c>
      <x:c r="S3" s="203" t="n">
        <x:f>IFERROR(Q3*(1+R3),"")</x:f>
        <x:v>1096.5</x:v>
      </x:c>
      <x:c r="T3" s="206" t="n">
        <x:v>0</x:v>
      </x:c>
      <x:c r="U3" s="206" t="n">
        <x:v>0</x:v>
      </x:c>
      <x:c r="V3" s="203" t="n">
        <x:f>IFERROR(S3+T3+U3,"")</x:f>
        <x:v>1096.5</x:v>
      </x:c>
      <x:c r="W3" s="203" t="n">
        <x:f>IFERROR(H3/(1+Anyag_Beallitasok!$B$2)*Anyag_Beallitasok!$B$9,"")</x:f>
        <x:v>1228.5714285714284</x:v>
      </x:c>
      <x:c r="X3" s="203" t="n">
        <x:f>IFERROR(V3/((1-Anyag_Beallitasok!$B$3)*(1+Anyag_Beallitasok!$B$2)),"")</x:f>
        <x:v>1606.5934065934064</x:v>
      </x:c>
      <x:c r="Y3" s="203" t="n">
        <x:f>IFERROR(V3/((1-Anyag_Beallitasok!$B$4)*(1+Anyag_Beallitasok!$B$2)),"")</x:f>
        <x:v>2088.5714285714284</x:v>
      </x:c>
      <x:c r="Z3" s="203" t="n">
        <x:f>IFERROR(ROUNDUP(MAX(W3,X3)/Anyag_Beallitasok!$B$6,0)*Anyag_Beallitasok!$B$6,"")</x:f>
        <x:v>1650</x:v>
      </x:c>
      <x:c r="AA3" s="204" t="n">
        <x:f>Anyag_Beallitasok!$B$2</x:f>
        <x:v>0.05</x:v>
      </x:c>
      <x:c r="AB3" s="203" t="n">
        <x:f>IFERROR(Z3*(1+AA3),"")</x:f>
        <x:v>1732.5</x:v>
      </x:c>
      <x:c r="AC3" s="204" t="n">
        <x:f>IFERROR(1-V3/H3,"")</x:f>
        <x:v>0.15000000000000002</x:v>
      </x:c>
      <x:c r="AD3" s="204" t="n">
        <x:f>IFERROR(1-V3/AB3,"")</x:f>
        <x:v>0.36709956709956715</x:v>
      </x:c>
      <x:c r="AE3" s="19" t="str">
        <x:f>IF(AC3&lt;Anyag_Beallitasok!$B$3,"NEM ÉRI EL A 35%-OT",IF(AC3&lt;Anyag_Beallitasok!$B$4,"MINIMUM 35–49,9%",IF(AC3&lt;Anyag_Beallitasok!$B$5,"IDEÁLIS 50–59,9%","KIEMELKEDŐ ≥60%")))</x:f>
        <x:v>NEM ÉRI EL A 35%-OT</x:v>
      </x:c>
      <x:c r="AF3" s="204" t="n">
        <x:f>IFERROR(AB3/H3-1,"")</x:f>
        <x:v>0.34302325581395343</x:v>
      </x:c>
      <x:c r="AG3" s="19" t="str">
        <x:f>IF(AND(P3="IGEN",O3&gt;0),IF(AF3&gt;Anyag_Beallitasok!$B$10,"0%-OS SZÁMLA + ÖNADÓZÁS; FELÁR SZÜKSÉGES","0%-OS SZÁMLA + ÖNADÓZÁS"),IF(AF3&gt;Anyag_Beallitasok!$B$10,"FELÁR SZÜKSÉGES A 35%-HOZ",IF(AC3&lt;Anyag_Beallitasok!$B$3,"PIACI ÁRON NEM TARTHATÓ A 35%","OK")))</x:f>
        <x:v>FELÁR SZÜKSÉGES A 35%-HOZ</x:v>
      </x:c>
      <x:c r="AH3" s="207" t="n">
        <x:v>0</x:v>
      </x:c>
      <x:c r="AI3" s="207" t="n">
        <x:v>0</x:v>
      </x:c>
      <x:c r="AJ3" s="207" t="n">
        <x:v>0</x:v>
      </x:c>
      <x:c r="AK3" s="208"/>
      <x:c r="AL3" s="203" t="str">
        <x:f>IF(AK3="","",V3*AK3)</x:f>
      </x:c>
      <x:c r="AM3" s="203" t="str">
        <x:f>IF(AK3="","",AB3*AK3)</x:f>
      </x:c>
      <x:c r="AN3" s="204" t="str">
        <x:f>IFERROR(1-AL3/AM3,"")</x:f>
      </x:c>
      <x:c r="AO3" s="19" t="str">
        <x:v>https://www.kontenercentrum.hu/mobil-wc-berles/</x:v>
      </x:c>
      <x:c r="AP3" s="19" t="str">
        <x:v>Közvetlen 2026 webár</x:v>
      </x:c>
      <x:c r="AQ3" s="19" t="str">
        <x:v>Alternatíva a normál mobil WC helyett.</x:v>
      </x:c>
    </x:row>
    <x:row r="4">
      <x:c r="A4" s="19" t="str">
        <x:v>ANY-0003</x:v>
      </x:c>
      <x:c r="B4" s="19" t="str">
        <x:v>01 Felvonulás</x:v>
      </x:c>
      <x:c r="C4" s="19" t="str">
        <x:v>Ideiglenes létesítmények</x:v>
      </x:c>
      <x:c r="D4" s="19" t="str">
        <x:v>Mindegyik</x:v>
      </x:c>
      <x:c r="E4" s="19" t="str">
        <x:v>Mobil kerítés bérleti díj</x:v>
      </x:c>
      <x:c r="F4" s="19" t="str">
        <x:v>2,0 m magas panel</x:v>
      </x:c>
      <x:c r="G4" s="19" t="str">
        <x:v>fm/hó</x:v>
      </x:c>
      <x:c r="H4" s="203" t="n">
        <x:v>1400</x:v>
      </x:c>
      <x:c r="I4" s="204" t="n">
        <x:v>0.27</x:v>
      </x:c>
      <x:c r="J4" s="203" t="n">
        <x:f>IFERROR(H4/(1+I4),"")</x:f>
        <x:v>1102.3622047244094</x:v>
      </x:c>
      <x:c r="K4" s="205" t="n">
        <x:v>0.15</x:v>
      </x:c>
      <x:c r="L4" s="203" t="n">
        <x:f>IFERROR(J4*(1-K4),"")</x:f>
        <x:v>937.0078740157479</x:v>
      </x:c>
      <x:c r="M4" s="19" t="str">
        <x:v>27% normál belföldi</x:v>
      </x:c>
      <x:c r="N4" s="204" t="n">
        <x:v>0.27</x:v>
      </x:c>
      <x:c r="O4" s="204" t="n">
        <x:v>0</x:v>
      </x:c>
      <x:c r="P4" s="19" t="str">
        <x:v>NEM</x:v>
      </x:c>
      <x:c r="Q4" s="203" t="n">
        <x:f>IFERROR(L4*(1+N4),"")</x:f>
        <x:v>1189.9999999999998</x:v>
      </x:c>
      <x:c r="R4" s="205" t="n">
        <x:v>0</x:v>
      </x:c>
      <x:c r="S4" s="203" t="n">
        <x:f>IFERROR(Q4*(1+R4),"")</x:f>
        <x:v>1189.9999999999998</x:v>
      </x:c>
      <x:c r="T4" s="206" t="n">
        <x:v>120</x:v>
      </x:c>
      <x:c r="U4" s="206" t="n">
        <x:v>0</x:v>
      </x:c>
      <x:c r="V4" s="203" t="n">
        <x:f>IFERROR(S4+T4+U4,"")</x:f>
        <x:v>1309.9999999999998</x:v>
      </x:c>
      <x:c r="W4" s="203" t="n">
        <x:f>IFERROR(H4/(1+Anyag_Beallitasok!$B$2)*Anyag_Beallitasok!$B$9,"")</x:f>
        <x:v>1333.3333333333333</x:v>
      </x:c>
      <x:c r="X4" s="203" t="n">
        <x:f>IFERROR(V4/((1-Anyag_Beallitasok!$B$3)*(1+Anyag_Beallitasok!$B$2)),"")</x:f>
        <x:v>1919.4139194139188</x:v>
      </x:c>
      <x:c r="Y4" s="203" t="n">
        <x:f>IFERROR(V4/((1-Anyag_Beallitasok!$B$4)*(1+Anyag_Beallitasok!$B$2)),"")</x:f>
        <x:v>2495.2380952380945</x:v>
      </x:c>
      <x:c r="Z4" s="203" t="n">
        <x:f>IFERROR(ROUNDUP(MAX(W4,X4)/Anyag_Beallitasok!$B$6,0)*Anyag_Beallitasok!$B$6,"")</x:f>
        <x:v>1950</x:v>
      </x:c>
      <x:c r="AA4" s="204" t="n">
        <x:f>Anyag_Beallitasok!$B$2</x:f>
        <x:v>0.05</x:v>
      </x:c>
      <x:c r="AB4" s="203" t="n">
        <x:f>IFERROR(Z4*(1+AA4),"")</x:f>
        <x:v>2047.5</x:v>
      </x:c>
      <x:c r="AC4" s="204" t="n">
        <x:f>IFERROR(1-V4/H4,"")</x:f>
        <x:v>0.0642857142857145</x:v>
      </x:c>
      <x:c r="AD4" s="204" t="n">
        <x:f>IFERROR(1-V4/AB4,"")</x:f>
        <x:v>0.36019536019536036</x:v>
      </x:c>
      <x:c r="AE4" s="19" t="str">
        <x:f>IF(AC4&lt;Anyag_Beallitasok!$B$3,"NEM ÉRI EL A 35%-OT",IF(AC4&lt;Anyag_Beallitasok!$B$4,"MINIMUM 35–49,9%",IF(AC4&lt;Anyag_Beallitasok!$B$5,"IDEÁLIS 50–59,9%","KIEMELKEDŐ ≥60%")))</x:f>
        <x:v>NEM ÉRI EL A 35%-OT</x:v>
      </x:c>
      <x:c r="AF4" s="204" t="n">
        <x:f>IFERROR(AB4/H4-1,"")</x:f>
        <x:v>0.4624999999999999</x:v>
      </x:c>
      <x:c r="AG4" s="19" t="str">
        <x:f>IF(AND(P4="IGEN",O4&gt;0),IF(AF4&gt;Anyag_Beallitasok!$B$10,"0%-OS SZÁMLA + ÖNADÓZÁS; FELÁR SZÜKSÉGES","0%-OS SZÁMLA + ÖNADÓZÁS"),IF(AF4&gt;Anyag_Beallitasok!$B$10,"FELÁR SZÜKSÉGES A 35%-HOZ",IF(AC4&lt;Anyag_Beallitasok!$B$3,"PIACI ÁRON NEM TARTHATÓ A 35%","OK")))</x:f>
        <x:v>FELÁR SZÜKSÉGES A 35%-HOZ</x:v>
      </x:c>
      <x:c r="AH4" s="207" t="n">
        <x:v>300</x:v>
      </x:c>
      <x:c r="AI4" s="207" t="n">
        <x:v>300</x:v>
      </x:c>
      <x:c r="AJ4" s="207" t="n">
        <x:v>300</x:v>
      </x:c>
      <x:c r="AK4" s="208"/>
      <x:c r="AL4" s="203" t="str">
        <x:f>IF(AK4="","",V4*AK4)</x:f>
      </x:c>
      <x:c r="AM4" s="203" t="str">
        <x:f>IF(AK4="","",AB4*AK4)</x:f>
      </x:c>
      <x:c r="AN4" s="204" t="str">
        <x:f>IFERROR(1-AL4/AM4,"")</x:f>
      </x:c>
      <x:c r="AO4" s="19" t="str">
        <x:v>https://www.gladiator-gepkolcsonzo.hu/</x:v>
      </x:c>
      <x:c r="AP4" s="19" t="str">
        <x:v>Mérnöki piaci becslés</x:v>
      </x:c>
      <x:c r="AQ4" s="19" t="str">
        <x:v>Telepítés/bontás munkadíja a munkadíjas ártükörben.</x:v>
      </x:c>
    </x:row>
    <x:row r="5">
      <x:c r="A5" s="19" t="str">
        <x:v>ANY-0004</x:v>
      </x:c>
      <x:c r="B5" s="19" t="str">
        <x:v>01 Felvonulás</x:v>
      </x:c>
      <x:c r="C5" s="19" t="str">
        <x:v>Ideiglenes létesítmények</x:v>
      </x:c>
      <x:c r="D5" s="19" t="str">
        <x:v>Mindegyik</x:v>
      </x:c>
      <x:c r="E5" s="19" t="str">
        <x:v>Ideiglenes villamos elosztószekrény bérlet</x:v>
      </x:c>
      <x:c r="F5" s="19" t="str">
        <x:v>ÁVK-val, mérő nélkül</x:v>
      </x:c>
      <x:c r="G5" s="19" t="str">
        <x:v>hó</x:v>
      </x:c>
      <x:c r="H5" s="203" t="n">
        <x:v>25000</x:v>
      </x:c>
      <x:c r="I5" s="204" t="n">
        <x:v>0.27</x:v>
      </x:c>
      <x:c r="J5" s="203" t="n">
        <x:f>IFERROR(H5/(1+I5),"")</x:f>
        <x:v>19685.03937007874</x:v>
      </x:c>
      <x:c r="K5" s="205" t="n">
        <x:v>0.15</x:v>
      </x:c>
      <x:c r="L5" s="203" t="n">
        <x:f>IFERROR(J5*(1-K5),"")</x:f>
        <x:v>16732.283464566928</x:v>
      </x:c>
      <x:c r="M5" s="19" t="str">
        <x:v>27% normál belföldi</x:v>
      </x:c>
      <x:c r="N5" s="204" t="n">
        <x:v>0.27</x:v>
      </x:c>
      <x:c r="O5" s="204" t="n">
        <x:v>0</x:v>
      </x:c>
      <x:c r="P5" s="19" t="str">
        <x:v>NEM</x:v>
      </x:c>
      <x:c r="Q5" s="203" t="n">
        <x:f>IFERROR(L5*(1+N5),"")</x:f>
        <x:v>21250</x:v>
      </x:c>
      <x:c r="R5" s="205" t="n">
        <x:v>0</x:v>
      </x:c>
      <x:c r="S5" s="203" t="n">
        <x:f>IFERROR(Q5*(1+R5),"")</x:f>
        <x:v>21250</x:v>
      </x:c>
      <x:c r="T5" s="206" t="n">
        <x:v>2500</x:v>
      </x:c>
      <x:c r="U5" s="206" t="n">
        <x:v>0</x:v>
      </x:c>
      <x:c r="V5" s="203" t="n">
        <x:f>IFERROR(S5+T5+U5,"")</x:f>
        <x:v>23750</x:v>
      </x:c>
      <x:c r="W5" s="203" t="n">
        <x:f>IFERROR(H5/(1+Anyag_Beallitasok!$B$2)*Anyag_Beallitasok!$B$9,"")</x:f>
        <x:v>23809.52380952381</x:v>
      </x:c>
      <x:c r="X5" s="203" t="n">
        <x:f>IFERROR(V5/((1-Anyag_Beallitasok!$B$3)*(1+Anyag_Beallitasok!$B$2)),"")</x:f>
        <x:v>34798.53479853479</x:v>
      </x:c>
      <x:c r="Y5" s="203" t="n">
        <x:f>IFERROR(V5/((1-Anyag_Beallitasok!$B$4)*(1+Anyag_Beallitasok!$B$2)),"")</x:f>
        <x:v>45238.09523809524</x:v>
      </x:c>
      <x:c r="Z5" s="203" t="n">
        <x:f>IFERROR(ROUNDUP(MAX(W5,X5)/Anyag_Beallitasok!$B$6,0)*Anyag_Beallitasok!$B$6,"")</x:f>
        <x:v>34800</x:v>
      </x:c>
      <x:c r="AA5" s="204" t="n">
        <x:f>Anyag_Beallitasok!$B$2</x:f>
        <x:v>0.05</x:v>
      </x:c>
      <x:c r="AB5" s="203" t="n">
        <x:f>IFERROR(Z5*(1+AA5),"")</x:f>
        <x:v>36540</x:v>
      </x:c>
      <x:c r="AC5" s="204" t="n">
        <x:f>IFERROR(1-V5/H5,"")</x:f>
        <x:v>0.050000000000000044</x:v>
      </x:c>
      <x:c r="AD5" s="204" t="n">
        <x:f>IFERROR(1-V5/AB5,"")</x:f>
        <x:v>0.3500273672687466</x:v>
      </x:c>
      <x:c r="AE5" s="19" t="str">
        <x:f>IF(AC5&lt;Anyag_Beallitasok!$B$3,"NEM ÉRI EL A 35%-OT",IF(AC5&lt;Anyag_Beallitasok!$B$4,"MINIMUM 35–49,9%",IF(AC5&lt;Anyag_Beallitasok!$B$5,"IDEÁLIS 50–59,9%","KIEMELKEDŐ ≥60%")))</x:f>
        <x:v>NEM ÉRI EL A 35%-OT</x:v>
      </x:c>
      <x:c r="AF5" s="204" t="n">
        <x:f>IFERROR(AB5/H5-1,"")</x:f>
        <x:v>0.4616</x:v>
      </x:c>
      <x:c r="AG5" s="19" t="str">
        <x:f>IF(AND(P5="IGEN",O5&gt;0),IF(AF5&gt;Anyag_Beallitasok!$B$10,"0%-OS SZÁMLA + ÖNADÓZÁS; FELÁR SZÜKSÉGES","0%-OS SZÁMLA + ÖNADÓZÁS"),IF(AF5&gt;Anyag_Beallitasok!$B$10,"FELÁR SZÜKSÉGES A 35%-HOZ",IF(AC5&lt;Anyag_Beallitasok!$B$3,"PIACI ÁRON NEM TARTHATÓ A 35%","OK")))</x:f>
        <x:v>FELÁR SZÜKSÉGES A 35%-HOZ</x:v>
      </x:c>
      <x:c r="AH5" s="207" t="n">
        <x:v>8</x:v>
      </x:c>
      <x:c r="AI5" s="207" t="n">
        <x:v>8</x:v>
      </x:c>
      <x:c r="AJ5" s="207" t="n">
        <x:v>8</x:v>
      </x:c>
      <x:c r="AK5" s="208"/>
      <x:c r="AL5" s="203" t="str">
        <x:f>IF(AK5="","",V5*AK5)</x:f>
      </x:c>
      <x:c r="AM5" s="203" t="str">
        <x:f>IF(AK5="","",AB5*AK5)</x:f>
      </x:c>
      <x:c r="AN5" s="204" t="str">
        <x:f>IFERROR(1-AL5/AM5,"")</x:f>
      </x:c>
      <x:c r="AO5" s="19" t="str">
        <x:v>https://www.gladiator-gepkolcsonzo.hu/</x:v>
      </x:c>
      <x:c r="AP5" s="19" t="str">
        <x:v>Mérnöki piaci becslés</x:v>
      </x:c>
      <x:c r="AQ5" s="19" t="str"/>
    </x:row>
    <x:row r="6">
      <x:c r="A6" s="19" t="str">
        <x:v>ANY-0005</x:v>
      </x:c>
      <x:c r="B6" s="19" t="str">
        <x:v>01 Felvonulás</x:v>
      </x:c>
      <x:c r="C6" s="19" t="str">
        <x:v>Ideiglenes létesítmények</x:v>
      </x:c>
      <x:c r="D6" s="19" t="str">
        <x:v>Mindegyik</x:v>
      </x:c>
      <x:c r="E6" s="19" t="str">
        <x:v>Építési konténer iroda/raktár bérlet</x:v>
      </x:c>
      <x:c r="F6" s="19" t="str">
        <x:v>10–20 láb</x:v>
      </x:c>
      <x:c r="G6" s="19" t="str">
        <x:v>hó</x:v>
      </x:c>
      <x:c r="H6" s="203" t="n">
        <x:v>65000</x:v>
      </x:c>
      <x:c r="I6" s="204" t="n">
        <x:v>0.27</x:v>
      </x:c>
      <x:c r="J6" s="203" t="n">
        <x:f>IFERROR(H6/(1+I6),"")</x:f>
        <x:v>51181.10236220472</x:v>
      </x:c>
      <x:c r="K6" s="205" t="n">
        <x:v>0.12</x:v>
      </x:c>
      <x:c r="L6" s="203" t="n">
        <x:f>IFERROR(J6*(1-K6),"")</x:f>
        <x:v>45039.370078740154</x:v>
      </x:c>
      <x:c r="M6" s="19" t="str">
        <x:v>27% normál belföldi</x:v>
      </x:c>
      <x:c r="N6" s="204" t="n">
        <x:v>0.27</x:v>
      </x:c>
      <x:c r="O6" s="204" t="n">
        <x:v>0</x:v>
      </x:c>
      <x:c r="P6" s="19" t="str">
        <x:v>NEM</x:v>
      </x:c>
      <x:c r="Q6" s="203" t="n">
        <x:f>IFERROR(L6*(1+N6),"")</x:f>
        <x:v>57199.99999999999</x:v>
      </x:c>
      <x:c r="R6" s="205" t="n">
        <x:v>0</x:v>
      </x:c>
      <x:c r="S6" s="203" t="n">
        <x:f>IFERROR(Q6*(1+R6),"")</x:f>
        <x:v>57199.99999999999</x:v>
      </x:c>
      <x:c r="T6" s="206" t="n">
        <x:v>10000</x:v>
      </x:c>
      <x:c r="U6" s="206" t="n">
        <x:v>0</x:v>
      </x:c>
      <x:c r="V6" s="203" t="n">
        <x:f>IFERROR(S6+T6+U6,"")</x:f>
        <x:v>67200</x:v>
      </x:c>
      <x:c r="W6" s="203" t="n">
        <x:f>IFERROR(H6/(1+Anyag_Beallitasok!$B$2)*Anyag_Beallitasok!$B$9,"")</x:f>
        <x:v>61904.7619047619</x:v>
      </x:c>
      <x:c r="X6" s="203" t="n">
        <x:f>IFERROR(V6/((1-Anyag_Beallitasok!$B$3)*(1+Anyag_Beallitasok!$B$2)),"")</x:f>
        <x:v>98461.53846153844</x:v>
      </x:c>
      <x:c r="Y6" s="203" t="n">
        <x:f>IFERROR(V6/((1-Anyag_Beallitasok!$B$4)*(1+Anyag_Beallitasok!$B$2)),"")</x:f>
        <x:v>128000</x:v>
      </x:c>
      <x:c r="Z6" s="203" t="n">
        <x:f>IFERROR(ROUNDUP(MAX(W6,X6)/Anyag_Beallitasok!$B$6,0)*Anyag_Beallitasok!$B$6,"")</x:f>
        <x:v>98500</x:v>
      </x:c>
      <x:c r="AA6" s="204" t="n">
        <x:f>Anyag_Beallitasok!$B$2</x:f>
        <x:v>0.05</x:v>
      </x:c>
      <x:c r="AB6" s="203" t="n">
        <x:f>IFERROR(Z6*(1+AA6),"")</x:f>
        <x:v>103425</x:v>
      </x:c>
      <x:c r="AC6" s="204" t="n">
        <x:f>IFERROR(1-V6/H6,"")</x:f>
        <x:v>-0.03384615384615386</x:v>
      </x:c>
      <x:c r="AD6" s="204" t="n">
        <x:f>IFERROR(1-V6/AB6,"")</x:f>
        <x:v>0.35025380710659904</x:v>
      </x:c>
      <x:c r="AE6" s="19" t="str">
        <x:f>IF(AC6&lt;Anyag_Beallitasok!$B$3,"NEM ÉRI EL A 35%-OT",IF(AC6&lt;Anyag_Beallitasok!$B$4,"MINIMUM 35–49,9%",IF(AC6&lt;Anyag_Beallitasok!$B$5,"IDEÁLIS 50–59,9%","KIEMELKEDŐ ≥60%")))</x:f>
        <x:v>NEM ÉRI EL A 35%-OT</x:v>
      </x:c>
      <x:c r="AF6" s="204" t="n">
        <x:f>IFERROR(AB6/H6-1,"")</x:f>
        <x:v>0.5911538461538461</x:v>
      </x:c>
      <x:c r="AG6" s="19" t="str">
        <x:f>IF(AND(P6="IGEN",O6&gt;0),IF(AF6&gt;Anyag_Beallitasok!$B$10,"0%-OS SZÁMLA + ÖNADÓZÁS; FELÁR SZÜKSÉGES","0%-OS SZÁMLA + ÖNADÓZÁS"),IF(AF6&gt;Anyag_Beallitasok!$B$10,"FELÁR SZÜKSÉGES A 35%-HOZ",IF(AC6&lt;Anyag_Beallitasok!$B$3,"PIACI ÁRON NEM TARTHATÓ A 35%","OK")))</x:f>
        <x:v>FELÁR SZÜKSÉGES A 35%-HOZ</x:v>
      </x:c>
      <x:c r="AH6" s="207" t="n">
        <x:v>8</x:v>
      </x:c>
      <x:c r="AI6" s="207" t="n">
        <x:v>8</x:v>
      </x:c>
      <x:c r="AJ6" s="207" t="n">
        <x:v>8</x:v>
      </x:c>
      <x:c r="AK6" s="208"/>
      <x:c r="AL6" s="203" t="str">
        <x:f>IF(AK6="","",V6*AK6)</x:f>
      </x:c>
      <x:c r="AM6" s="203" t="str">
        <x:f>IF(AK6="","",AB6*AK6)</x:f>
      </x:c>
      <x:c r="AN6" s="204" t="str">
        <x:f>IFERROR(1-AL6/AM6,"")</x:f>
      </x:c>
      <x:c r="AO6" s="19" t="str">
        <x:v>https://www.gladiator-gepkolcsonzo.hu/</x:v>
      </x:c>
      <x:c r="AP6" s="19" t="str">
        <x:v>Mérnöki piaci becslés</x:v>
      </x:c>
      <x:c r="AQ6" s="19" t="str">
        <x:v>Daruval telepítés külön.</x:v>
      </x:c>
    </x:row>
    <x:row r="7">
      <x:c r="A7" s="19" t="str">
        <x:v>ANY-0006</x:v>
      </x:c>
      <x:c r="B7" s="19" t="str">
        <x:v>01 Felvonulás</x:v>
      </x:c>
      <x:c r="C7" s="19" t="str">
        <x:v>Ideiglenes létesítmények</x:v>
      </x:c>
      <x:c r="D7" s="19" t="str">
        <x:v>Mindegyik</x:v>
      </x:c>
      <x:c r="E7" s="19" t="str">
        <x:v>Védőháló építési állványra</x:v>
      </x:c>
      <x:c r="F7" s="19" t="str">
        <x:v>sűrű szövésű</x:v>
      </x:c>
      <x:c r="G7" s="19" t="str">
        <x:v>m²</x:v>
      </x:c>
      <x:c r="H7" s="203" t="n">
        <x:v>420</x:v>
      </x:c>
      <x:c r="I7" s="204" t="n">
        <x:v>0.27</x:v>
      </x:c>
      <x:c r="J7" s="203" t="n">
        <x:f>IFERROR(H7/(1+I7),"")</x:f>
        <x:v>330.70866141732284</x:v>
      </x:c>
      <x:c r="K7" s="205" t="n">
        <x:v>0.15</x:v>
      </x:c>
      <x:c r="L7" s="203" t="n">
        <x:f>IFERROR(J7*(1-K7),"")</x:f>
        <x:v>281.1023622047244</x:v>
      </x:c>
      <x:c r="M7" s="19" t="str">
        <x:v>27% normál belföldi</x:v>
      </x:c>
      <x:c r="N7" s="204" t="n">
        <x:v>0.27</x:v>
      </x:c>
      <x:c r="O7" s="204" t="n">
        <x:v>0</x:v>
      </x:c>
      <x:c r="P7" s="19" t="str">
        <x:v>NEM</x:v>
      </x:c>
      <x:c r="Q7" s="203" t="n">
        <x:f>IFERROR(L7*(1+N7),"")</x:f>
        <x:v>357</x:v>
      </x:c>
      <x:c r="R7" s="205" t="n">
        <x:v>0.05</x:v>
      </x:c>
      <x:c r="S7" s="203" t="n">
        <x:f>IFERROR(Q7*(1+R7),"")</x:f>
        <x:v>374.85</x:v>
      </x:c>
      <x:c r="T7" s="206" t="n">
        <x:v>20</x:v>
      </x:c>
      <x:c r="U7" s="206" t="n">
        <x:v>0</x:v>
      </x:c>
      <x:c r="V7" s="203" t="n">
        <x:f>IFERROR(S7+T7+U7,"")</x:f>
        <x:v>394.85</x:v>
      </x:c>
      <x:c r="W7" s="203" t="n">
        <x:f>IFERROR(H7/(1+Anyag_Beallitasok!$B$2)*Anyag_Beallitasok!$B$9,"")</x:f>
        <x:v>400</x:v>
      </x:c>
      <x:c r="X7" s="203" t="n">
        <x:f>IFERROR(V7/((1-Anyag_Beallitasok!$B$3)*(1+Anyag_Beallitasok!$B$2)),"")</x:f>
        <x:v>578.5347985347985</x:v>
      </x:c>
      <x:c r="Y7" s="203" t="n">
        <x:f>IFERROR(V7/((1-Anyag_Beallitasok!$B$4)*(1+Anyag_Beallitasok!$B$2)),"")</x:f>
        <x:v>752.0952380952381</x:v>
      </x:c>
      <x:c r="Z7" s="203" t="n">
        <x:f>IFERROR(ROUNDUP(MAX(W7,X7)/Anyag_Beallitasok!$B$6,0)*Anyag_Beallitasok!$B$6,"")</x:f>
        <x:v>600</x:v>
      </x:c>
      <x:c r="AA7" s="204" t="n">
        <x:f>Anyag_Beallitasok!$B$2</x:f>
        <x:v>0.05</x:v>
      </x:c>
      <x:c r="AB7" s="203" t="n">
        <x:f>IFERROR(Z7*(1+AA7),"")</x:f>
        <x:v>630</x:v>
      </x:c>
      <x:c r="AC7" s="204" t="n">
        <x:f>IFERROR(1-V7/H7,"")</x:f>
        <x:v>0.05988095238095237</x:v>
      </x:c>
      <x:c r="AD7" s="204" t="n">
        <x:f>IFERROR(1-V7/AB7,"")</x:f>
        <x:v>0.37325396825396817</x:v>
      </x:c>
      <x:c r="AE7" s="19" t="str">
        <x:f>IF(AC7&lt;Anyag_Beallitasok!$B$3,"NEM ÉRI EL A 35%-OT",IF(AC7&lt;Anyag_Beallitasok!$B$4,"MINIMUM 35–49,9%",IF(AC7&lt;Anyag_Beallitasok!$B$5,"IDEÁLIS 50–59,9%","KIEMELKEDŐ ≥60%")))</x:f>
        <x:v>NEM ÉRI EL A 35%-OT</x:v>
      </x:c>
      <x:c r="AF7" s="204" t="n">
        <x:f>IFERROR(AB7/H7-1,"")</x:f>
        <x:v>0.5</x:v>
      </x:c>
      <x:c r="AG7" s="19" t="str">
        <x:f>IF(AND(P7="IGEN",O7&gt;0),IF(AF7&gt;Anyag_Beallitasok!$B$10,"0%-OS SZÁMLA + ÖNADÓZÁS; FELÁR SZÜKSÉGES","0%-OS SZÁMLA + ÖNADÓZÁS"),IF(AF7&gt;Anyag_Beallitasok!$B$10,"FELÁR SZÜKSÉGES A 35%-HOZ",IF(AC7&lt;Anyag_Beallitasok!$B$3,"PIACI ÁRON NEM TARTHATÓ A 35%","OK")))</x:f>
        <x:v>FELÁR SZÜKSÉGES A 35%-HOZ</x:v>
      </x:c>
      <x:c r="AH7" s="207" t="n">
        <x:v>220</x:v>
      </x:c>
      <x:c r="AI7" s="207" t="n">
        <x:v>220</x:v>
      </x:c>
      <x:c r="AJ7" s="207" t="n">
        <x:v>220</x:v>
      </x:c>
      <x:c r="AK7" s="208"/>
      <x:c r="AL7" s="203" t="str">
        <x:f>IF(AK7="","",V7*AK7)</x:f>
      </x:c>
      <x:c r="AM7" s="203" t="str">
        <x:f>IF(AK7="","",AB7*AK7)</x:f>
      </x:c>
      <x:c r="AN7" s="204" t="str">
        <x:f>IFERROR(1-AL7/AM7,"")</x:f>
      </x:c>
      <x:c r="AO7" s="19" t="str">
        <x:v>https://allvanyaruhaz.hu/allvany-berles-ar-mennyibe-kerul-es-mitol-fugg-a-vegosszeg-2026-ban</x:v>
      </x:c>
      <x:c r="AP7" s="19" t="str">
        <x:v>Mérnöki piaci becslés</x:v>
      </x:c>
      <x:c r="AQ7" s="19" t="str"/>
    </x:row>
    <x:row r="8">
      <x:c r="A8" s="19" t="str">
        <x:v>ANY-0007</x:v>
      </x:c>
      <x:c r="B8" s="19" t="str">
        <x:v>01 Felvonulás</x:v>
      </x:c>
      <x:c r="C8" s="19" t="str">
        <x:v>Ideiglenes létesítmények</x:v>
      </x:c>
      <x:c r="D8" s="19" t="str">
        <x:v>Mindegyik</x:v>
      </x:c>
      <x:c r="E8" s="19" t="str">
        <x:v>Takarófólia vastag</x:v>
      </x:c>
      <x:c r="F8" s="19" t="str">
        <x:v>0,1–0,2 mm</x:v>
      </x:c>
      <x:c r="G8" s="19" t="str">
        <x:v>m²</x:v>
      </x:c>
      <x:c r="H8" s="203" t="n">
        <x:v>180</x:v>
      </x:c>
      <x:c r="I8" s="204" t="n">
        <x:v>0.27</x:v>
      </x:c>
      <x:c r="J8" s="203" t="n">
        <x:f>IFERROR(H8/(1+I8),"")</x:f>
        <x:v>141.73228346456693</x:v>
      </x:c>
      <x:c r="K8" s="205" t="n">
        <x:v>0.15</x:v>
      </x:c>
      <x:c r="L8" s="203" t="n">
        <x:f>IFERROR(J8*(1-K8),"")</x:f>
        <x:v>120.4724409448819</x:v>
      </x:c>
      <x:c r="M8" s="19" t="str">
        <x:v>27% normál belföldi</x:v>
      </x:c>
      <x:c r="N8" s="204" t="n">
        <x:v>0.27</x:v>
      </x:c>
      <x:c r="O8" s="204" t="n">
        <x:v>0</x:v>
      </x:c>
      <x:c r="P8" s="19" t="str">
        <x:v>NEM</x:v>
      </x:c>
      <x:c r="Q8" s="203" t="n">
        <x:f>IFERROR(L8*(1+N8),"")</x:f>
        <x:v>153</x:v>
      </x:c>
      <x:c r="R8" s="205" t="n">
        <x:v>0.15</x:v>
      </x:c>
      <x:c r="S8" s="203" t="n">
        <x:f>IFERROR(Q8*(1+R8),"")</x:f>
        <x:v>175.95</x:v>
      </x:c>
      <x:c r="T8" s="206" t="n">
        <x:v>15</x:v>
      </x:c>
      <x:c r="U8" s="206" t="n">
        <x:v>0</x:v>
      </x:c>
      <x:c r="V8" s="203" t="n">
        <x:f>IFERROR(S8+T8+U8,"")</x:f>
        <x:v>190.95</x:v>
      </x:c>
      <x:c r="W8" s="203" t="n">
        <x:f>IFERROR(H8/(1+Anyag_Beallitasok!$B$2)*Anyag_Beallitasok!$B$9,"")</x:f>
        <x:v>171.42857142857142</x:v>
      </x:c>
      <x:c r="X8" s="203" t="n">
        <x:f>IFERROR(V8/((1-Anyag_Beallitasok!$B$3)*(1+Anyag_Beallitasok!$B$2)),"")</x:f>
        <x:v>279.78021978021974</x:v>
      </x:c>
      <x:c r="Y8" s="203" t="n">
        <x:f>IFERROR(V8/((1-Anyag_Beallitasok!$B$4)*(1+Anyag_Beallitasok!$B$2)),"")</x:f>
        <x:v>363.71428571428567</x:v>
      </x:c>
      <x:c r="Z8" s="203" t="n">
        <x:f>IFERROR(ROUNDUP(MAX(W8,X8)/Anyag_Beallitasok!$B$6,0)*Anyag_Beallitasok!$B$6,"")</x:f>
        <x:v>300</x:v>
      </x:c>
      <x:c r="AA8" s="204" t="n">
        <x:f>Anyag_Beallitasok!$B$2</x:f>
        <x:v>0.05</x:v>
      </x:c>
      <x:c r="AB8" s="203" t="n">
        <x:f>IFERROR(Z8*(1+AA8),"")</x:f>
        <x:v>315</x:v>
      </x:c>
      <x:c r="AC8" s="204" t="n">
        <x:f>IFERROR(1-V8/H8,"")</x:f>
        <x:v>-0.060833333333333295</x:v>
      </x:c>
      <x:c r="AD8" s="204" t="n">
        <x:f>IFERROR(1-V8/AB8,"")</x:f>
        <x:v>0.39380952380952383</x:v>
      </x:c>
      <x:c r="AE8" s="19" t="str">
        <x:f>IF(AC8&lt;Anyag_Beallitasok!$B$3,"NEM ÉRI EL A 35%-OT",IF(AC8&lt;Anyag_Beallitasok!$B$4,"MINIMUM 35–49,9%",IF(AC8&lt;Anyag_Beallitasok!$B$5,"IDEÁLIS 50–59,9%","KIEMELKEDŐ ≥60%")))</x:f>
        <x:v>NEM ÉRI EL A 35%-OT</x:v>
      </x:c>
      <x:c r="AF8" s="204" t="n">
        <x:f>IFERROR(AB8/H8-1,"")</x:f>
        <x:v>0.75</x:v>
      </x:c>
      <x:c r="AG8" s="19" t="str">
        <x:f>IF(AND(P8="IGEN",O8&gt;0),IF(AF8&gt;Anyag_Beallitasok!$B$10,"0%-OS SZÁMLA + ÖNADÓZÁS; FELÁR SZÜKSÉGES","0%-OS SZÁMLA + ÖNADÓZÁS"),IF(AF8&gt;Anyag_Beallitasok!$B$10,"FELÁR SZÜKSÉGES A 35%-HOZ",IF(AC8&lt;Anyag_Beallitasok!$B$3,"PIACI ÁRON NEM TARTHATÓ A 35%","OK")))</x:f>
        <x:v>FELÁR SZÜKSÉGES A 35%-HOZ</x:v>
      </x:c>
      <x:c r="AH8" s="207" t="n">
        <x:v>500</x:v>
      </x:c>
      <x:c r="AI8" s="207" t="n">
        <x:v>500</x:v>
      </x:c>
      <x:c r="AJ8" s="207" t="n">
        <x:v>500</x:v>
      </x:c>
      <x:c r="AK8" s="208"/>
      <x:c r="AL8" s="203" t="str">
        <x:f>IF(AK8="","",V8*AK8)</x:f>
      </x:c>
      <x:c r="AM8" s="203" t="str">
        <x:f>IF(AK8="","",AB8*AK8)</x:f>
      </x:c>
      <x:c r="AN8" s="204" t="str">
        <x:f>IFERROR(1-AL8/AM8,"")</x:f>
      </x:c>
      <x:c r="AO8" s="19" t="str">
        <x:v>https://www.winklertuzep.hu/arlista-web/Sz%C3%A1raz%C3%A9p%C3%ADt%C3%A9s</x:v>
      </x:c>
      <x:c r="AP8" s="19" t="str">
        <x:v>Mérnöki piaci becslés</x:v>
      </x:c>
      <x:c r="AQ8" s="19" t="str"/>
    </x:row>
    <x:row r="9">
      <x:c r="A9" s="19" t="str">
        <x:v>ANY-0008</x:v>
      </x:c>
      <x:c r="B9" s="19" t="str">
        <x:v>01 Felvonulás</x:v>
      </x:c>
      <x:c r="C9" s="19" t="str">
        <x:v>Ideiglenes létesítmények</x:v>
      </x:c>
      <x:c r="D9" s="19" t="str">
        <x:v>Mindegyik</x:v>
      </x:c>
      <x:c r="E9" s="19" t="str">
        <x:v>Építési jelzőszalag</x:v>
      </x:c>
      <x:c r="F9" s="19" t="str">
        <x:v>500 m tekercsre vetítve</x:v>
      </x:c>
      <x:c r="G9" s="19" t="str">
        <x:v>fm</x:v>
      </x:c>
      <x:c r="H9" s="203" t="n">
        <x:v>25</x:v>
      </x:c>
      <x:c r="I9" s="204" t="n">
        <x:v>0.27</x:v>
      </x:c>
      <x:c r="J9" s="203" t="n">
        <x:f>IFERROR(H9/(1+I9),"")</x:f>
        <x:v>19.68503937007874</x:v>
      </x:c>
      <x:c r="K9" s="205" t="n">
        <x:v>0.1</x:v>
      </x:c>
      <x:c r="L9" s="203" t="n">
        <x:f>IFERROR(J9*(1-K9),"")</x:f>
        <x:v>17.716535433070867</x:v>
      </x:c>
      <x:c r="M9" s="19" t="str">
        <x:v>27% normál belföldi</x:v>
      </x:c>
      <x:c r="N9" s="204" t="n">
        <x:v>0.27</x:v>
      </x:c>
      <x:c r="O9" s="204" t="n">
        <x:v>0</x:v>
      </x:c>
      <x:c r="P9" s="19" t="str">
        <x:v>NEM</x:v>
      </x:c>
      <x:c r="Q9" s="203" t="n">
        <x:f>IFERROR(L9*(1+N9),"")</x:f>
        <x:v>22.5</x:v>
      </x:c>
      <x:c r="R9" s="205" t="n">
        <x:v>0.1</x:v>
      </x:c>
      <x:c r="S9" s="203" t="n">
        <x:f>IFERROR(Q9*(1+R9),"")</x:f>
        <x:v>24.750000000000004</x:v>
      </x:c>
      <x:c r="T9" s="206" t="n">
        <x:v>2</x:v>
      </x:c>
      <x:c r="U9" s="206" t="n">
        <x:v>0</x:v>
      </x:c>
      <x:c r="V9" s="203" t="n">
        <x:f>IFERROR(S9+T9+U9,"")</x:f>
        <x:v>26.750000000000004</x:v>
      </x:c>
      <x:c r="W9" s="203" t="n">
        <x:f>IFERROR(H9/(1+Anyag_Beallitasok!$B$2)*Anyag_Beallitasok!$B$9,"")</x:f>
        <x:v>23.80952380952381</x:v>
      </x:c>
      <x:c r="X9" s="203" t="n">
        <x:f>IFERROR(V9/((1-Anyag_Beallitasok!$B$3)*(1+Anyag_Beallitasok!$B$2)),"")</x:f>
        <x:v>39.19413919413919</x:v>
      </x:c>
      <x:c r="Y9" s="203" t="n">
        <x:f>IFERROR(V9/((1-Anyag_Beallitasok!$B$4)*(1+Anyag_Beallitasok!$B$2)),"")</x:f>
        <x:v>50.952380952380956</x:v>
      </x:c>
      <x:c r="Z9" s="203" t="n">
        <x:f>IFERROR(ROUNDUP(MAX(W9,X9)/Anyag_Beallitasok!$B$6,0)*Anyag_Beallitasok!$B$6,"")</x:f>
        <x:v>50</x:v>
      </x:c>
      <x:c r="AA9" s="204" t="n">
        <x:f>Anyag_Beallitasok!$B$2</x:f>
        <x:v>0.05</x:v>
      </x:c>
      <x:c r="AB9" s="203" t="n">
        <x:f>IFERROR(Z9*(1+AA9),"")</x:f>
        <x:v>52.5</x:v>
      </x:c>
      <x:c r="AC9" s="204" t="n">
        <x:f>IFERROR(1-V9/H9,"")</x:f>
        <x:v>-0.07000000000000006</x:v>
      </x:c>
      <x:c r="AD9" s="204" t="n">
        <x:f>IFERROR(1-V9/AB9,"")</x:f>
        <x:v>0.4904761904761904</x:v>
      </x:c>
      <x:c r="AE9" s="19" t="str">
        <x:f>IF(AC9&lt;Anyag_Beallitasok!$B$3,"NEM ÉRI EL A 35%-OT",IF(AC9&lt;Anyag_Beallitasok!$B$4,"MINIMUM 35–49,9%",IF(AC9&lt;Anyag_Beallitasok!$B$5,"IDEÁLIS 50–59,9%","KIEMELKEDŐ ≥60%")))</x:f>
        <x:v>NEM ÉRI EL A 35%-OT</x:v>
      </x:c>
      <x:c r="AF9" s="204" t="n">
        <x:f>IFERROR(AB9/H9-1,"")</x:f>
        <x:v>1.1</x:v>
      </x:c>
      <x:c r="AG9" s="19" t="str">
        <x:f>IF(AND(P9="IGEN",O9&gt;0),IF(AF9&gt;Anyag_Beallitasok!$B$10,"0%-OS SZÁMLA + ÖNADÓZÁS; FELÁR SZÜKSÉGES","0%-OS SZÁMLA + ÖNADÓZÁS"),IF(AF9&gt;Anyag_Beallitasok!$B$10,"FELÁR SZÜKSÉGES A 35%-HOZ",IF(AC9&lt;Anyag_Beallitasok!$B$3,"PIACI ÁRON NEM TARTHATÓ A 35%","OK")))</x:f>
        <x:v>FELÁR SZÜKSÉGES A 35%-HOZ</x:v>
      </x:c>
      <x:c r="AH9" s="207" t="n">
        <x:v>300</x:v>
      </x:c>
      <x:c r="AI9" s="207" t="n">
        <x:v>300</x:v>
      </x:c>
      <x:c r="AJ9" s="207" t="n">
        <x:v>300</x:v>
      </x:c>
      <x:c r="AK9" s="208"/>
      <x:c r="AL9" s="203" t="str">
        <x:f>IF(AK9="","",V9*AK9)</x:f>
      </x:c>
      <x:c r="AM9" s="203" t="str">
        <x:f>IF(AK9="","",AB9*AK9)</x:f>
      </x:c>
      <x:c r="AN9" s="204" t="str">
        <x:f>IFERROR(1-AL9/AM9,"")</x:f>
      </x:c>
      <x:c r="AO9" s="19" t="str">
        <x:v>https://www.gladiator-gepkolcsonzo.hu/</x:v>
      </x:c>
      <x:c r="AP9" s="19" t="str">
        <x:v>Mérnöki piaci becslés</x:v>
      </x:c>
      <x:c r="AQ9" s="19" t="str"/>
    </x:row>
    <x:row r="10">
      <x:c r="A10" s="19" t="str">
        <x:v>ANY-0009</x:v>
      </x:c>
      <x:c r="B10" s="19" t="str">
        <x:v>02 Földmunka</x:v>
      </x:c>
      <x:c r="C10" s="19" t="str">
        <x:v>Ömlesztett és drénanyagok</x:v>
      </x:c>
      <x:c r="D10" s="19" t="str">
        <x:v>Mindegyik</x:v>
      </x:c>
      <x:c r="E10" s="19" t="str">
        <x:v>Mosott homok 0/4</x:v>
      </x:c>
      <x:c r="F10" s="19" t="str">
        <x:v>ömlesztett</x:v>
      </x:c>
      <x:c r="G10" s="19" t="str">
        <x:v>t</x:v>
      </x:c>
      <x:c r="H10" s="203" t="n">
        <x:v>14605</x:v>
      </x:c>
      <x:c r="I10" s="204" t="n">
        <x:v>0.27</x:v>
      </x:c>
      <x:c r="J10" s="203" t="n">
        <x:f>IFERROR(H10/(1+I10),"")</x:f>
        <x:v>11500</x:v>
      </x:c>
      <x:c r="K10" s="205" t="n">
        <x:v>0.08</x:v>
      </x:c>
      <x:c r="L10" s="203" t="n">
        <x:f>IFERROR(J10*(1-K10),"")</x:f>
        <x:v>10580</x:v>
      </x:c>
      <x:c r="M10" s="19" t="str">
        <x:v>27% normál belföldi</x:v>
      </x:c>
      <x:c r="N10" s="204" t="n">
        <x:v>0.27</x:v>
      </x:c>
      <x:c r="O10" s="204" t="n">
        <x:v>0</x:v>
      </x:c>
      <x:c r="P10" s="19" t="str">
        <x:v>NEM</x:v>
      </x:c>
      <x:c r="Q10" s="203" t="n">
        <x:f>IFERROR(L10*(1+N10),"")</x:f>
        <x:v>13436.6</x:v>
      </x:c>
      <x:c r="R10" s="205" t="n">
        <x:v>0.05</x:v>
      </x:c>
      <x:c r="S10" s="203" t="n">
        <x:f>IFERROR(Q10*(1+R10),"")</x:f>
        <x:v>14108.43</x:v>
      </x:c>
      <x:c r="T10" s="206" t="n">
        <x:v>4500</x:v>
      </x:c>
      <x:c r="U10" s="206" t="n">
        <x:v>0</x:v>
      </x:c>
      <x:c r="V10" s="203" t="n">
        <x:f>IFERROR(S10+T10+U10,"")</x:f>
        <x:v>18608.43</x:v>
      </x:c>
      <x:c r="W10" s="203" t="n">
        <x:f>IFERROR(H10/(1+Anyag_Beallitasok!$B$2)*Anyag_Beallitasok!$B$9,"")</x:f>
        <x:v>13909.52380952381</x:v>
      </x:c>
      <x:c r="X10" s="203" t="n">
        <x:f>IFERROR(V10/((1-Anyag_Beallitasok!$B$3)*(1+Anyag_Beallitasok!$B$2)),"")</x:f>
        <x:v>27265.098901098896</x:v>
      </x:c>
      <x:c r="Y10" s="203" t="n">
        <x:f>IFERROR(V10/((1-Anyag_Beallitasok!$B$4)*(1+Anyag_Beallitasok!$B$2)),"")</x:f>
        <x:v>35444.62857142857</x:v>
      </x:c>
      <x:c r="Z10" s="203" t="n">
        <x:f>IFERROR(ROUNDUP(MAX(W10,X10)/Anyag_Beallitasok!$B$6,0)*Anyag_Beallitasok!$B$6,"")</x:f>
        <x:v>27300</x:v>
      </x:c>
      <x:c r="AA10" s="204" t="n">
        <x:f>Anyag_Beallitasok!$B$2</x:f>
        <x:v>0.05</x:v>
      </x:c>
      <x:c r="AB10" s="203" t="n">
        <x:f>IFERROR(Z10*(1+AA10),"")</x:f>
        <x:v>28665</x:v>
      </x:c>
      <x:c r="AC10" s="204" t="n">
        <x:f>IFERROR(1-V10/H10,"")</x:f>
        <x:v>-0.2741136597055802</x:v>
      </x:c>
      <x:c r="AD10" s="204" t="n">
        <x:f>IFERROR(1-V10/AB10,"")</x:f>
        <x:v>0.35083097854526424</x:v>
      </x:c>
      <x:c r="AE10" s="19" t="str">
        <x:f>IF(AC10&lt;Anyag_Beallitasok!$B$3,"NEM ÉRI EL A 35%-OT",IF(AC10&lt;Anyag_Beallitasok!$B$4,"MINIMUM 35–49,9%",IF(AC10&lt;Anyag_Beallitasok!$B$5,"IDEÁLIS 50–59,9%","KIEMELKEDŐ ≥60%")))</x:f>
        <x:v>NEM ÉRI EL A 35%-OT</x:v>
      </x:c>
      <x:c r="AF10" s="204" t="n">
        <x:f>IFERROR(AB10/H10-1,"")</x:f>
        <x:v>0.9626840123245464</x:v>
      </x:c>
      <x:c r="AG10" s="19" t="str">
        <x:f>IF(AND(P10="IGEN",O10&gt;0),IF(AF10&gt;Anyag_Beallitasok!$B$10,"0%-OS SZÁMLA + ÖNADÓZÁS; FELÁR SZÜKSÉGES","0%-OS SZÁMLA + ÖNADÓZÁS"),IF(AF10&gt;Anyag_Beallitasok!$B$10,"FELÁR SZÜKSÉGES A 35%-HOZ",IF(AC10&lt;Anyag_Beallitasok!$B$3,"PIACI ÁRON NEM TARTHATÓ A 35%","OK")))</x:f>
        <x:v>FELÁR SZÜKSÉGES A 35%-HOZ</x:v>
      </x:c>
      <x:c r="AH10" s="207" t="n">
        <x:v>20</x:v>
      </x:c>
      <x:c r="AI10" s="207" t="n">
        <x:v>20</x:v>
      </x:c>
      <x:c r="AJ10" s="207" t="n">
        <x:v>20</x:v>
      </x:c>
      <x:c r="AK10" s="208"/>
      <x:c r="AL10" s="203" t="str">
        <x:f>IF(AK10="","",V10*AK10)</x:f>
      </x:c>
      <x:c r="AM10" s="203" t="str">
        <x:f>IF(AK10="","",AB10*AK10)</x:f>
      </x:c>
      <x:c r="AN10" s="204" t="str">
        <x:f>IFERROR(1-AL10/AM10,"")</x:f>
      </x:c>
      <x:c r="AO10" s="19" t="str">
        <x:v>https://www.betonpartner.hu/www.betonpartner.hu/documents/Budapest_Transzportbeton_arlista_2026_gOX48.pdf</x:v>
      </x:c>
      <x:c r="AP10" s="19" t="str">
        <x:v>Közvetlen 2026 árlista / kavicstermék</x:v>
      </x:c>
      <x:c r="AQ10" s="19" t="str"/>
    </x:row>
    <x:row r="11">
      <x:c r="A11" s="19" t="str">
        <x:v>ANY-0010</x:v>
      </x:c>
      <x:c r="B11" s="19" t="str">
        <x:v>02 Földmunka</x:v>
      </x:c>
      <x:c r="C11" s="19" t="str">
        <x:v>Ömlesztett és drénanyagok</x:v>
      </x:c>
      <x:c r="D11" s="19" t="str">
        <x:v>Mindegyik</x:v>
      </x:c>
      <x:c r="E11" s="19" t="str">
        <x:v>Kavics 0/4</x:v>
      </x:c>
      <x:c r="F11" s="19" t="str">
        <x:v>ömlesztett</x:v>
      </x:c>
      <x:c r="G11" s="19" t="str">
        <x:v>t</x:v>
      </x:c>
      <x:c r="H11" s="203" t="n">
        <x:v>14605</x:v>
      </x:c>
      <x:c r="I11" s="204" t="n">
        <x:v>0.27</x:v>
      </x:c>
      <x:c r="J11" s="203" t="n">
        <x:f>IFERROR(H11/(1+I11),"")</x:f>
        <x:v>11500</x:v>
      </x:c>
      <x:c r="K11" s="205" t="n">
        <x:v>0.08</x:v>
      </x:c>
      <x:c r="L11" s="203" t="n">
        <x:f>IFERROR(J11*(1-K11),"")</x:f>
        <x:v>10580</x:v>
      </x:c>
      <x:c r="M11" s="19" t="str">
        <x:v>27% normál belföldi</x:v>
      </x:c>
      <x:c r="N11" s="204" t="n">
        <x:v>0.27</x:v>
      </x:c>
      <x:c r="O11" s="204" t="n">
        <x:v>0</x:v>
      </x:c>
      <x:c r="P11" s="19" t="str">
        <x:v>NEM</x:v>
      </x:c>
      <x:c r="Q11" s="203" t="n">
        <x:f>IFERROR(L11*(1+N11),"")</x:f>
        <x:v>13436.6</x:v>
      </x:c>
      <x:c r="R11" s="205" t="n">
        <x:v>0.05</x:v>
      </x:c>
      <x:c r="S11" s="203" t="n">
        <x:f>IFERROR(Q11*(1+R11),"")</x:f>
        <x:v>14108.43</x:v>
      </x:c>
      <x:c r="T11" s="206" t="n">
        <x:v>4500</x:v>
      </x:c>
      <x:c r="U11" s="206" t="n">
        <x:v>0</x:v>
      </x:c>
      <x:c r="V11" s="203" t="n">
        <x:f>IFERROR(S11+T11+U11,"")</x:f>
        <x:v>18608.43</x:v>
      </x:c>
      <x:c r="W11" s="203" t="n">
        <x:f>IFERROR(H11/(1+Anyag_Beallitasok!$B$2)*Anyag_Beallitasok!$B$9,"")</x:f>
        <x:v>13909.52380952381</x:v>
      </x:c>
      <x:c r="X11" s="203" t="n">
        <x:f>IFERROR(V11/((1-Anyag_Beallitasok!$B$3)*(1+Anyag_Beallitasok!$B$2)),"")</x:f>
        <x:v>27265.098901098896</x:v>
      </x:c>
      <x:c r="Y11" s="203" t="n">
        <x:f>IFERROR(V11/((1-Anyag_Beallitasok!$B$4)*(1+Anyag_Beallitasok!$B$2)),"")</x:f>
        <x:v>35444.62857142857</x:v>
      </x:c>
      <x:c r="Z11" s="203" t="n">
        <x:f>IFERROR(ROUNDUP(MAX(W11,X11)/Anyag_Beallitasok!$B$6,0)*Anyag_Beallitasok!$B$6,"")</x:f>
        <x:v>27300</x:v>
      </x:c>
      <x:c r="AA11" s="204" t="n">
        <x:f>Anyag_Beallitasok!$B$2</x:f>
        <x:v>0.05</x:v>
      </x:c>
      <x:c r="AB11" s="203" t="n">
        <x:f>IFERROR(Z11*(1+AA11),"")</x:f>
        <x:v>28665</x:v>
      </x:c>
      <x:c r="AC11" s="204" t="n">
        <x:f>IFERROR(1-V11/H11,"")</x:f>
        <x:v>-0.2741136597055802</x:v>
      </x:c>
      <x:c r="AD11" s="204" t="n">
        <x:f>IFERROR(1-V11/AB11,"")</x:f>
        <x:v>0.35083097854526424</x:v>
      </x:c>
      <x:c r="AE11" s="19" t="str">
        <x:f>IF(AC11&lt;Anyag_Beallitasok!$B$3,"NEM ÉRI EL A 35%-OT",IF(AC11&lt;Anyag_Beallitasok!$B$4,"MINIMUM 35–49,9%",IF(AC11&lt;Anyag_Beallitasok!$B$5,"IDEÁLIS 50–59,9%","KIEMELKEDŐ ≥60%")))</x:f>
        <x:v>NEM ÉRI EL A 35%-OT</x:v>
      </x:c>
      <x:c r="AF11" s="204" t="n">
        <x:f>IFERROR(AB11/H11-1,"")</x:f>
        <x:v>0.9626840123245464</x:v>
      </x:c>
      <x:c r="AG11" s="19" t="str">
        <x:f>IF(AND(P11="IGEN",O11&gt;0),IF(AF11&gt;Anyag_Beallitasok!$B$10,"0%-OS SZÁMLA + ÖNADÓZÁS; FELÁR SZÜKSÉGES","0%-OS SZÁMLA + ÖNADÓZÁS"),IF(AF11&gt;Anyag_Beallitasok!$B$10,"FELÁR SZÜKSÉGES A 35%-HOZ",IF(AC11&lt;Anyag_Beallitasok!$B$3,"PIACI ÁRON NEM TARTHATÓ A 35%","OK")))</x:f>
        <x:v>FELÁR SZÜKSÉGES A 35%-HOZ</x:v>
      </x:c>
      <x:c r="AH11" s="207" t="n">
        <x:v>10</x:v>
      </x:c>
      <x:c r="AI11" s="207" t="n">
        <x:v>10</x:v>
      </x:c>
      <x:c r="AJ11" s="207" t="n">
        <x:v>10</x:v>
      </x:c>
      <x:c r="AK11" s="208"/>
      <x:c r="AL11" s="203" t="str">
        <x:f>IF(AK11="","",V11*AK11)</x:f>
      </x:c>
      <x:c r="AM11" s="203" t="str">
        <x:f>IF(AK11="","",AB11*AK11)</x:f>
      </x:c>
      <x:c r="AN11" s="204" t="str">
        <x:f>IFERROR(1-AL11/AM11,"")</x:f>
      </x:c>
      <x:c r="AO11" s="19" t="str">
        <x:v>https://www.betonpartner.hu/www.betonpartner.hu/documents/Budapest_Transzportbeton_arlista_2026_gOX48.pdf</x:v>
      </x:c>
      <x:c r="AP11" s="19" t="str">
        <x:v>Közvetlen 2026 árlista</x:v>
      </x:c>
      <x:c r="AQ11" s="19" t="str"/>
    </x:row>
    <x:row r="12">
      <x:c r="A12" s="19" t="str">
        <x:v>ANY-0011</x:v>
      </x:c>
      <x:c r="B12" s="19" t="str">
        <x:v>02 Földmunka</x:v>
      </x:c>
      <x:c r="C12" s="19" t="str">
        <x:v>Ömlesztett és drénanyagok</x:v>
      </x:c>
      <x:c r="D12" s="19" t="str">
        <x:v>Mindegyik</x:v>
      </x:c>
      <x:c r="E12" s="19" t="str">
        <x:v>Kavics 4/8</x:v>
      </x:c>
      <x:c r="F12" s="19" t="str">
        <x:v>ömlesztett</x:v>
      </x:c>
      <x:c r="G12" s="19" t="str">
        <x:v>t</x:v>
      </x:c>
      <x:c r="H12" s="203" t="n">
        <x:v>16002</x:v>
      </x:c>
      <x:c r="I12" s="204" t="n">
        <x:v>0.27</x:v>
      </x:c>
      <x:c r="J12" s="203" t="n">
        <x:f>IFERROR(H12/(1+I12),"")</x:f>
        <x:v>12600</x:v>
      </x:c>
      <x:c r="K12" s="205" t="n">
        <x:v>0.08</x:v>
      </x:c>
      <x:c r="L12" s="203" t="n">
        <x:f>IFERROR(J12*(1-K12),"")</x:f>
        <x:v>11592</x:v>
      </x:c>
      <x:c r="M12" s="19" t="str">
        <x:v>27% normál belföldi</x:v>
      </x:c>
      <x:c r="N12" s="204" t="n">
        <x:v>0.27</x:v>
      </x:c>
      <x:c r="O12" s="204" t="n">
        <x:v>0</x:v>
      </x:c>
      <x:c r="P12" s="19" t="str">
        <x:v>NEM</x:v>
      </x:c>
      <x:c r="Q12" s="203" t="n">
        <x:f>IFERROR(L12*(1+N12),"")</x:f>
        <x:v>14721.84</x:v>
      </x:c>
      <x:c r="R12" s="205" t="n">
        <x:v>0.05</x:v>
      </x:c>
      <x:c r="S12" s="203" t="n">
        <x:f>IFERROR(Q12*(1+R12),"")</x:f>
        <x:v>15457.932</x:v>
      </x:c>
      <x:c r="T12" s="206" t="n">
        <x:v>4500</x:v>
      </x:c>
      <x:c r="U12" s="206" t="n">
        <x:v>0</x:v>
      </x:c>
      <x:c r="V12" s="203" t="n">
        <x:f>IFERROR(S12+T12+U12,"")</x:f>
        <x:v>19957.932</x:v>
      </x:c>
      <x:c r="W12" s="203" t="n">
        <x:f>IFERROR(H12/(1+Anyag_Beallitasok!$B$2)*Anyag_Beallitasok!$B$9,"")</x:f>
        <x:v>15240</x:v>
      </x:c>
      <x:c r="X12" s="203" t="n">
        <x:f>IFERROR(V12/((1-Anyag_Beallitasok!$B$3)*(1+Anyag_Beallitasok!$B$2)),"")</x:f>
        <x:v>29242.391208791207</x:v>
      </x:c>
      <x:c r="Y12" s="203" t="n">
        <x:f>IFERROR(V12/((1-Anyag_Beallitasok!$B$4)*(1+Anyag_Beallitasok!$B$2)),"")</x:f>
        <x:v>38015.10857142857</x:v>
      </x:c>
      <x:c r="Z12" s="203" t="n">
        <x:f>IFERROR(ROUNDUP(MAX(W12,X12)/Anyag_Beallitasok!$B$6,0)*Anyag_Beallitasok!$B$6,"")</x:f>
        <x:v>29250</x:v>
      </x:c>
      <x:c r="AA12" s="204" t="n">
        <x:f>Anyag_Beallitasok!$B$2</x:f>
        <x:v>0.05</x:v>
      </x:c>
      <x:c r="AB12" s="203" t="n">
        <x:f>IFERROR(Z12*(1+AA12),"")</x:f>
        <x:v>30712.5</x:v>
      </x:c>
      <x:c r="AC12" s="204" t="n">
        <x:f>IFERROR(1-V12/H12,"")</x:f>
        <x:v>-0.24721484814398198</x:v>
      </x:c>
      <x:c r="AD12" s="204" t="n">
        <x:f>IFERROR(1-V12/AB12,"")</x:f>
        <x:v>0.3501690842490842</x:v>
      </x:c>
      <x:c r="AE12" s="19" t="str">
        <x:f>IF(AC12&lt;Anyag_Beallitasok!$B$3,"NEM ÉRI EL A 35%-OT",IF(AC12&lt;Anyag_Beallitasok!$B$4,"MINIMUM 35–49,9%",IF(AC12&lt;Anyag_Beallitasok!$B$5,"IDEÁLIS 50–59,9%","KIEMELKEDŐ ≥60%")))</x:f>
        <x:v>NEM ÉRI EL A 35%-OT</x:v>
      </x:c>
      <x:c r="AF12" s="204" t="n">
        <x:f>IFERROR(AB12/H12-1,"")</x:f>
        <x:v>0.9192913385826771</x:v>
      </x:c>
      <x:c r="AG12" s="19" t="str">
        <x:f>IF(AND(P12="IGEN",O12&gt;0),IF(AF12&gt;Anyag_Beallitasok!$B$10,"0%-OS SZÁMLA + ÖNADÓZÁS; FELÁR SZÜKSÉGES","0%-OS SZÁMLA + ÖNADÓZÁS"),IF(AF12&gt;Anyag_Beallitasok!$B$10,"FELÁR SZÜKSÉGES A 35%-HOZ",IF(AC12&lt;Anyag_Beallitasok!$B$3,"PIACI ÁRON NEM TARTHATÓ A 35%","OK")))</x:f>
        <x:v>FELÁR SZÜKSÉGES A 35%-HOZ</x:v>
      </x:c>
      <x:c r="AH12" s="207" t="n">
        <x:v>5</x:v>
      </x:c>
      <x:c r="AI12" s="207" t="n">
        <x:v>5</x:v>
      </x:c>
      <x:c r="AJ12" s="207" t="n">
        <x:v>5</x:v>
      </x:c>
      <x:c r="AK12" s="208"/>
      <x:c r="AL12" s="203" t="str">
        <x:f>IF(AK12="","",V12*AK12)</x:f>
      </x:c>
      <x:c r="AM12" s="203" t="str">
        <x:f>IF(AK12="","",AB12*AK12)</x:f>
      </x:c>
      <x:c r="AN12" s="204" t="str">
        <x:f>IFERROR(1-AL12/AM12,"")</x:f>
      </x:c>
      <x:c r="AO12" s="19" t="str">
        <x:v>https://www.betonpartner.hu/www.betonpartner.hu/documents/Budapest_Transzportbeton_arlista_2026_gOX48.pdf</x:v>
      </x:c>
      <x:c r="AP12" s="19" t="str">
        <x:v>Közvetlen 2026 árlista</x:v>
      </x:c>
      <x:c r="AQ12" s="19" t="str"/>
    </x:row>
    <x:row r="13">
      <x:c r="A13" s="19" t="str">
        <x:v>ANY-0012</x:v>
      </x:c>
      <x:c r="B13" s="19" t="str">
        <x:v>02 Földmunka</x:v>
      </x:c>
      <x:c r="C13" s="19" t="str">
        <x:v>Ömlesztett és drénanyagok</x:v>
      </x:c>
      <x:c r="D13" s="19" t="str">
        <x:v>Mindegyik</x:v>
      </x:c>
      <x:c r="E13" s="19" t="str">
        <x:v>Zúzottkő 0/32</x:v>
      </x:c>
      <x:c r="F13" s="19" t="str">
        <x:v>útalap</x:v>
      </x:c>
      <x:c r="G13" s="19" t="str">
        <x:v>t</x:v>
      </x:c>
      <x:c r="H13" s="203" t="n">
        <x:v>17780</x:v>
      </x:c>
      <x:c r="I13" s="204" t="n">
        <x:v>0.27</x:v>
      </x:c>
      <x:c r="J13" s="203" t="n">
        <x:f>IFERROR(H13/(1+I13),"")</x:f>
        <x:v>14000</x:v>
      </x:c>
      <x:c r="K13" s="205" t="n">
        <x:v>0.1</x:v>
      </x:c>
      <x:c r="L13" s="203" t="n">
        <x:f>IFERROR(J13*(1-K13),"")</x:f>
        <x:v>12600</x:v>
      </x:c>
      <x:c r="M13" s="19" t="str">
        <x:v>27% normál belföldi</x:v>
      </x:c>
      <x:c r="N13" s="204" t="n">
        <x:v>0.27</x:v>
      </x:c>
      <x:c r="O13" s="204" t="n">
        <x:v>0</x:v>
      </x:c>
      <x:c r="P13" s="19" t="str">
        <x:v>NEM</x:v>
      </x:c>
      <x:c r="Q13" s="203" t="n">
        <x:f>IFERROR(L13*(1+N13),"")</x:f>
        <x:v>16002</x:v>
      </x:c>
      <x:c r="R13" s="205" t="n">
        <x:v>0.08</x:v>
      </x:c>
      <x:c r="S13" s="203" t="n">
        <x:f>IFERROR(Q13*(1+R13),"")</x:f>
        <x:v>17282.16</x:v>
      </x:c>
      <x:c r="T13" s="206" t="n">
        <x:v>5000</x:v>
      </x:c>
      <x:c r="U13" s="206" t="n">
        <x:v>0</x:v>
      </x:c>
      <x:c r="V13" s="203" t="n">
        <x:f>IFERROR(S13+T13+U13,"")</x:f>
        <x:v>22282.16</x:v>
      </x:c>
      <x:c r="W13" s="203" t="n">
        <x:f>IFERROR(H13/(1+Anyag_Beallitasok!$B$2)*Anyag_Beallitasok!$B$9,"")</x:f>
        <x:v>16933.333333333332</x:v>
      </x:c>
      <x:c r="X13" s="203" t="n">
        <x:f>IFERROR(V13/((1-Anyag_Beallitasok!$B$3)*(1+Anyag_Beallitasok!$B$2)),"")</x:f>
        <x:v>32647.853479853475</x:v>
      </x:c>
      <x:c r="Y13" s="203" t="n">
        <x:f>IFERROR(V13/((1-Anyag_Beallitasok!$B$4)*(1+Anyag_Beallitasok!$B$2)),"")</x:f>
        <x:v>42442.20952380952</x:v>
      </x:c>
      <x:c r="Z13" s="203" t="n">
        <x:f>IFERROR(ROUNDUP(MAX(W13,X13)/Anyag_Beallitasok!$B$6,0)*Anyag_Beallitasok!$B$6,"")</x:f>
        <x:v>32650</x:v>
      </x:c>
      <x:c r="AA13" s="204" t="n">
        <x:f>Anyag_Beallitasok!$B$2</x:f>
        <x:v>0.05</x:v>
      </x:c>
      <x:c r="AB13" s="203" t="n">
        <x:f>IFERROR(Z13*(1+AA13),"")</x:f>
        <x:v>34282.5</x:v>
      </x:c>
      <x:c r="AC13" s="204" t="n">
        <x:f>IFERROR(1-V13/H13,"")</x:f>
        <x:v>-0.253214848143982</x:v>
      </x:c>
      <x:c r="AD13" s="204" t="n">
        <x:f>IFERROR(1-V13/AB13,"")</x:f>
        <x:v>0.3500427331729016</x:v>
      </x:c>
      <x:c r="AE13" s="19" t="str">
        <x:f>IF(AC13&lt;Anyag_Beallitasok!$B$3,"NEM ÉRI EL A 35%-OT",IF(AC13&lt;Anyag_Beallitasok!$B$4,"MINIMUM 35–49,9%",IF(AC13&lt;Anyag_Beallitasok!$B$5,"IDEÁLIS 50–59,9%","KIEMELKEDŐ ≥60%")))</x:f>
        <x:v>NEM ÉRI EL A 35%-OT</x:v>
      </x:c>
      <x:c r="AF13" s="204" t="n">
        <x:f>IFERROR(AB13/H13-1,"")</x:f>
        <x:v>0.9281496062992125</x:v>
      </x:c>
      <x:c r="AG13" s="19" t="str">
        <x:f>IF(AND(P13="IGEN",O13&gt;0),IF(AF13&gt;Anyag_Beallitasok!$B$10,"0%-OS SZÁMLA + ÖNADÓZÁS; FELÁR SZÜKSÉGES","0%-OS SZÁMLA + ÖNADÓZÁS"),IF(AF13&gt;Anyag_Beallitasok!$B$10,"FELÁR SZÜKSÉGES A 35%-HOZ",IF(AC13&lt;Anyag_Beallitasok!$B$3,"PIACI ÁRON NEM TARTHATÓ A 35%","OK")))</x:f>
        <x:v>FELÁR SZÜKSÉGES A 35%-HOZ</x:v>
      </x:c>
      <x:c r="AH13" s="207" t="n">
        <x:v>60</x:v>
      </x:c>
      <x:c r="AI13" s="207" t="n">
        <x:v>60</x:v>
      </x:c>
      <x:c r="AJ13" s="207" t="n">
        <x:v>60</x:v>
      </x:c>
      <x:c r="AK13" s="208"/>
      <x:c r="AL13" s="203" t="str">
        <x:f>IF(AK13="","",V13*AK13)</x:f>
      </x:c>
      <x:c r="AM13" s="203" t="str">
        <x:f>IF(AK13="","",AB13*AK13)</x:f>
      </x:c>
      <x:c r="AN13" s="204" t="str">
        <x:f>IFERROR(1-AL13/AM13,"")</x:f>
      </x:c>
      <x:c r="AO13" s="19" t="str">
        <x:v>https://www.betonpartner.hu/www.betonpartner.hu/documents/Budapest_Transzportbeton_arlista_2026_gOX48.pdf</x:v>
      </x:c>
      <x:c r="AP13" s="19" t="str">
        <x:v>Árlistából levezetett</x:v>
      </x:c>
      <x:c r="AQ13" s="19" t="str"/>
    </x:row>
    <x:row r="14">
      <x:c r="A14" s="19" t="str">
        <x:v>ANY-0013</x:v>
      </x:c>
      <x:c r="B14" s="19" t="str">
        <x:v>02 Földmunka</x:v>
      </x:c>
      <x:c r="C14" s="19" t="str">
        <x:v>Ömlesztett és drénanyagok</x:v>
      </x:c>
      <x:c r="D14" s="19" t="str">
        <x:v>Mindegyik</x:v>
      </x:c>
      <x:c r="E14" s="19" t="str">
        <x:v>Zúzottkő 0/56</x:v>
      </x:c>
      <x:c r="F14" s="19" t="str">
        <x:v>útalap</x:v>
      </x:c>
      <x:c r="G14" s="19" t="str">
        <x:v>t</x:v>
      </x:c>
      <x:c r="H14" s="203" t="n">
        <x:v>19000</x:v>
      </x:c>
      <x:c r="I14" s="204" t="n">
        <x:v>0.27</x:v>
      </x:c>
      <x:c r="J14" s="203" t="n">
        <x:f>IFERROR(H14/(1+I14),"")</x:f>
        <x:v>14960.629921259842</x:v>
      </x:c>
      <x:c r="K14" s="205" t="n">
        <x:v>0.1</x:v>
      </x:c>
      <x:c r="L14" s="203" t="n">
        <x:f>IFERROR(J14*(1-K14),"")</x:f>
        <x:v>13464.566929133858</x:v>
      </x:c>
      <x:c r="M14" s="19" t="str">
        <x:v>27% normál belföldi</x:v>
      </x:c>
      <x:c r="N14" s="204" t="n">
        <x:v>0.27</x:v>
      </x:c>
      <x:c r="O14" s="204" t="n">
        <x:v>0</x:v>
      </x:c>
      <x:c r="P14" s="19" t="str">
        <x:v>NEM</x:v>
      </x:c>
      <x:c r="Q14" s="203" t="n">
        <x:f>IFERROR(L14*(1+N14),"")</x:f>
        <x:v>17100</x:v>
      </x:c>
      <x:c r="R14" s="205" t="n">
        <x:v>0.08</x:v>
      </x:c>
      <x:c r="S14" s="203" t="n">
        <x:f>IFERROR(Q14*(1+R14),"")</x:f>
        <x:v>18468</x:v>
      </x:c>
      <x:c r="T14" s="206" t="n">
        <x:v>5000</x:v>
      </x:c>
      <x:c r="U14" s="206" t="n">
        <x:v>0</x:v>
      </x:c>
      <x:c r="V14" s="203" t="n">
        <x:f>IFERROR(S14+T14+U14,"")</x:f>
        <x:v>23468</x:v>
      </x:c>
      <x:c r="W14" s="203" t="n">
        <x:f>IFERROR(H14/(1+Anyag_Beallitasok!$B$2)*Anyag_Beallitasok!$B$9,"")</x:f>
        <x:v>18095.238095238095</x:v>
      </x:c>
      <x:c r="X14" s="203" t="n">
        <x:f>IFERROR(V14/((1-Anyag_Beallitasok!$B$3)*(1+Anyag_Beallitasok!$B$2)),"")</x:f>
        <x:v>34385.34798534798</x:v>
      </x:c>
      <x:c r="Y14" s="203" t="n">
        <x:f>IFERROR(V14/((1-Anyag_Beallitasok!$B$4)*(1+Anyag_Beallitasok!$B$2)),"")</x:f>
        <x:v>44700.95238095238</x:v>
      </x:c>
      <x:c r="Z14" s="203" t="n">
        <x:f>IFERROR(ROUNDUP(MAX(W14,X14)/Anyag_Beallitasok!$B$6,0)*Anyag_Beallitasok!$B$6,"")</x:f>
        <x:v>34400</x:v>
      </x:c>
      <x:c r="AA14" s="204" t="n">
        <x:f>Anyag_Beallitasok!$B$2</x:f>
        <x:v>0.05</x:v>
      </x:c>
      <x:c r="AB14" s="203" t="n">
        <x:f>IFERROR(Z14*(1+AA14),"")</x:f>
        <x:v>36120</x:v>
      </x:c>
      <x:c r="AC14" s="204" t="n">
        <x:f>IFERROR(1-V14/H14,"")</x:f>
        <x:v>-0.235157894736842</x:v>
      </x:c>
      <x:c r="AD14" s="204" t="n">
        <x:f>IFERROR(1-V14/AB14,"")</x:f>
        <x:v>0.35027685492801774</x:v>
      </x:c>
      <x:c r="AE14" s="19" t="str">
        <x:f>IF(AC14&lt;Anyag_Beallitasok!$B$3,"NEM ÉRI EL A 35%-OT",IF(AC14&lt;Anyag_Beallitasok!$B$4,"MINIMUM 35–49,9%",IF(AC14&lt;Anyag_Beallitasok!$B$5,"IDEÁLIS 50–59,9%","KIEMELKEDŐ ≥60%")))</x:f>
        <x:v>NEM ÉRI EL A 35%-OT</x:v>
      </x:c>
      <x:c r="AF14" s="204" t="n">
        <x:f>IFERROR(AB14/H14-1,"")</x:f>
        <x:v>0.9010526315789473</x:v>
      </x:c>
      <x:c r="AG14" s="19" t="str">
        <x:f>IF(AND(P14="IGEN",O14&gt;0),IF(AF14&gt;Anyag_Beallitasok!$B$10,"0%-OS SZÁMLA + ÖNADÓZÁS; FELÁR SZÜKSÉGES","0%-OS SZÁMLA + ÖNADÓZÁS"),IF(AF14&gt;Anyag_Beallitasok!$B$10,"FELÁR SZÜKSÉGES A 35%-HOZ",IF(AC14&lt;Anyag_Beallitasok!$B$3,"PIACI ÁRON NEM TARTHATÓ A 35%","OK")))</x:f>
        <x:v>FELÁR SZÜKSÉGES A 35%-HOZ</x:v>
      </x:c>
      <x:c r="AH14" s="207" t="n">
        <x:v>25</x:v>
      </x:c>
      <x:c r="AI14" s="207" t="n">
        <x:v>25</x:v>
      </x:c>
      <x:c r="AJ14" s="207" t="n">
        <x:v>25</x:v>
      </x:c>
      <x:c r="AK14" s="208"/>
      <x:c r="AL14" s="203" t="str">
        <x:f>IF(AK14="","",V14*AK14)</x:f>
      </x:c>
      <x:c r="AM14" s="203" t="str">
        <x:f>IF(AK14="","",AB14*AK14)</x:f>
      </x:c>
      <x:c r="AN14" s="204" t="str">
        <x:f>IFERROR(1-AL14/AM14,"")</x:f>
      </x:c>
      <x:c r="AO14" s="19" t="str">
        <x:v>https://www.betonpartner.hu/www.betonpartner.hu/documents/Budapest_Transzportbeton_arlista_2026_gOX48.pdf</x:v>
      </x:c>
      <x:c r="AP14" s="19" t="str">
        <x:v>Mérnöki piaci becslés</x:v>
      </x:c>
      <x:c r="AQ14" s="19" t="str"/>
    </x:row>
    <x:row r="15">
      <x:c r="A15" s="19" t="str">
        <x:v>ANY-0014</x:v>
      </x:c>
      <x:c r="B15" s="19" t="str">
        <x:v>02 Földmunka</x:v>
      </x:c>
      <x:c r="C15" s="19" t="str">
        <x:v>Ömlesztett és drénanyagok</x:v>
      </x:c>
      <x:c r="D15" s="19" t="str">
        <x:v>Mindegyik</x:v>
      </x:c>
      <x:c r="E15" s="19" t="str">
        <x:v>Kulékavics 16/32</x:v>
      </x:c>
      <x:c r="F15" s="19" t="str">
        <x:v>drénréteg</x:v>
      </x:c>
      <x:c r="G15" s="19" t="str">
        <x:v>t</x:v>
      </x:c>
      <x:c r="H15" s="203" t="n">
        <x:v>19000</x:v>
      </x:c>
      <x:c r="I15" s="204" t="n">
        <x:v>0.27</x:v>
      </x:c>
      <x:c r="J15" s="203" t="n">
        <x:f>IFERROR(H15/(1+I15),"")</x:f>
        <x:v>14960.629921259842</x:v>
      </x:c>
      <x:c r="K15" s="205" t="n">
        <x:v>0.1</x:v>
      </x:c>
      <x:c r="L15" s="203" t="n">
        <x:f>IFERROR(J15*(1-K15),"")</x:f>
        <x:v>13464.566929133858</x:v>
      </x:c>
      <x:c r="M15" s="19" t="str">
        <x:v>27% normál belföldi</x:v>
      </x:c>
      <x:c r="N15" s="204" t="n">
        <x:v>0.27</x:v>
      </x:c>
      <x:c r="O15" s="204" t="n">
        <x:v>0</x:v>
      </x:c>
      <x:c r="P15" s="19" t="str">
        <x:v>NEM</x:v>
      </x:c>
      <x:c r="Q15" s="203" t="n">
        <x:f>IFERROR(L15*(1+N15),"")</x:f>
        <x:v>17100</x:v>
      </x:c>
      <x:c r="R15" s="205" t="n">
        <x:v>0.08</x:v>
      </x:c>
      <x:c r="S15" s="203" t="n">
        <x:f>IFERROR(Q15*(1+R15),"")</x:f>
        <x:v>18468</x:v>
      </x:c>
      <x:c r="T15" s="206" t="n">
        <x:v>5000</x:v>
      </x:c>
      <x:c r="U15" s="206" t="n">
        <x:v>0</x:v>
      </x:c>
      <x:c r="V15" s="203" t="n">
        <x:f>IFERROR(S15+T15+U15,"")</x:f>
        <x:v>23468</x:v>
      </x:c>
      <x:c r="W15" s="203" t="n">
        <x:f>IFERROR(H15/(1+Anyag_Beallitasok!$B$2)*Anyag_Beallitasok!$B$9,"")</x:f>
        <x:v>18095.238095238095</x:v>
      </x:c>
      <x:c r="X15" s="203" t="n">
        <x:f>IFERROR(V15/((1-Anyag_Beallitasok!$B$3)*(1+Anyag_Beallitasok!$B$2)),"")</x:f>
        <x:v>34385.34798534798</x:v>
      </x:c>
      <x:c r="Y15" s="203" t="n">
        <x:f>IFERROR(V15/((1-Anyag_Beallitasok!$B$4)*(1+Anyag_Beallitasok!$B$2)),"")</x:f>
        <x:v>44700.95238095238</x:v>
      </x:c>
      <x:c r="Z15" s="203" t="n">
        <x:f>IFERROR(ROUNDUP(MAX(W15,X15)/Anyag_Beallitasok!$B$6,0)*Anyag_Beallitasok!$B$6,"")</x:f>
        <x:v>34400</x:v>
      </x:c>
      <x:c r="AA15" s="204" t="n">
        <x:f>Anyag_Beallitasok!$B$2</x:f>
        <x:v>0.05</x:v>
      </x:c>
      <x:c r="AB15" s="203" t="n">
        <x:f>IFERROR(Z15*(1+AA15),"")</x:f>
        <x:v>36120</x:v>
      </x:c>
      <x:c r="AC15" s="204" t="n">
        <x:f>IFERROR(1-V15/H15,"")</x:f>
        <x:v>-0.235157894736842</x:v>
      </x:c>
      <x:c r="AD15" s="204" t="n">
        <x:f>IFERROR(1-V15/AB15,"")</x:f>
        <x:v>0.35027685492801774</x:v>
      </x:c>
      <x:c r="AE15" s="19" t="str">
        <x:f>IF(AC15&lt;Anyag_Beallitasok!$B$3,"NEM ÉRI EL A 35%-OT",IF(AC15&lt;Anyag_Beallitasok!$B$4,"MINIMUM 35–49,9%",IF(AC15&lt;Anyag_Beallitasok!$B$5,"IDEÁLIS 50–59,9%","KIEMELKEDŐ ≥60%")))</x:f>
        <x:v>NEM ÉRI EL A 35%-OT</x:v>
      </x:c>
      <x:c r="AF15" s="204" t="n">
        <x:f>IFERROR(AB15/H15-1,"")</x:f>
        <x:v>0.9010526315789473</x:v>
      </x:c>
      <x:c r="AG15" s="19" t="str">
        <x:f>IF(AND(P15="IGEN",O15&gt;0),IF(AF15&gt;Anyag_Beallitasok!$B$10,"0%-OS SZÁMLA + ÖNADÓZÁS; FELÁR SZÜKSÉGES","0%-OS SZÁMLA + ÖNADÓZÁS"),IF(AF15&gt;Anyag_Beallitasok!$B$10,"FELÁR SZÜKSÉGES A 35%-HOZ",IF(AC15&lt;Anyag_Beallitasok!$B$3,"PIACI ÁRON NEM TARTHATÓ A 35%","OK")))</x:f>
        <x:v>FELÁR SZÜKSÉGES A 35%-HOZ</x:v>
      </x:c>
      <x:c r="AH15" s="207" t="n">
        <x:v>12</x:v>
      </x:c>
      <x:c r="AI15" s="207" t="n">
        <x:v>12</x:v>
      </x:c>
      <x:c r="AJ15" s="207" t="n">
        <x:v>12</x:v>
      </x:c>
      <x:c r="AK15" s="208"/>
      <x:c r="AL15" s="203" t="str">
        <x:f>IF(AK15="","",V15*AK15)</x:f>
      </x:c>
      <x:c r="AM15" s="203" t="str">
        <x:f>IF(AK15="","",AB15*AK15)</x:f>
      </x:c>
      <x:c r="AN15" s="204" t="str">
        <x:f>IFERROR(1-AL15/AM15,"")</x:f>
      </x:c>
      <x:c r="AO15" s="19" t="str">
        <x:v>https://www.betonpartner.hu/www.betonpartner.hu/documents/Budapest_Transzportbeton_arlista_2026_gOX48.pdf</x:v>
      </x:c>
      <x:c r="AP15" s="19" t="str">
        <x:v>Mérnöki piaci becslés</x:v>
      </x:c>
      <x:c r="AQ15" s="19" t="str"/>
    </x:row>
    <x:row r="16">
      <x:c r="A16" s="19" t="str">
        <x:v>ANY-0015</x:v>
      </x:c>
      <x:c r="B16" s="19" t="str">
        <x:v>02 Földmunka</x:v>
      </x:c>
      <x:c r="C16" s="19" t="str">
        <x:v>Ömlesztett és drénanyagok</x:v>
      </x:c>
      <x:c r="D16" s="19" t="str">
        <x:v>Mindegyik</x:v>
      </x:c>
      <x:c r="E16" s="19" t="str">
        <x:v>CKT-4 cementes stabilizáció</x:v>
      </x:c>
      <x:c r="F16" s="19" t="str">
        <x:v>üzemi</x:v>
      </x:c>
      <x:c r="G16" s="19" t="str">
        <x:v>m³</x:v>
      </x:c>
      <x:c r="H16" s="203" t="n">
        <x:v>28575</x:v>
      </x:c>
      <x:c r="I16" s="204" t="n">
        <x:v>0.27</x:v>
      </x:c>
      <x:c r="J16" s="203" t="n">
        <x:f>IFERROR(H16/(1+I16),"")</x:f>
        <x:v>22500</x:v>
      </x:c>
      <x:c r="K16" s="205" t="n">
        <x:v>0.05</x:v>
      </x:c>
      <x:c r="L16" s="203" t="n">
        <x:f>IFERROR(J16*(1-K16),"")</x:f>
        <x:v>21375</x:v>
      </x:c>
      <x:c r="M16" s="19" t="str">
        <x:v>27% normál belföldi</x:v>
      </x:c>
      <x:c r="N16" s="204" t="n">
        <x:v>0.27</x:v>
      </x:c>
      <x:c r="O16" s="204" t="n">
        <x:v>0</x:v>
      </x:c>
      <x:c r="P16" s="19" t="str">
        <x:v>NEM</x:v>
      </x:c>
      <x:c r="Q16" s="203" t="n">
        <x:f>IFERROR(L16*(1+N16),"")</x:f>
        <x:v>27146.25</x:v>
      </x:c>
      <x:c r="R16" s="205" t="n">
        <x:v>0.03</x:v>
      </x:c>
      <x:c r="S16" s="203" t="n">
        <x:f>IFERROR(Q16*(1+R16),"")</x:f>
        <x:v>27960.6375</x:v>
      </x:c>
      <x:c r="T16" s="206" t="n">
        <x:v>7500</x:v>
      </x:c>
      <x:c r="U16" s="206" t="n">
        <x:v>0</x:v>
      </x:c>
      <x:c r="V16" s="203" t="n">
        <x:f>IFERROR(S16+T16+U16,"")</x:f>
        <x:v>35460.6375</x:v>
      </x:c>
      <x:c r="W16" s="203" t="n">
        <x:f>IFERROR(H16/(1+Anyag_Beallitasok!$B$2)*Anyag_Beallitasok!$B$9,"")</x:f>
        <x:v>27214.285714285714</x:v>
      </x:c>
      <x:c r="X16" s="203" t="n">
        <x:f>IFERROR(V16/((1-Anyag_Beallitasok!$B$3)*(1+Anyag_Beallitasok!$B$2)),"")</x:f>
        <x:v>51956.97802197801</x:v>
      </x:c>
      <x:c r="Y16" s="203" t="n">
        <x:f>IFERROR(V16/((1-Anyag_Beallitasok!$B$4)*(1+Anyag_Beallitasok!$B$2)),"")</x:f>
        <x:v>67544.07142857142</x:v>
      </x:c>
      <x:c r="Z16" s="203" t="n">
        <x:f>IFERROR(ROUNDUP(MAX(W16,X16)/Anyag_Beallitasok!$B$6,0)*Anyag_Beallitasok!$B$6,"")</x:f>
        <x:v>52000</x:v>
      </x:c>
      <x:c r="AA16" s="204" t="n">
        <x:f>Anyag_Beallitasok!$B$2</x:f>
        <x:v>0.05</x:v>
      </x:c>
      <x:c r="AB16" s="203" t="n">
        <x:f>IFERROR(Z16*(1+AA16),"")</x:f>
        <x:v>54600</x:v>
      </x:c>
      <x:c r="AC16" s="204" t="n">
        <x:f>IFERROR(1-V16/H16,"")</x:f>
        <x:v>-0.24096719160104985</x:v>
      </x:c>
      <x:c r="AD16" s="204" t="n">
        <x:f>IFERROR(1-V16/AB16,"")</x:f>
        <x:v>0.3505377747252748</x:v>
      </x:c>
      <x:c r="AE16" s="19" t="str">
        <x:f>IF(AC16&lt;Anyag_Beallitasok!$B$3,"NEM ÉRI EL A 35%-OT",IF(AC16&lt;Anyag_Beallitasok!$B$4,"MINIMUM 35–49,9%",IF(AC16&lt;Anyag_Beallitasok!$B$5,"IDEÁLIS 50–59,9%","KIEMELKEDŐ ≥60%")))</x:f>
        <x:v>NEM ÉRI EL A 35%-OT</x:v>
      </x:c>
      <x:c r="AF16" s="204" t="n">
        <x:f>IFERROR(AB16/H16-1,"")</x:f>
        <x:v>0.9107611548556431</x:v>
      </x:c>
      <x:c r="AG16" s="19" t="str">
        <x:f>IF(AND(P16="IGEN",O16&gt;0),IF(AF16&gt;Anyag_Beallitasok!$B$10,"0%-OS SZÁMLA + ÖNADÓZÁS; FELÁR SZÜKSÉGES","0%-OS SZÁMLA + ÖNADÓZÁS"),IF(AF16&gt;Anyag_Beallitasok!$B$10,"FELÁR SZÜKSÉGES A 35%-HOZ",IF(AC16&lt;Anyag_Beallitasok!$B$3,"PIACI ÁRON NEM TARTHATÓ A 35%","OK")))</x:f>
        <x:v>FELÁR SZÜKSÉGES A 35%-HOZ</x:v>
      </x:c>
      <x:c r="AH16" s="207" t="n">
        <x:v>0</x:v>
      </x:c>
      <x:c r="AI16" s="207" t="n">
        <x:v>0</x:v>
      </x:c>
      <x:c r="AJ16" s="207" t="n">
        <x:v>0</x:v>
      </x:c>
      <x:c r="AK16" s="208"/>
      <x:c r="AL16" s="203" t="str">
        <x:f>IF(AK16="","",V16*AK16)</x:f>
      </x:c>
      <x:c r="AM16" s="203" t="str">
        <x:f>IF(AK16="","",AB16*AK16)</x:f>
      </x:c>
      <x:c r="AN16" s="204" t="str">
        <x:f>IFERROR(1-AL16/AM16,"")</x:f>
      </x:c>
      <x:c r="AO16" s="19" t="str">
        <x:v>https://www.betonpartner.hu/www.betonpartner.hu/documents/Budapest_Transzportbeton_arlista_2026_gOX48.pdf</x:v>
      </x:c>
      <x:c r="AP16" s="19" t="str">
        <x:v>Közvetlen 2026 árlista</x:v>
      </x:c>
      <x:c r="AQ16" s="19" t="str"/>
    </x:row>
    <x:row r="17">
      <x:c r="A17" s="19" t="str">
        <x:v>ANY-0016</x:v>
      </x:c>
      <x:c r="B17" s="19" t="str">
        <x:v>02 Földmunka</x:v>
      </x:c>
      <x:c r="C17" s="19" t="str">
        <x:v>Ömlesztett és drénanyagok</x:v>
      </x:c>
      <x:c r="D17" s="19" t="str">
        <x:v>Mindegyik</x:v>
      </x:c>
      <x:c r="E17" s="19" t="str">
        <x:v>Geotextília 150 g/m²</x:v>
      </x:c>
      <x:c r="F17" s="19" t="str">
        <x:v>tekercses</x:v>
      </x:c>
      <x:c r="G17" s="19" t="str">
        <x:v>m²</x:v>
      </x:c>
      <x:c r="H17" s="203" t="n">
        <x:v>330</x:v>
      </x:c>
      <x:c r="I17" s="204" t="n">
        <x:v>0.27</x:v>
      </x:c>
      <x:c r="J17" s="203" t="n">
        <x:f>IFERROR(H17/(1+I17),"")</x:f>
        <x:v>259.84251968503935</x:v>
      </x:c>
      <x:c r="K17" s="205" t="n">
        <x:v>0.15</x:v>
      </x:c>
      <x:c r="L17" s="203" t="n">
        <x:f>IFERROR(J17*(1-K17),"")</x:f>
        <x:v>220.86614173228344</x:v>
      </x:c>
      <x:c r="M17" s="19" t="str">
        <x:v>27% normál belföldi</x:v>
      </x:c>
      <x:c r="N17" s="204" t="n">
        <x:v>0.27</x:v>
      </x:c>
      <x:c r="O17" s="204" t="n">
        <x:v>0</x:v>
      </x:c>
      <x:c r="P17" s="19" t="str">
        <x:v>NEM</x:v>
      </x:c>
      <x:c r="Q17" s="203" t="n">
        <x:f>IFERROR(L17*(1+N17),"")</x:f>
        <x:v>280.49999999999994</x:v>
      </x:c>
      <x:c r="R17" s="205" t="n">
        <x:v>0.1</x:v>
      </x:c>
      <x:c r="S17" s="203" t="n">
        <x:f>IFERROR(Q17*(1+R17),"")</x:f>
        <x:v>308.54999999999995</x:v>
      </x:c>
      <x:c r="T17" s="206" t="n">
        <x:v>20</x:v>
      </x:c>
      <x:c r="U17" s="206" t="n">
        <x:v>0</x:v>
      </x:c>
      <x:c r="V17" s="203" t="n">
        <x:f>IFERROR(S17+T17+U17,"")</x:f>
        <x:v>328.54999999999995</x:v>
      </x:c>
      <x:c r="W17" s="203" t="n">
        <x:f>IFERROR(H17/(1+Anyag_Beallitasok!$B$2)*Anyag_Beallitasok!$B$9,"")</x:f>
        <x:v>314.2857142857143</x:v>
      </x:c>
      <x:c r="X17" s="203" t="n">
        <x:f>IFERROR(V17/((1-Anyag_Beallitasok!$B$3)*(1+Anyag_Beallitasok!$B$2)),"")</x:f>
        <x:v>481.39194139194126</x:v>
      </x:c>
      <x:c r="Y17" s="203" t="n">
        <x:f>IFERROR(V17/((1-Anyag_Beallitasok!$B$4)*(1+Anyag_Beallitasok!$B$2)),"")</x:f>
        <x:v>625.8095238095237</x:v>
      </x:c>
      <x:c r="Z17" s="203" t="n">
        <x:f>IFERROR(ROUNDUP(MAX(W17,X17)/Anyag_Beallitasok!$B$6,0)*Anyag_Beallitasok!$B$6,"")</x:f>
        <x:v>500</x:v>
      </x:c>
      <x:c r="AA17" s="204" t="n">
        <x:f>Anyag_Beallitasok!$B$2</x:f>
        <x:v>0.05</x:v>
      </x:c>
      <x:c r="AB17" s="203" t="n">
        <x:f>IFERROR(Z17*(1+AA17),"")</x:f>
        <x:v>525</x:v>
      </x:c>
      <x:c r="AC17" s="204" t="n">
        <x:f>IFERROR(1-V17/H17,"")</x:f>
        <x:v>0.0043939393939395055</x:v>
      </x:c>
      <x:c r="AD17" s="204" t="n">
        <x:f>IFERROR(1-V17/AB17,"")</x:f>
        <x:v>0.3741904761904763</x:v>
      </x:c>
      <x:c r="AE17" s="19" t="str">
        <x:f>IF(AC17&lt;Anyag_Beallitasok!$B$3,"NEM ÉRI EL A 35%-OT",IF(AC17&lt;Anyag_Beallitasok!$B$4,"MINIMUM 35–49,9%",IF(AC17&lt;Anyag_Beallitasok!$B$5,"IDEÁLIS 50–59,9%","KIEMELKEDŐ ≥60%")))</x:f>
        <x:v>NEM ÉRI EL A 35%-OT</x:v>
      </x:c>
      <x:c r="AF17" s="204" t="n">
        <x:f>IFERROR(AB17/H17-1,"")</x:f>
        <x:v>0.5909090909090908</x:v>
      </x:c>
      <x:c r="AG17" s="19" t="str">
        <x:f>IF(AND(P17="IGEN",O17&gt;0),IF(AF17&gt;Anyag_Beallitasok!$B$10,"0%-OS SZÁMLA + ÖNADÓZÁS; FELÁR SZÜKSÉGES","0%-OS SZÁMLA + ÖNADÓZÁS"),IF(AF17&gt;Anyag_Beallitasok!$B$10,"FELÁR SZÜKSÉGES A 35%-HOZ",IF(AC17&lt;Anyag_Beallitasok!$B$3,"PIACI ÁRON NEM TARTHATÓ A 35%","OK")))</x:f>
        <x:v>FELÁR SZÜKSÉGES A 35%-HOZ</x:v>
      </x:c>
      <x:c r="AH17" s="207" t="n">
        <x:v>300</x:v>
      </x:c>
      <x:c r="AI17" s="207" t="n">
        <x:v>300</x:v>
      </x:c>
      <x:c r="AJ17" s="207" t="n">
        <x:v>300</x:v>
      </x:c>
      <x:c r="AK17" s="208"/>
      <x:c r="AL17" s="203" t="str">
        <x:f>IF(AK17="","",V17*AK17)</x:f>
      </x:c>
      <x:c r="AM17" s="203" t="str">
        <x:f>IF(AK17="","",AB17*AK17)</x:f>
      </x:c>
      <x:c r="AN17" s="204" t="str">
        <x:f>IFERROR(1-AL17/AM17,"")</x:f>
      </x:c>
      <x:c r="AO17" s="19" t="str">
        <x:v>https://www.hoszigetelesplaza.hu/eps-80-homlokzati-hoszigetelo-lemez-15-cm-vastag</x:v>
      </x:c>
      <x:c r="AP17" s="19" t="str">
        <x:v>Mérnöki piaci becslés</x:v>
      </x:c>
      <x:c r="AQ17" s="19" t="str"/>
    </x:row>
    <x:row r="18">
      <x:c r="A18" s="19" t="str">
        <x:v>ANY-0017</x:v>
      </x:c>
      <x:c r="B18" s="19" t="str">
        <x:v>02 Földmunka</x:v>
      </x:c>
      <x:c r="C18" s="19" t="str">
        <x:v>Ömlesztett és drénanyagok</x:v>
      </x:c>
      <x:c r="D18" s="19" t="str">
        <x:v>Mindegyik</x:v>
      </x:c>
      <x:c r="E18" s="19" t="str">
        <x:v>Geotextília 300 g/m²</x:v>
      </x:c>
      <x:c r="F18" s="19" t="str">
        <x:v>nagyobb terheléshez</x:v>
      </x:c>
      <x:c r="G18" s="19" t="str">
        <x:v>m²</x:v>
      </x:c>
      <x:c r="H18" s="203" t="n">
        <x:v>560</x:v>
      </x:c>
      <x:c r="I18" s="204" t="n">
        <x:v>0.27</x:v>
      </x:c>
      <x:c r="J18" s="203" t="n">
        <x:f>IFERROR(H18/(1+I18),"")</x:f>
        <x:v>440.9448818897638</x:v>
      </x:c>
      <x:c r="K18" s="205" t="n">
        <x:v>0.15</x:v>
      </x:c>
      <x:c r="L18" s="203" t="n">
        <x:f>IFERROR(J18*(1-K18),"")</x:f>
        <x:v>374.8031496062992</x:v>
      </x:c>
      <x:c r="M18" s="19" t="str">
        <x:v>27% normál belföldi</x:v>
      </x:c>
      <x:c r="N18" s="204" t="n">
        <x:v>0.27</x:v>
      </x:c>
      <x:c r="O18" s="204" t="n">
        <x:v>0</x:v>
      </x:c>
      <x:c r="P18" s="19" t="str">
        <x:v>NEM</x:v>
      </x:c>
      <x:c r="Q18" s="203" t="n">
        <x:f>IFERROR(L18*(1+N18),"")</x:f>
        <x:v>476</x:v>
      </x:c>
      <x:c r="R18" s="205" t="n">
        <x:v>0.1</x:v>
      </x:c>
      <x:c r="S18" s="203" t="n">
        <x:f>IFERROR(Q18*(1+R18),"")</x:f>
        <x:v>523.6</x:v>
      </x:c>
      <x:c r="T18" s="206" t="n">
        <x:v>25</x:v>
      </x:c>
      <x:c r="U18" s="206" t="n">
        <x:v>0</x:v>
      </x:c>
      <x:c r="V18" s="203" t="n">
        <x:f>IFERROR(S18+T18+U18,"")</x:f>
        <x:v>548.6</x:v>
      </x:c>
      <x:c r="W18" s="203" t="n">
        <x:f>IFERROR(H18/(1+Anyag_Beallitasok!$B$2)*Anyag_Beallitasok!$B$9,"")</x:f>
        <x:v>533.3333333333333</x:v>
      </x:c>
      <x:c r="X18" s="203" t="n">
        <x:f>IFERROR(V18/((1-Anyag_Beallitasok!$B$3)*(1+Anyag_Beallitasok!$B$2)),"")</x:f>
        <x:v>803.8095238095237</x:v>
      </x:c>
      <x:c r="Y18" s="203" t="n">
        <x:f>IFERROR(V18/((1-Anyag_Beallitasok!$B$4)*(1+Anyag_Beallitasok!$B$2)),"")</x:f>
        <x:v>1044.952380952381</x:v>
      </x:c>
      <x:c r="Z18" s="203" t="n">
        <x:f>IFERROR(ROUNDUP(MAX(W18,X18)/Anyag_Beallitasok!$B$6,0)*Anyag_Beallitasok!$B$6,"")</x:f>
        <x:v>850</x:v>
      </x:c>
      <x:c r="AA18" s="204" t="n">
        <x:f>Anyag_Beallitasok!$B$2</x:f>
        <x:v>0.05</x:v>
      </x:c>
      <x:c r="AB18" s="203" t="n">
        <x:f>IFERROR(Z18*(1+AA18),"")</x:f>
        <x:v>892.5</x:v>
      </x:c>
      <x:c r="AC18" s="204" t="n">
        <x:f>IFERROR(1-V18/H18,"")</x:f>
        <x:v>0.02035714285714285</x:v>
      </x:c>
      <x:c r="AD18" s="204" t="n">
        <x:f>IFERROR(1-V18/AB18,"")</x:f>
        <x:v>0.3853221288515406</x:v>
      </x:c>
      <x:c r="AE18" s="19" t="str">
        <x:f>IF(AC18&lt;Anyag_Beallitasok!$B$3,"NEM ÉRI EL A 35%-OT",IF(AC18&lt;Anyag_Beallitasok!$B$4,"MINIMUM 35–49,9%",IF(AC18&lt;Anyag_Beallitasok!$B$5,"IDEÁLIS 50–59,9%","KIEMELKEDŐ ≥60%")))</x:f>
        <x:v>NEM ÉRI EL A 35%-OT</x:v>
      </x:c>
      <x:c r="AF18" s="204" t="n">
        <x:f>IFERROR(AB18/H18-1,"")</x:f>
        <x:v>0.59375</x:v>
      </x:c>
      <x:c r="AG18" s="19" t="str">
        <x:f>IF(AND(P18="IGEN",O18&gt;0),IF(AF18&gt;Anyag_Beallitasok!$B$10,"0%-OS SZÁMLA + ÖNADÓZÁS; FELÁR SZÜKSÉGES","0%-OS SZÁMLA + ÖNADÓZÁS"),IF(AF18&gt;Anyag_Beallitasok!$B$10,"FELÁR SZÜKSÉGES A 35%-HOZ",IF(AC18&lt;Anyag_Beallitasok!$B$3,"PIACI ÁRON NEM TARTHATÓ A 35%","OK")))</x:f>
        <x:v>FELÁR SZÜKSÉGES A 35%-HOZ</x:v>
      </x:c>
      <x:c r="AH18" s="207" t="n">
        <x:v>0</x:v>
      </x:c>
      <x:c r="AI18" s="207" t="n">
        <x:v>0</x:v>
      </x:c>
      <x:c r="AJ18" s="207" t="n">
        <x:v>0</x:v>
      </x:c>
      <x:c r="AK18" s="208"/>
      <x:c r="AL18" s="203" t="str">
        <x:f>IF(AK18="","",V18*AK18)</x:f>
      </x:c>
      <x:c r="AM18" s="203" t="str">
        <x:f>IF(AK18="","",AB18*AK18)</x:f>
      </x:c>
      <x:c r="AN18" s="204" t="str">
        <x:f>IFERROR(1-AL18/AM18,"")</x:f>
      </x:c>
      <x:c r="AO18" s="19" t="str">
        <x:v>https://www.hoszigetelesplaza.hu/eps-80-homlokzati-hoszigetelo-lemez-15-cm-vastag</x:v>
      </x:c>
      <x:c r="AP18" s="19" t="str">
        <x:v>Mérnöki piaci becslés</x:v>
      </x:c>
      <x:c r="AQ18" s="19" t="str"/>
    </x:row>
    <x:row r="19">
      <x:c r="A19" s="19" t="str">
        <x:v>ANY-0018</x:v>
      </x:c>
      <x:c r="B19" s="19" t="str">
        <x:v>02 Földmunka</x:v>
      </x:c>
      <x:c r="C19" s="19" t="str">
        <x:v>Ömlesztett és drénanyagok</x:v>
      </x:c>
      <x:c r="D19" s="19" t="str">
        <x:v>Mindegyik</x:v>
      </x:c>
      <x:c r="E19" s="19" t="str">
        <x:v>Dréncső DN100</x:v>
      </x:c>
      <x:c r="F19" s="19" t="str">
        <x:v>perforált, geotextil nélkül</x:v>
      </x:c>
      <x:c r="G19" s="19" t="str">
        <x:v>fm</x:v>
      </x:c>
      <x:c r="H19" s="203" t="n">
        <x:v>950</x:v>
      </x:c>
      <x:c r="I19" s="204" t="n">
        <x:v>0.27</x:v>
      </x:c>
      <x:c r="J19" s="203" t="n">
        <x:f>IFERROR(H19/(1+I19),"")</x:f>
        <x:v>748.0314960629921</x:v>
      </x:c>
      <x:c r="K19" s="205" t="n">
        <x:v>0.15</x:v>
      </x:c>
      <x:c r="L19" s="203" t="n">
        <x:f>IFERROR(J19*(1-K19),"")</x:f>
        <x:v>635.8267716535432</x:v>
      </x:c>
      <x:c r="M19" s="19" t="str">
        <x:v>27% normál belföldi</x:v>
      </x:c>
      <x:c r="N19" s="204" t="n">
        <x:v>0.27</x:v>
      </x:c>
      <x:c r="O19" s="204" t="n">
        <x:v>0</x:v>
      </x:c>
      <x:c r="P19" s="19" t="str">
        <x:v>NEM</x:v>
      </x:c>
      <x:c r="Q19" s="203" t="n">
        <x:f>IFERROR(L19*(1+N19),"")</x:f>
        <x:v>807.4999999999999</x:v>
      </x:c>
      <x:c r="R19" s="205" t="n">
        <x:v>0.08</x:v>
      </x:c>
      <x:c r="S19" s="203" t="n">
        <x:f>IFERROR(Q19*(1+R19),"")</x:f>
        <x:v>872.0999999999999</x:v>
      </x:c>
      <x:c r="T19" s="206" t="n">
        <x:v>50</x:v>
      </x:c>
      <x:c r="U19" s="206" t="n">
        <x:v>0</x:v>
      </x:c>
      <x:c r="V19" s="203" t="n">
        <x:f>IFERROR(S19+T19+U19,"")</x:f>
        <x:v>922.0999999999999</x:v>
      </x:c>
      <x:c r="W19" s="203" t="n">
        <x:f>IFERROR(H19/(1+Anyag_Beallitasok!$B$2)*Anyag_Beallitasok!$B$9,"")</x:f>
        <x:v>904.7619047619047</x:v>
      </x:c>
      <x:c r="X19" s="203" t="n">
        <x:f>IFERROR(V19/((1-Anyag_Beallitasok!$B$3)*(1+Anyag_Beallitasok!$B$2)),"")</x:f>
        <x:v>1351.0622710622706</x:v>
      </x:c>
      <x:c r="Y19" s="203" t="n">
        <x:f>IFERROR(V19/((1-Anyag_Beallitasok!$B$4)*(1+Anyag_Beallitasok!$B$2)),"")</x:f>
        <x:v>1756.380952380952</x:v>
      </x:c>
      <x:c r="Z19" s="203" t="n">
        <x:f>IFERROR(ROUNDUP(MAX(W19,X19)/Anyag_Beallitasok!$B$6,0)*Anyag_Beallitasok!$B$6,"")</x:f>
        <x:v>1400</x:v>
      </x:c>
      <x:c r="AA19" s="204" t="n">
        <x:f>Anyag_Beallitasok!$B$2</x:f>
        <x:v>0.05</x:v>
      </x:c>
      <x:c r="AB19" s="203" t="n">
        <x:f>IFERROR(Z19*(1+AA19),"")</x:f>
        <x:v>1470</x:v>
      </x:c>
      <x:c r="AC19" s="204" t="n">
        <x:f>IFERROR(1-V19/H19,"")</x:f>
        <x:v>0.02936842105263171</x:v>
      </x:c>
      <x:c r="AD19" s="204" t="n">
        <x:f>IFERROR(1-V19/AB19,"")</x:f>
        <x:v>0.3727210884353742</x:v>
      </x:c>
      <x:c r="AE19" s="19" t="str">
        <x:f>IF(AC19&lt;Anyag_Beallitasok!$B$3,"NEM ÉRI EL A 35%-OT",IF(AC19&lt;Anyag_Beallitasok!$B$4,"MINIMUM 35–49,9%",IF(AC19&lt;Anyag_Beallitasok!$B$5,"IDEÁLIS 50–59,9%","KIEMELKEDŐ ≥60%")))</x:f>
        <x:v>NEM ÉRI EL A 35%-OT</x:v>
      </x:c>
      <x:c r="AF19" s="204" t="n">
        <x:f>IFERROR(AB19/H19-1,"")</x:f>
        <x:v>0.5473684210526315</x:v>
      </x:c>
      <x:c r="AG19" s="19" t="str">
        <x:f>IF(AND(P19="IGEN",O19&gt;0),IF(AF19&gt;Anyag_Beallitasok!$B$10,"0%-OS SZÁMLA + ÖNADÓZÁS; FELÁR SZÜKSÉGES","0%-OS SZÁMLA + ÖNADÓZÁS"),IF(AF19&gt;Anyag_Beallitasok!$B$10,"FELÁR SZÜKSÉGES A 35%-HOZ",IF(AC19&lt;Anyag_Beallitasok!$B$3,"PIACI ÁRON NEM TARTHATÓ A 35%","OK")))</x:f>
        <x:v>FELÁR SZÜKSÉGES A 35%-HOZ</x:v>
      </x:c>
      <x:c r="AH19" s="207" t="n">
        <x:v>80</x:v>
      </x:c>
      <x:c r="AI19" s="207" t="n">
        <x:v>80</x:v>
      </x:c>
      <x:c r="AJ19" s="207" t="n">
        <x:v>80</x:v>
      </x:c>
      <x:c r="AK19" s="208"/>
      <x:c r="AL19" s="203" t="str">
        <x:f>IF(AK19="","",V19*AK19)</x:f>
      </x:c>
      <x:c r="AM19" s="203" t="str">
        <x:f>IF(AK19="","",AB19*AK19)</x:f>
      </x:c>
      <x:c r="AN19" s="204" t="str">
        <x:f>IFERROR(1-AL19/AM19,"")</x:f>
      </x:c>
      <x:c r="AO19" s="19" t="str">
        <x:v>https://www.argep.hu/trend/16OE/16-oetretegue-csoe-ar.html</x:v>
      </x:c>
      <x:c r="AP19" s="19" t="str">
        <x:v>Mérnöki piaci becslés</x:v>
      </x:c>
      <x:c r="AQ19" s="19" t="str"/>
    </x:row>
    <x:row r="20">
      <x:c r="A20" s="19" t="str">
        <x:v>ANY-0019</x:v>
      </x:c>
      <x:c r="B20" s="19" t="str">
        <x:v>02 Földmunka</x:v>
      </x:c>
      <x:c r="C20" s="19" t="str">
        <x:v>Ömlesztett és drénanyagok</x:v>
      </x:c>
      <x:c r="D20" s="19" t="str">
        <x:v>Mindegyik</x:v>
      </x:c>
      <x:c r="E20" s="19" t="str">
        <x:v>Dréncső geotextil köpennyel DN100</x:v>
      </x:c>
      <x:c r="F20" s="19" t="str">
        <x:v>tekercses</x:v>
      </x:c>
      <x:c r="G20" s="19" t="str">
        <x:v>fm</x:v>
      </x:c>
      <x:c r="H20" s="203" t="n">
        <x:v>1450</x:v>
      </x:c>
      <x:c r="I20" s="204" t="n">
        <x:v>0.27</x:v>
      </x:c>
      <x:c r="J20" s="203" t="n">
        <x:f>IFERROR(H20/(1+I20),"")</x:f>
        <x:v>1141.732283464567</x:v>
      </x:c>
      <x:c r="K20" s="205" t="n">
        <x:v>0.15</x:v>
      </x:c>
      <x:c r="L20" s="203" t="n">
        <x:f>IFERROR(J20*(1-K20),"")</x:f>
        <x:v>970.4724409448819</x:v>
      </x:c>
      <x:c r="M20" s="19" t="str">
        <x:v>27% normál belföldi</x:v>
      </x:c>
      <x:c r="N20" s="204" t="n">
        <x:v>0.27</x:v>
      </x:c>
      <x:c r="O20" s="204" t="n">
        <x:v>0</x:v>
      </x:c>
      <x:c r="P20" s="19" t="str">
        <x:v>NEM</x:v>
      </x:c>
      <x:c r="Q20" s="203" t="n">
        <x:f>IFERROR(L20*(1+N20),"")</x:f>
        <x:v>1232.5</x:v>
      </x:c>
      <x:c r="R20" s="205" t="n">
        <x:v>0.08</x:v>
      </x:c>
      <x:c r="S20" s="203" t="n">
        <x:f>IFERROR(Q20*(1+R20),"")</x:f>
        <x:v>1331.1000000000001</x:v>
      </x:c>
      <x:c r="T20" s="206" t="n">
        <x:v>60</x:v>
      </x:c>
      <x:c r="U20" s="206" t="n">
        <x:v>0</x:v>
      </x:c>
      <x:c r="V20" s="203" t="n">
        <x:f>IFERROR(S20+T20+U20,"")</x:f>
        <x:v>1391.1000000000001</x:v>
      </x:c>
      <x:c r="W20" s="203" t="n">
        <x:f>IFERROR(H20/(1+Anyag_Beallitasok!$B$2)*Anyag_Beallitasok!$B$9,"")</x:f>
        <x:v>1380.952380952381</x:v>
      </x:c>
      <x:c r="X20" s="203" t="n">
        <x:f>IFERROR(V20/((1-Anyag_Beallitasok!$B$3)*(1+Anyag_Beallitasok!$B$2)),"")</x:f>
        <x:v>2038.2417582417581</x:v>
      </x:c>
      <x:c r="Y20" s="203" t="n">
        <x:f>IFERROR(V20/((1-Anyag_Beallitasok!$B$4)*(1+Anyag_Beallitasok!$B$2)),"")</x:f>
        <x:v>2649.714285714286</x:v>
      </x:c>
      <x:c r="Z20" s="203" t="n">
        <x:f>IFERROR(ROUNDUP(MAX(W20,X20)/Anyag_Beallitasok!$B$6,0)*Anyag_Beallitasok!$B$6,"")</x:f>
        <x:v>2050</x:v>
      </x:c>
      <x:c r="AA20" s="204" t="n">
        <x:f>Anyag_Beallitasok!$B$2</x:f>
        <x:v>0.05</x:v>
      </x:c>
      <x:c r="AB20" s="203" t="n">
        <x:f>IFERROR(Z20*(1+AA20),"")</x:f>
        <x:v>2152.5</x:v>
      </x:c>
      <x:c r="AC20" s="204" t="n">
        <x:f>IFERROR(1-V20/H20,"")</x:f>
        <x:v>0.04062068965517229</x:v>
      </x:c>
      <x:c r="AD20" s="204" t="n">
        <x:f>IFERROR(1-V20/AB20,"")</x:f>
        <x:v>0.35372822299651563</x:v>
      </x:c>
      <x:c r="AE20" s="19" t="str">
        <x:f>IF(AC20&lt;Anyag_Beallitasok!$B$3,"NEM ÉRI EL A 35%-OT",IF(AC20&lt;Anyag_Beallitasok!$B$4,"MINIMUM 35–49,9%",IF(AC20&lt;Anyag_Beallitasok!$B$5,"IDEÁLIS 50–59,9%","KIEMELKEDŐ ≥60%")))</x:f>
        <x:v>NEM ÉRI EL A 35%-OT</x:v>
      </x:c>
      <x:c r="AF20" s="204" t="n">
        <x:f>IFERROR(AB20/H20-1,"")</x:f>
        <x:v>0.4844827586206897</x:v>
      </x:c>
      <x:c r="AG20" s="19" t="str">
        <x:f>IF(AND(P20="IGEN",O20&gt;0),IF(AF20&gt;Anyag_Beallitasok!$B$10,"0%-OS SZÁMLA + ÖNADÓZÁS; FELÁR SZÜKSÉGES","0%-OS SZÁMLA + ÖNADÓZÁS"),IF(AF20&gt;Anyag_Beallitasok!$B$10,"FELÁR SZÜKSÉGES A 35%-HOZ",IF(AC20&lt;Anyag_Beallitasok!$B$3,"PIACI ÁRON NEM TARTHATÓ A 35%","OK")))</x:f>
        <x:v>FELÁR SZÜKSÉGES A 35%-HOZ</x:v>
      </x:c>
      <x:c r="AH20" s="207" t="n">
        <x:v>0</x:v>
      </x:c>
      <x:c r="AI20" s="207" t="n">
        <x:v>0</x:v>
      </x:c>
      <x:c r="AJ20" s="207" t="n">
        <x:v>0</x:v>
      </x:c>
      <x:c r="AK20" s="208"/>
      <x:c r="AL20" s="203" t="str">
        <x:f>IF(AK20="","",V20*AK20)</x:f>
      </x:c>
      <x:c r="AM20" s="203" t="str">
        <x:f>IF(AK20="","",AB20*AK20)</x:f>
      </x:c>
      <x:c r="AN20" s="204" t="str">
        <x:f>IFERROR(1-AL20/AM20,"")</x:f>
      </x:c>
      <x:c r="AO20" s="19" t="str">
        <x:v>https://www.argep.hu/trend/16OE/16-oetretegue-csoe-ar.html</x:v>
      </x:c>
      <x:c r="AP20" s="19" t="str">
        <x:v>Mérnöki piaci becslés</x:v>
      </x:c>
      <x:c r="AQ20" s="19" t="str"/>
    </x:row>
    <x:row r="21">
      <x:c r="A21" s="19" t="str">
        <x:v>ANY-0020</x:v>
      </x:c>
      <x:c r="B21" s="19" t="str">
        <x:v>02 Földmunka</x:v>
      </x:c>
      <x:c r="C21" s="19" t="str">
        <x:v>Ömlesztett és drénanyagok</x:v>
      </x:c>
      <x:c r="D21" s="19" t="str">
        <x:v>Mindegyik</x:v>
      </x:c>
      <x:c r="E21" s="19" t="str">
        <x:v>Drén ellenőrző akna</x:v>
      </x:c>
      <x:c r="F21" s="19" t="str">
        <x:v>DN315</x:v>
      </x:c>
      <x:c r="G21" s="19" t="str">
        <x:v>db</x:v>
      </x:c>
      <x:c r="H21" s="203" t="n">
        <x:v>28000</x:v>
      </x:c>
      <x:c r="I21" s="204" t="n">
        <x:v>0.27</x:v>
      </x:c>
      <x:c r="J21" s="203" t="n">
        <x:f>IFERROR(H21/(1+I21),"")</x:f>
        <x:v>22047.24409448819</x:v>
      </x:c>
      <x:c r="K21" s="205" t="n">
        <x:v>0.18</x:v>
      </x:c>
      <x:c r="L21" s="203" t="n">
        <x:f>IFERROR(J21*(1-K21),"")</x:f>
        <x:v>18078.740157480315</x:v>
      </x:c>
      <x:c r="M21" s="19" t="str">
        <x:v>27% normál belföldi</x:v>
      </x:c>
      <x:c r="N21" s="204" t="n">
        <x:v>0.27</x:v>
      </x:c>
      <x:c r="O21" s="204" t="n">
        <x:v>0</x:v>
      </x:c>
      <x:c r="P21" s="19" t="str">
        <x:v>NEM</x:v>
      </x:c>
      <x:c r="Q21" s="203" t="n">
        <x:f>IFERROR(L21*(1+N21),"")</x:f>
        <x:v>22960</x:v>
      </x:c>
      <x:c r="R21" s="205" t="n">
        <x:v>0.03</x:v>
      </x:c>
      <x:c r="S21" s="203" t="n">
        <x:f>IFERROR(Q21*(1+R21),"")</x:f>
        <x:v>23648.8</x:v>
      </x:c>
      <x:c r="T21" s="206" t="n">
        <x:v>1500</x:v>
      </x:c>
      <x:c r="U21" s="206" t="n">
        <x:v>0</x:v>
      </x:c>
      <x:c r="V21" s="203" t="n">
        <x:f>IFERROR(S21+T21+U21,"")</x:f>
        <x:v>25148.8</x:v>
      </x:c>
      <x:c r="W21" s="203" t="n">
        <x:f>IFERROR(H21/(1+Anyag_Beallitasok!$B$2)*Anyag_Beallitasok!$B$9,"")</x:f>
        <x:v>26666.666666666664</x:v>
      </x:c>
      <x:c r="X21" s="203" t="n">
        <x:f>IFERROR(V21/((1-Anyag_Beallitasok!$B$3)*(1+Anyag_Beallitasok!$B$2)),"")</x:f>
        <x:v>36848.0586080586</x:v>
      </x:c>
      <x:c r="Y21" s="203" t="n">
        <x:f>IFERROR(V21/((1-Anyag_Beallitasok!$B$4)*(1+Anyag_Beallitasok!$B$2)),"")</x:f>
        <x:v>47902.47619047618</x:v>
      </x:c>
      <x:c r="Z21" s="203" t="n">
        <x:f>IFERROR(ROUNDUP(MAX(W21,X21)/Anyag_Beallitasok!$B$6,0)*Anyag_Beallitasok!$B$6,"")</x:f>
        <x:v>36850</x:v>
      </x:c>
      <x:c r="AA21" s="204" t="n">
        <x:f>Anyag_Beallitasok!$B$2</x:f>
        <x:v>0.05</x:v>
      </x:c>
      <x:c r="AB21" s="203" t="n">
        <x:f>IFERROR(Z21*(1+AA21),"")</x:f>
        <x:v>38692.5</x:v>
      </x:c>
      <x:c r="AC21" s="204" t="n">
        <x:f>IFERROR(1-V21/H21,"")</x:f>
        <x:v>0.10182857142857149</x:v>
      </x:c>
      <x:c r="AD21" s="204" t="n">
        <x:f>IFERROR(1-V21/AB21,"")</x:f>
        <x:v>0.35003424436260255</x:v>
      </x:c>
      <x:c r="AE21" s="19" t="str">
        <x:f>IF(AC21&lt;Anyag_Beallitasok!$B$3,"NEM ÉRI EL A 35%-OT",IF(AC21&lt;Anyag_Beallitasok!$B$4,"MINIMUM 35–49,9%",IF(AC21&lt;Anyag_Beallitasok!$B$5,"IDEÁLIS 50–59,9%","KIEMELKEDŐ ≥60%")))</x:f>
        <x:v>NEM ÉRI EL A 35%-OT</x:v>
      </x:c>
      <x:c r="AF21" s="204" t="n">
        <x:f>IFERROR(AB21/H21-1,"")</x:f>
        <x:v>0.38187499999999996</x:v>
      </x:c>
      <x:c r="AG21" s="19" t="str">
        <x:f>IF(AND(P21="IGEN",O21&gt;0),IF(AF21&gt;Anyag_Beallitasok!$B$10,"0%-OS SZÁMLA + ÖNADÓZÁS; FELÁR SZÜKSÉGES","0%-OS SZÁMLA + ÖNADÓZÁS"),IF(AF21&gt;Anyag_Beallitasok!$B$10,"FELÁR SZÜKSÉGES A 35%-HOZ",IF(AC21&lt;Anyag_Beallitasok!$B$3,"PIACI ÁRON NEM TARTHATÓ A 35%","OK")))</x:f>
        <x:v>FELÁR SZÜKSÉGES A 35%-HOZ</x:v>
      </x:c>
      <x:c r="AH21" s="207" t="n">
        <x:v>4</x:v>
      </x:c>
      <x:c r="AI21" s="207" t="n">
        <x:v>4</x:v>
      </x:c>
      <x:c r="AJ21" s="207" t="n">
        <x:v>4</x:v>
      </x:c>
      <x:c r="AK21" s="208"/>
      <x:c r="AL21" s="203" t="str">
        <x:f>IF(AK21="","",V21*AK21)</x:f>
      </x:c>
      <x:c r="AM21" s="203" t="str">
        <x:f>IF(AK21="","",AB21*AK21)</x:f>
      </x:c>
      <x:c r="AN21" s="204" t="str">
        <x:f>IFERROR(1-AL21/AM21,"")</x:f>
      </x:c>
      <x:c r="AO21" s="19" t="str">
        <x:v>https://www.argep.hu/trend/16OE/16-oetretegue-csoe-ar.html</x:v>
      </x:c>
      <x:c r="AP21" s="19" t="str">
        <x:v>Mérnöki piaci becslés</x:v>
      </x:c>
      <x:c r="AQ21" s="19" t="str"/>
    </x:row>
    <x:row r="22">
      <x:c r="A22" s="19" t="str">
        <x:v>ANY-0021</x:v>
      </x:c>
      <x:c r="B22" s="19" t="str">
        <x:v>02 Földmunka</x:v>
      </x:c>
      <x:c r="C22" s="19" t="str">
        <x:v>Ömlesztett és drénanyagok</x:v>
      </x:c>
      <x:c r="D22" s="19" t="str">
        <x:v>Mindegyik</x:v>
      </x:c>
      <x:c r="E22" s="19" t="str">
        <x:v>Szikkasztóblokk</x:v>
      </x:c>
      <x:c r="F22" s="19" t="str">
        <x:v>kb. 300 l/modul</x:v>
      </x:c>
      <x:c r="G22" s="19" t="str">
        <x:v>db</x:v>
      </x:c>
      <x:c r="H22" s="203" t="n">
        <x:v>38000</x:v>
      </x:c>
      <x:c r="I22" s="204" t="n">
        <x:v>0.27</x:v>
      </x:c>
      <x:c r="J22" s="203" t="n">
        <x:f>IFERROR(H22/(1+I22),"")</x:f>
        <x:v>29921.259842519685</x:v>
      </x:c>
      <x:c r="K22" s="205" t="n">
        <x:v>0.18</x:v>
      </x:c>
      <x:c r="L22" s="203" t="n">
        <x:f>IFERROR(J22*(1-K22),"")</x:f>
        <x:v>24535.433070866144</x:v>
      </x:c>
      <x:c r="M22" s="19" t="str">
        <x:v>27% normál belföldi</x:v>
      </x:c>
      <x:c r="N22" s="204" t="n">
        <x:v>0.27</x:v>
      </x:c>
      <x:c r="O22" s="204" t="n">
        <x:v>0</x:v>
      </x:c>
      <x:c r="P22" s="19" t="str">
        <x:v>NEM</x:v>
      </x:c>
      <x:c r="Q22" s="203" t="n">
        <x:f>IFERROR(L22*(1+N22),"")</x:f>
        <x:v>31160.000000000004</x:v>
      </x:c>
      <x:c r="R22" s="205" t="n">
        <x:v>0.03</x:v>
      </x:c>
      <x:c r="S22" s="203" t="n">
        <x:f>IFERROR(Q22*(1+R22),"")</x:f>
        <x:v>32094.800000000003</x:v>
      </x:c>
      <x:c r="T22" s="206" t="n">
        <x:v>2500</x:v>
      </x:c>
      <x:c r="U22" s="206" t="n">
        <x:v>0</x:v>
      </x:c>
      <x:c r="V22" s="203" t="n">
        <x:f>IFERROR(S22+T22+U22,"")</x:f>
        <x:v>34594.8</x:v>
      </x:c>
      <x:c r="W22" s="203" t="n">
        <x:f>IFERROR(H22/(1+Anyag_Beallitasok!$B$2)*Anyag_Beallitasok!$B$9,"")</x:f>
        <x:v>36190.47619047619</x:v>
      </x:c>
      <x:c r="X22" s="203" t="n">
        <x:f>IFERROR(V22/((1-Anyag_Beallitasok!$B$3)*(1+Anyag_Beallitasok!$B$2)),"")</x:f>
        <x:v>50688.35164835164</x:v>
      </x:c>
      <x:c r="Y22" s="203" t="n">
        <x:f>IFERROR(V22/((1-Anyag_Beallitasok!$B$4)*(1+Anyag_Beallitasok!$B$2)),"")</x:f>
        <x:v>65894.85714285714</x:v>
      </x:c>
      <x:c r="Z22" s="203" t="n">
        <x:f>IFERROR(ROUNDUP(MAX(W22,X22)/Anyag_Beallitasok!$B$6,0)*Anyag_Beallitasok!$B$6,"")</x:f>
        <x:v>50700</x:v>
      </x:c>
      <x:c r="AA22" s="204" t="n">
        <x:f>Anyag_Beallitasok!$B$2</x:f>
        <x:v>0.05</x:v>
      </x:c>
      <x:c r="AB22" s="203" t="n">
        <x:f>IFERROR(Z22*(1+AA22),"")</x:f>
        <x:v>53235</x:v>
      </x:c>
      <x:c r="AC22" s="204" t="n">
        <x:f>IFERROR(1-V22/H22,"")</x:f>
        <x:v>0.08961052631578936</x:v>
      </x:c>
      <x:c r="AD22" s="204" t="n">
        <x:f>IFERROR(1-V22/AB22,"")</x:f>
        <x:v>0.3501493378416455</x:v>
      </x:c>
      <x:c r="AE22" s="19" t="str">
        <x:f>IF(AC22&lt;Anyag_Beallitasok!$B$3,"NEM ÉRI EL A 35%-OT",IF(AC22&lt;Anyag_Beallitasok!$B$4,"MINIMUM 35–49,9%",IF(AC22&lt;Anyag_Beallitasok!$B$5,"IDEÁLIS 50–59,9%","KIEMELKEDŐ ≥60%")))</x:f>
        <x:v>NEM ÉRI EL A 35%-OT</x:v>
      </x:c>
      <x:c r="AF22" s="204" t="n">
        <x:f>IFERROR(AB22/H22-1,"")</x:f>
        <x:v>0.40092105263157896</x:v>
      </x:c>
      <x:c r="AG22" s="19" t="str">
        <x:f>IF(AND(P22="IGEN",O22&gt;0),IF(AF22&gt;Anyag_Beallitasok!$B$10,"0%-OS SZÁMLA + ÖNADÓZÁS; FELÁR SZÜKSÉGES","0%-OS SZÁMLA + ÖNADÓZÁS"),IF(AF22&gt;Anyag_Beallitasok!$B$10,"FELÁR SZÜKSÉGES A 35%-HOZ",IF(AC22&lt;Anyag_Beallitasok!$B$3,"PIACI ÁRON NEM TARTHATÓ A 35%","OK")))</x:f>
        <x:v>FELÁR SZÜKSÉGES A 35%-HOZ</x:v>
      </x:c>
      <x:c r="AH22" s="207" t="n">
        <x:v>12</x:v>
      </x:c>
      <x:c r="AI22" s="207" t="n">
        <x:v>12</x:v>
      </x:c>
      <x:c r="AJ22" s="207" t="n">
        <x:v>12</x:v>
      </x:c>
      <x:c r="AK22" s="208"/>
      <x:c r="AL22" s="203" t="str">
        <x:f>IF(AK22="","",V22*AK22)</x:f>
      </x:c>
      <x:c r="AM22" s="203" t="str">
        <x:f>IF(AK22="","",AB22*AK22)</x:f>
      </x:c>
      <x:c r="AN22" s="204" t="str">
        <x:f>IFERROR(1-AL22/AM22,"")</x:f>
      </x:c>
      <x:c r="AO22" s="19" t="str">
        <x:v>https://www.argep.hu/trend/16OE/16-oetretegue-csoe-ar.html</x:v>
      </x:c>
      <x:c r="AP22" s="19" t="str">
        <x:v>Mérnöki piaci becslés</x:v>
      </x:c>
      <x:c r="AQ22" s="19" t="str"/>
    </x:row>
    <x:row r="23">
      <x:c r="A23" s="19" t="str">
        <x:v>ANY-0022</x:v>
      </x:c>
      <x:c r="B23" s="19" t="str">
        <x:v>02 Földmunka</x:v>
      </x:c>
      <x:c r="C23" s="19" t="str">
        <x:v>Ömlesztett és drénanyagok</x:v>
      </x:c>
      <x:c r="D23" s="19" t="str">
        <x:v>Mindegyik</x:v>
      </x:c>
      <x:c r="E23" s="19" t="str">
        <x:v>Esővízgyűjtő tartály</x:v>
      </x:c>
      <x:c r="F23" s="19" t="str">
        <x:v>5 m³ föld alatti</x:v>
      </x:c>
      <x:c r="G23" s="19" t="str">
        <x:v>db</x:v>
      </x:c>
      <x:c r="H23" s="203" t="n">
        <x:v>690000</x:v>
      </x:c>
      <x:c r="I23" s="204" t="n">
        <x:v>0.27</x:v>
      </x:c>
      <x:c r="J23" s="203" t="n">
        <x:f>IFERROR(H23/(1+I23),"")</x:f>
        <x:v>543307.0866141733</x:v>
      </x:c>
      <x:c r="K23" s="205" t="n">
        <x:v>0.15</x:v>
      </x:c>
      <x:c r="L23" s="203" t="n">
        <x:f>IFERROR(J23*(1-K23),"")</x:f>
        <x:v>461811.0236220473</x:v>
      </x:c>
      <x:c r="M23" s="19" t="str">
        <x:v>27% normál belföldi</x:v>
      </x:c>
      <x:c r="N23" s="204" t="n">
        <x:v>0.27</x:v>
      </x:c>
      <x:c r="O23" s="204" t="n">
        <x:v>0</x:v>
      </x:c>
      <x:c r="P23" s="19" t="str">
        <x:v>NEM</x:v>
      </x:c>
      <x:c r="Q23" s="203" t="n">
        <x:f>IFERROR(L23*(1+N23),"")</x:f>
        <x:v>586500</x:v>
      </x:c>
      <x:c r="R23" s="205" t="n">
        <x:v>0.02</x:v>
      </x:c>
      <x:c r="S23" s="203" t="n">
        <x:f>IFERROR(Q23*(1+R23),"")</x:f>
        <x:v>598230</x:v>
      </x:c>
      <x:c r="T23" s="206" t="n">
        <x:v>45000</x:v>
      </x:c>
      <x:c r="U23" s="206" t="n">
        <x:v>0</x:v>
      </x:c>
      <x:c r="V23" s="203" t="n">
        <x:f>IFERROR(S23+T23+U23,"")</x:f>
        <x:v>643230</x:v>
      </x:c>
      <x:c r="W23" s="203" t="n">
        <x:f>IFERROR(H23/(1+Anyag_Beallitasok!$B$2)*Anyag_Beallitasok!$B$9,"")</x:f>
        <x:v>657142.8571428572</x:v>
      </x:c>
      <x:c r="X23" s="203" t="n">
        <x:f>IFERROR(V23/((1-Anyag_Beallitasok!$B$3)*(1+Anyag_Beallitasok!$B$2)),"")</x:f>
        <x:v>942461.5384615383</x:v>
      </x:c>
      <x:c r="Y23" s="203" t="n">
        <x:f>IFERROR(V23/((1-Anyag_Beallitasok!$B$4)*(1+Anyag_Beallitasok!$B$2)),"")</x:f>
        <x:v>1225200</x:v>
      </x:c>
      <x:c r="Z23" s="203" t="n">
        <x:f>IFERROR(ROUNDUP(MAX(W23,X23)/Anyag_Beallitasok!$B$6,0)*Anyag_Beallitasok!$B$6,"")</x:f>
        <x:v>942500</x:v>
      </x:c>
      <x:c r="AA23" s="204" t="n">
        <x:f>Anyag_Beallitasok!$B$2</x:f>
        <x:v>0.05</x:v>
      </x:c>
      <x:c r="AB23" s="203" t="n">
        <x:f>IFERROR(Z23*(1+AA23),"")</x:f>
        <x:v>989625</x:v>
      </x:c>
      <x:c r="AC23" s="204" t="n">
        <x:f>IFERROR(1-V23/H23,"")</x:f>
        <x:v>0.06778260869565222</x:v>
      </x:c>
      <x:c r="AD23" s="204" t="n">
        <x:f>IFERROR(1-V23/AB23,"")</x:f>
        <x:v>0.35002652519893895</x:v>
      </x:c>
      <x:c r="AE23" s="19" t="str">
        <x:f>IF(AC23&lt;Anyag_Beallitasok!$B$3,"NEM ÉRI EL A 35%-OT",IF(AC23&lt;Anyag_Beallitasok!$B$4,"MINIMUM 35–49,9%",IF(AC23&lt;Anyag_Beallitasok!$B$5,"IDEÁLIS 50–59,9%","KIEMELKEDŐ ≥60%")))</x:f>
        <x:v>NEM ÉRI EL A 35%-OT</x:v>
      </x:c>
      <x:c r="AF23" s="204" t="n">
        <x:f>IFERROR(AB23/H23-1,"")</x:f>
        <x:v>0.43423913043478257</x:v>
      </x:c>
      <x:c r="AG23" s="19" t="str">
        <x:f>IF(AND(P23="IGEN",O23&gt;0),IF(AF23&gt;Anyag_Beallitasok!$B$10,"0%-OS SZÁMLA + ÖNADÓZÁS; FELÁR SZÜKSÉGES","0%-OS SZÁMLA + ÖNADÓZÁS"),IF(AF23&gt;Anyag_Beallitasok!$B$10,"FELÁR SZÜKSÉGES A 35%-HOZ",IF(AC23&lt;Anyag_Beallitasok!$B$3,"PIACI ÁRON NEM TARTHATÓ A 35%","OK")))</x:f>
        <x:v>FELÁR SZÜKSÉGES A 35%-HOZ</x:v>
      </x:c>
      <x:c r="AH23" s="207" t="n">
        <x:v>0</x:v>
      </x:c>
      <x:c r="AI23" s="207" t="n">
        <x:v>0</x:v>
      </x:c>
      <x:c r="AJ23" s="207" t="n">
        <x:v>0</x:v>
      </x:c>
      <x:c r="AK23" s="208"/>
      <x:c r="AL23" s="203" t="str">
        <x:f>IF(AK23="","",V23*AK23)</x:f>
      </x:c>
      <x:c r="AM23" s="203" t="str">
        <x:f>IF(AK23="","",AB23*AK23)</x:f>
      </x:c>
      <x:c r="AN23" s="204" t="str">
        <x:f>IFERROR(1-AL23/AM23,"")</x:f>
      </x:c>
      <x:c r="AO23" s="19" t="str">
        <x:v>https://www.argep.hu/trend/16OE/16-oetretegue-csoe-ar.html</x:v>
      </x:c>
      <x:c r="AP23" s="19" t="str">
        <x:v>Projektfüggő piaci becslés</x:v>
      </x:c>
      <x:c r="AQ23" s="19" t="str">
        <x:v>Beemelés külön gépdíj.</x:v>
      </x:c>
    </x:row>
    <x:row r="24">
      <x:c r="A24" s="19" t="str">
        <x:v>ANY-0023</x:v>
      </x:c>
      <x:c r="B24" s="19" t="str">
        <x:v>03 Vasbeton</x:v>
      </x:c>
      <x:c r="C24" s="19" t="str">
        <x:v>Beton, acél és zsaluzat</x:v>
      </x:c>
      <x:c r="D24" s="19" t="str">
        <x:v>Mindegyik</x:v>
      </x:c>
      <x:c r="E24" s="19" t="str">
        <x:v>Transzportbeton C8/10 F2</x:v>
      </x:c>
      <x:c r="F24" s="19" t="str">
        <x:v>aljzat, feltöltés</x:v>
      </x:c>
      <x:c r="G24" s="19" t="str">
        <x:v>m³</x:v>
      </x:c>
      <x:c r="H24" s="203" t="n">
        <x:v>44577</x:v>
      </x:c>
      <x:c r="I24" s="204" t="n">
        <x:v>0.27</x:v>
      </x:c>
      <x:c r="J24" s="203" t="n">
        <x:f>IFERROR(H24/(1+I24),"")</x:f>
        <x:v>35100</x:v>
      </x:c>
      <x:c r="K24" s="205" t="n">
        <x:v>0.05</x:v>
      </x:c>
      <x:c r="L24" s="203" t="n">
        <x:f>IFERROR(J24*(1-K24),"")</x:f>
        <x:v>33345</x:v>
      </x:c>
      <x:c r="M24" s="19" t="str">
        <x:v>27% normál belföldi</x:v>
      </x:c>
      <x:c r="N24" s="204" t="n">
        <x:v>0.27</x:v>
      </x:c>
      <x:c r="O24" s="204" t="n">
        <x:v>0</x:v>
      </x:c>
      <x:c r="P24" s="19" t="str">
        <x:v>NEM</x:v>
      </x:c>
      <x:c r="Q24" s="203" t="n">
        <x:f>IFERROR(L24*(1+N24),"")</x:f>
        <x:v>42348.15</x:v>
      </x:c>
      <x:c r="R24" s="205" t="n">
        <x:v>0.03</x:v>
      </x:c>
      <x:c r="S24" s="203" t="n">
        <x:f>IFERROR(Q24*(1+R24),"")</x:f>
        <x:v>43618.5945</x:v>
      </x:c>
      <x:c r="T24" s="206" t="n">
        <x:v>7500</x:v>
      </x:c>
      <x:c r="U24" s="206" t="n">
        <x:v>0</x:v>
      </x:c>
      <x:c r="V24" s="203" t="n">
        <x:f>IFERROR(S24+T24+U24,"")</x:f>
        <x:v>51118.5945</x:v>
      </x:c>
      <x:c r="W24" s="203" t="n">
        <x:f>IFERROR(H24/(1+Anyag_Beallitasok!$B$2)*Anyag_Beallitasok!$B$9,"")</x:f>
        <x:v>42454.28571428571</x:v>
      </x:c>
      <x:c r="X24" s="203" t="n">
        <x:f>IFERROR(V24/((1-Anyag_Beallitasok!$B$3)*(1+Anyag_Beallitasok!$B$2)),"")</x:f>
        <x:v>74899.03956043955</x:v>
      </x:c>
      <x:c r="Y24" s="203" t="n">
        <x:f>IFERROR(V24/((1-Anyag_Beallitasok!$B$4)*(1+Anyag_Beallitasok!$B$2)),"")</x:f>
        <x:v>97368.75142857143</x:v>
      </x:c>
      <x:c r="Z24" s="203" t="n">
        <x:f>IFERROR(ROUNDUP(MAX(W24,X24)/Anyag_Beallitasok!$B$6,0)*Anyag_Beallitasok!$B$6,"")</x:f>
        <x:v>74900</x:v>
      </x:c>
      <x:c r="AA24" s="204" t="n">
        <x:f>Anyag_Beallitasok!$B$2</x:f>
        <x:v>0.05</x:v>
      </x:c>
      <x:c r="AB24" s="203" t="n">
        <x:f>IFERROR(Z24*(1+AA24),"")</x:f>
        <x:v>78645</x:v>
      </x:c>
      <x:c r="AC24" s="204" t="n">
        <x:f>IFERROR(1-V24/H24,"")</x:f>
        <x:v>-0.1467481997442628</x:v>
      </x:c>
      <x:c r="AD24" s="204" t="n">
        <x:f>IFERROR(1-V24/AB24,"")</x:f>
        <x:v>0.3500083349227542</x:v>
      </x:c>
      <x:c r="AE24" s="19" t="str">
        <x:f>IF(AC24&lt;Anyag_Beallitasok!$B$3,"NEM ÉRI EL A 35%-OT",IF(AC24&lt;Anyag_Beallitasok!$B$4,"MINIMUM 35–49,9%",IF(AC24&lt;Anyag_Beallitasok!$B$5,"IDEÁLIS 50–59,9%","KIEMELKEDŐ ≥60%")))</x:f>
        <x:v>NEM ÉRI EL A 35%-OT</x:v>
      </x:c>
      <x:c r="AF24" s="204" t="n">
        <x:f>IFERROR(AB24/H24-1,"")</x:f>
        <x:v>0.764250622518339</x:v>
      </x:c>
      <x:c r="AG24" s="19" t="str">
        <x:f>IF(AND(P24="IGEN",O24&gt;0),IF(AF24&gt;Anyag_Beallitasok!$B$10,"0%-OS SZÁMLA + ÖNADÓZÁS; FELÁR SZÜKSÉGES","0%-OS SZÁMLA + ÖNADÓZÁS"),IF(AF24&gt;Anyag_Beallitasok!$B$10,"FELÁR SZÜKSÉGES A 35%-HOZ",IF(AC24&lt;Anyag_Beallitasok!$B$3,"PIACI ÁRON NEM TARTHATÓ A 35%","OK")))</x:f>
        <x:v>FELÁR SZÜKSÉGES A 35%-HOZ</x:v>
      </x:c>
      <x:c r="AH24" s="207" t="n">
        <x:v>6</x:v>
      </x:c>
      <x:c r="AI24" s="207" t="n">
        <x:v>6</x:v>
      </x:c>
      <x:c r="AJ24" s="207" t="n">
        <x:v>6</x:v>
      </x:c>
      <x:c r="AK24" s="208"/>
      <x:c r="AL24" s="203" t="str">
        <x:f>IF(AK24="","",V24*AK24)</x:f>
      </x:c>
      <x:c r="AM24" s="203" t="str">
        <x:f>IF(AK24="","",AB24*AK24)</x:f>
      </x:c>
      <x:c r="AN24" s="204" t="str">
        <x:f>IFERROR(1-AL24/AM24,"")</x:f>
      </x:c>
      <x:c r="AO24" s="19" t="str">
        <x:v>https://www.betonpartner.hu/www.betonpartner.hu/documents/Budapest_Transzportbeton_arlista_2026_gOX48.pdf</x:v>
      </x:c>
      <x:c r="AP24" s="19" t="str">
        <x:v>Közvetlen 2026 árlista</x:v>
      </x:c>
      <x:c r="AQ24" s="19" t="str"/>
    </x:row>
    <x:row r="25">
      <x:c r="A25" s="19" t="str">
        <x:v>ANY-0024</x:v>
      </x:c>
      <x:c r="B25" s="19" t="str">
        <x:v>03 Vasbeton</x:v>
      </x:c>
      <x:c r="C25" s="19" t="str">
        <x:v>Beton, acél és zsaluzat</x:v>
      </x:c>
      <x:c r="D25" s="19" t="str">
        <x:v>Mindegyik</x:v>
      </x:c>
      <x:c r="E25" s="19" t="str">
        <x:v>Transzportbeton C16/20 F2</x:v>
      </x:c>
      <x:c r="F25" s="19" t="str">
        <x:v>sávalap, szerelőbeton</x:v>
      </x:c>
      <x:c r="G25" s="19" t="str">
        <x:v>m³</x:v>
      </x:c>
      <x:c r="H25" s="203" t="n">
        <x:v>46609</x:v>
      </x:c>
      <x:c r="I25" s="204" t="n">
        <x:v>0.27</x:v>
      </x:c>
      <x:c r="J25" s="203" t="n">
        <x:f>IFERROR(H25/(1+I25),"")</x:f>
        <x:v>36700</x:v>
      </x:c>
      <x:c r="K25" s="205" t="n">
        <x:v>0.05</x:v>
      </x:c>
      <x:c r="L25" s="203" t="n">
        <x:f>IFERROR(J25*(1-K25),"")</x:f>
        <x:v>34865</x:v>
      </x:c>
      <x:c r="M25" s="19" t="str">
        <x:v>27% normál belföldi</x:v>
      </x:c>
      <x:c r="N25" s="204" t="n">
        <x:v>0.27</x:v>
      </x:c>
      <x:c r="O25" s="204" t="n">
        <x:v>0</x:v>
      </x:c>
      <x:c r="P25" s="19" t="str">
        <x:v>NEM</x:v>
      </x:c>
      <x:c r="Q25" s="203" t="n">
        <x:f>IFERROR(L25*(1+N25),"")</x:f>
        <x:v>44278.55</x:v>
      </x:c>
      <x:c r="R25" s="205" t="n">
        <x:v>0.03</x:v>
      </x:c>
      <x:c r="S25" s="203" t="n">
        <x:f>IFERROR(Q25*(1+R25),"")</x:f>
        <x:v>45606.906500000005</x:v>
      </x:c>
      <x:c r="T25" s="206" t="n">
        <x:v>7500</x:v>
      </x:c>
      <x:c r="U25" s="206" t="n">
        <x:v>0</x:v>
      </x:c>
      <x:c r="V25" s="203" t="n">
        <x:f>IFERROR(S25+T25+U25,"")</x:f>
        <x:v>53106.906500000005</x:v>
      </x:c>
      <x:c r="W25" s="203" t="n">
        <x:f>IFERROR(H25/(1+Anyag_Beallitasok!$B$2)*Anyag_Beallitasok!$B$9,"")</x:f>
        <x:v>44389.52380952381</x:v>
      </x:c>
      <x:c r="X25" s="203" t="n">
        <x:f>IFERROR(V25/((1-Anyag_Beallitasok!$B$3)*(1+Anyag_Beallitasok!$B$2)),"")</x:f>
        <x:v>77812.31721611721</x:v>
      </x:c>
      <x:c r="Y25" s="203" t="n">
        <x:f>IFERROR(V25/((1-Anyag_Beallitasok!$B$4)*(1+Anyag_Beallitasok!$B$2)),"")</x:f>
        <x:v>101156.01238095238</x:v>
      </x:c>
      <x:c r="Z25" s="203" t="n">
        <x:f>IFERROR(ROUNDUP(MAX(W25,X25)/Anyag_Beallitasok!$B$6,0)*Anyag_Beallitasok!$B$6,"")</x:f>
        <x:v>77850</x:v>
      </x:c>
      <x:c r="AA25" s="204" t="n">
        <x:f>Anyag_Beallitasok!$B$2</x:f>
        <x:v>0.05</x:v>
      </x:c>
      <x:c r="AB25" s="203" t="n">
        <x:f>IFERROR(Z25*(1+AA25),"")</x:f>
        <x:v>81742.5</x:v>
      </x:c>
      <x:c r="AC25" s="204" t="n">
        <x:f>IFERROR(1-V25/H25,"")</x:f>
        <x:v>-0.13941312836576647</x:v>
      </x:c>
      <x:c r="AD25" s="204" t="n">
        <x:f>IFERROR(1-V25/AB25,"")</x:f>
        <x:v>0.3503146282533566</x:v>
      </x:c>
      <x:c r="AE25" s="19" t="str">
        <x:f>IF(AC25&lt;Anyag_Beallitasok!$B$3,"NEM ÉRI EL A 35%-OT",IF(AC25&lt;Anyag_Beallitasok!$B$4,"MINIMUM 35–49,9%",IF(AC25&lt;Anyag_Beallitasok!$B$5,"IDEÁLIS 50–59,9%","KIEMELKEDŐ ≥60%")))</x:f>
        <x:v>NEM ÉRI EL A 35%-OT</x:v>
      </x:c>
      <x:c r="AF25" s="204" t="n">
        <x:f>IFERROR(AB25/H25-1,"")</x:f>
        <x:v>0.7537921860584866</x:v>
      </x:c>
      <x:c r="AG25" s="19" t="str">
        <x:f>IF(AND(P25="IGEN",O25&gt;0),IF(AF25&gt;Anyag_Beallitasok!$B$10,"0%-OS SZÁMLA + ÖNADÓZÁS; FELÁR SZÜKSÉGES","0%-OS SZÁMLA + ÖNADÓZÁS"),IF(AF25&gt;Anyag_Beallitasok!$B$10,"FELÁR SZÜKSÉGES A 35%-HOZ",IF(AC25&lt;Anyag_Beallitasok!$B$3,"PIACI ÁRON NEM TARTHATÓ A 35%","OK")))</x:f>
        <x:v>FELÁR SZÜKSÉGES A 35%-HOZ</x:v>
      </x:c>
      <x:c r="AH25" s="207" t="n">
        <x:v>18</x:v>
      </x:c>
      <x:c r="AI25" s="207" t="n">
        <x:v>18</x:v>
      </x:c>
      <x:c r="AJ25" s="207" t="n">
        <x:v>18</x:v>
      </x:c>
      <x:c r="AK25" s="208"/>
      <x:c r="AL25" s="203" t="str">
        <x:f>IF(AK25="","",V25*AK25)</x:f>
      </x:c>
      <x:c r="AM25" s="203" t="str">
        <x:f>IF(AK25="","",AB25*AK25)</x:f>
      </x:c>
      <x:c r="AN25" s="204" t="str">
        <x:f>IFERROR(1-AL25/AM25,"")</x:f>
      </x:c>
      <x:c r="AO25" s="19" t="str">
        <x:v>https://www.betonpartner.hu/www.betonpartner.hu/documents/Budapest_Transzportbeton_arlista_2026_gOX48.pdf</x:v>
      </x:c>
      <x:c r="AP25" s="19" t="str">
        <x:v>Közvetlen 2026 árlista</x:v>
      </x:c>
      <x:c r="AQ25" s="19" t="str"/>
    </x:row>
    <x:row r="26">
      <x:c r="A26" s="19" t="str">
        <x:v>ANY-0025</x:v>
      </x:c>
      <x:c r="B26" s="19" t="str">
        <x:v>03 Vasbeton</x:v>
      </x:c>
      <x:c r="C26" s="19" t="str">
        <x:v>Beton, acél és zsaluzat</x:v>
      </x:c>
      <x:c r="D26" s="19" t="str">
        <x:v>Mindegyik</x:v>
      </x:c>
      <x:c r="E26" s="19" t="str">
        <x:v>Transzportbeton C20/25 F2</x:v>
      </x:c>
      <x:c r="F26" s="19" t="str">
        <x:v>általános vasbeton</x:v>
      </x:c>
      <x:c r="G26" s="19" t="str">
        <x:v>m³</x:v>
      </x:c>
      <x:c r="H26" s="203" t="n">
        <x:v>47625</x:v>
      </x:c>
      <x:c r="I26" s="204" t="n">
        <x:v>0.27</x:v>
      </x:c>
      <x:c r="J26" s="203" t="n">
        <x:f>IFERROR(H26/(1+I26),"")</x:f>
        <x:v>37500</x:v>
      </x:c>
      <x:c r="K26" s="205" t="n">
        <x:v>0.05</x:v>
      </x:c>
      <x:c r="L26" s="203" t="n">
        <x:f>IFERROR(J26*(1-K26),"")</x:f>
        <x:v>35625</x:v>
      </x:c>
      <x:c r="M26" s="19" t="str">
        <x:v>27% normál belföldi</x:v>
      </x:c>
      <x:c r="N26" s="204" t="n">
        <x:v>0.27</x:v>
      </x:c>
      <x:c r="O26" s="204" t="n">
        <x:v>0</x:v>
      </x:c>
      <x:c r="P26" s="19" t="str">
        <x:v>NEM</x:v>
      </x:c>
      <x:c r="Q26" s="203" t="n">
        <x:f>IFERROR(L26*(1+N26),"")</x:f>
        <x:v>45243.75</x:v>
      </x:c>
      <x:c r="R26" s="205" t="n">
        <x:v>0.03</x:v>
      </x:c>
      <x:c r="S26" s="203" t="n">
        <x:f>IFERROR(Q26*(1+R26),"")</x:f>
        <x:v>46601.0625</x:v>
      </x:c>
      <x:c r="T26" s="206" t="n">
        <x:v>7500</x:v>
      </x:c>
      <x:c r="U26" s="206" t="n">
        <x:v>0</x:v>
      </x:c>
      <x:c r="V26" s="203" t="n">
        <x:f>IFERROR(S26+T26+U26,"")</x:f>
        <x:v>54101.0625</x:v>
      </x:c>
      <x:c r="W26" s="203" t="n">
        <x:f>IFERROR(H26/(1+Anyag_Beallitasok!$B$2)*Anyag_Beallitasok!$B$9,"")</x:f>
        <x:v>45357.142857142855</x:v>
      </x:c>
      <x:c r="X26" s="203" t="n">
        <x:f>IFERROR(V26/((1-Anyag_Beallitasok!$B$3)*(1+Anyag_Beallitasok!$B$2)),"")</x:f>
        <x:v>79268.95604395603</x:v>
      </x:c>
      <x:c r="Y26" s="203" t="n">
        <x:f>IFERROR(V26/((1-Anyag_Beallitasok!$B$4)*(1+Anyag_Beallitasok!$B$2)),"")</x:f>
        <x:v>103049.64285714286</x:v>
      </x:c>
      <x:c r="Z26" s="203" t="n">
        <x:f>IFERROR(ROUNDUP(MAX(W26,X26)/Anyag_Beallitasok!$B$6,0)*Anyag_Beallitasok!$B$6,"")</x:f>
        <x:v>79300</x:v>
      </x:c>
      <x:c r="AA26" s="204" t="n">
        <x:f>Anyag_Beallitasok!$B$2</x:f>
        <x:v>0.05</x:v>
      </x:c>
      <x:c r="AB26" s="203" t="n">
        <x:f>IFERROR(Z26*(1+AA26),"")</x:f>
        <x:v>83265</x:v>
      </x:c>
      <x:c r="AC26" s="204" t="n">
        <x:f>IFERROR(1-V26/H26,"")</x:f>
        <x:v>-0.13598031496063</x:v>
      </x:c>
      <x:c r="AD26" s="204" t="n">
        <x:f>IFERROR(1-V26/AB26,"")</x:f>
        <x:v>0.35025445865609806</x:v>
      </x:c>
      <x:c r="AE26" s="19" t="str">
        <x:f>IF(AC26&lt;Anyag_Beallitasok!$B$3,"NEM ÉRI EL A 35%-OT",IF(AC26&lt;Anyag_Beallitasok!$B$4,"MINIMUM 35–49,9%",IF(AC26&lt;Anyag_Beallitasok!$B$5,"IDEÁLIS 50–59,9%","KIEMELKEDŐ ≥60%")))</x:f>
        <x:v>NEM ÉRI EL A 35%-OT</x:v>
      </x:c>
      <x:c r="AF26" s="204" t="n">
        <x:f>IFERROR(AB26/H26-1,"")</x:f>
        <x:v>0.7483464566929134</x:v>
      </x:c>
      <x:c r="AG26" s="19" t="str">
        <x:f>IF(AND(P26="IGEN",O26&gt;0),IF(AF26&gt;Anyag_Beallitasok!$B$10,"0%-OS SZÁMLA + ÖNADÓZÁS; FELÁR SZÜKSÉGES","0%-OS SZÁMLA + ÖNADÓZÁS"),IF(AF26&gt;Anyag_Beallitasok!$B$10,"FELÁR SZÜKSÉGES A 35%-HOZ",IF(AC26&lt;Anyag_Beallitasok!$B$3,"PIACI ÁRON NEM TARTHATÓ A 35%","OK")))</x:f>
        <x:v>FELÁR SZÜKSÉGES A 35%-HOZ</x:v>
      </x:c>
      <x:c r="AH26" s="207" t="n">
        <x:v>8</x:v>
      </x:c>
      <x:c r="AI26" s="207" t="n">
        <x:v>8</x:v>
      </x:c>
      <x:c r="AJ26" s="207" t="n">
        <x:v>8</x:v>
      </x:c>
      <x:c r="AK26" s="208"/>
      <x:c r="AL26" s="203" t="str">
        <x:f>IF(AK26="","",V26*AK26)</x:f>
      </x:c>
      <x:c r="AM26" s="203" t="str">
        <x:f>IF(AK26="","",AB26*AK26)</x:f>
      </x:c>
      <x:c r="AN26" s="204" t="str">
        <x:f>IFERROR(1-AL26/AM26,"")</x:f>
      </x:c>
      <x:c r="AO26" s="19" t="str">
        <x:v>https://www.betonpartner.hu/www.betonpartner.hu/documents/Budapest_Transzportbeton_arlista_2026_gOX48.pdf</x:v>
      </x:c>
      <x:c r="AP26" s="19" t="str">
        <x:v>Közvetlen 2026 árlista</x:v>
      </x:c>
      <x:c r="AQ26" s="19" t="str"/>
    </x:row>
    <x:row r="27">
      <x:c r="A27" s="19" t="str">
        <x:v>ANY-0026</x:v>
      </x:c>
      <x:c r="B27" s="19" t="str">
        <x:v>03 Vasbeton</x:v>
      </x:c>
      <x:c r="C27" s="19" t="str">
        <x:v>Beton, acél és zsaluzat</x:v>
      </x:c>
      <x:c r="D27" s="19" t="str">
        <x:v>Mindegyik</x:v>
      </x:c>
      <x:c r="E27" s="19" t="str">
        <x:v>Transzportbeton C25/30 F2</x:v>
      </x:c>
      <x:c r="F27" s="19" t="str">
        <x:v>lemezalap, födém</x:v>
      </x:c>
      <x:c r="G27" s="19" t="str">
        <x:v>m³</x:v>
      </x:c>
      <x:c r="H27" s="203" t="n">
        <x:v>48641</x:v>
      </x:c>
      <x:c r="I27" s="204" t="n">
        <x:v>0.27</x:v>
      </x:c>
      <x:c r="J27" s="203" t="n">
        <x:f>IFERROR(H27/(1+I27),"")</x:f>
        <x:v>38300</x:v>
      </x:c>
      <x:c r="K27" s="205" t="n">
        <x:v>0.05</x:v>
      </x:c>
      <x:c r="L27" s="203" t="n">
        <x:f>IFERROR(J27*(1-K27),"")</x:f>
        <x:v>36385</x:v>
      </x:c>
      <x:c r="M27" s="19" t="str">
        <x:v>27% normál belföldi</x:v>
      </x:c>
      <x:c r="N27" s="204" t="n">
        <x:v>0.27</x:v>
      </x:c>
      <x:c r="O27" s="204" t="n">
        <x:v>0</x:v>
      </x:c>
      <x:c r="P27" s="19" t="str">
        <x:v>NEM</x:v>
      </x:c>
      <x:c r="Q27" s="203" t="n">
        <x:f>IFERROR(L27*(1+N27),"")</x:f>
        <x:v>46208.95</x:v>
      </x:c>
      <x:c r="R27" s="205" t="n">
        <x:v>0.03</x:v>
      </x:c>
      <x:c r="S27" s="203" t="n">
        <x:f>IFERROR(Q27*(1+R27),"")</x:f>
        <x:v>47595.218499999995</x:v>
      </x:c>
      <x:c r="T27" s="206" t="n">
        <x:v>7500</x:v>
      </x:c>
      <x:c r="U27" s="206" t="n">
        <x:v>0</x:v>
      </x:c>
      <x:c r="V27" s="203" t="n">
        <x:f>IFERROR(S27+T27+U27,"")</x:f>
        <x:v>55095.218499999995</x:v>
      </x:c>
      <x:c r="W27" s="203" t="n">
        <x:f>IFERROR(H27/(1+Anyag_Beallitasok!$B$2)*Anyag_Beallitasok!$B$9,"")</x:f>
        <x:v>46324.7619047619</x:v>
      </x:c>
      <x:c r="X27" s="203" t="n">
        <x:f>IFERROR(V27/((1-Anyag_Beallitasok!$B$3)*(1+Anyag_Beallitasok!$B$2)),"")</x:f>
        <x:v>80725.59487179485</x:v>
      </x:c>
      <x:c r="Y27" s="203" t="n">
        <x:f>IFERROR(V27/((1-Anyag_Beallitasok!$B$4)*(1+Anyag_Beallitasok!$B$2)),"")</x:f>
        <x:v>104943.27333333332</x:v>
      </x:c>
      <x:c r="Z27" s="203" t="n">
        <x:f>IFERROR(ROUNDUP(MAX(W27,X27)/Anyag_Beallitasok!$B$6,0)*Anyag_Beallitasok!$B$6,"")</x:f>
        <x:v>80750</x:v>
      </x:c>
      <x:c r="AA27" s="204" t="n">
        <x:f>Anyag_Beallitasok!$B$2</x:f>
        <x:v>0.05</x:v>
      </x:c>
      <x:c r="AB27" s="203" t="n">
        <x:f>IFERROR(Z27*(1+AA27),"")</x:f>
        <x:v>84787.5</x:v>
      </x:c>
      <x:c r="AC27" s="204" t="n">
        <x:f>IFERROR(1-V27/H27,"")</x:f>
        <x:v>-0.13269090890401092</x:v>
      </x:c>
      <x:c r="AD27" s="204" t="n">
        <x:f>IFERROR(1-V27/AB27,"")</x:f>
        <x:v>0.3501964499484005</x:v>
      </x:c>
      <x:c r="AE27" s="19" t="str">
        <x:f>IF(AC27&lt;Anyag_Beallitasok!$B$3,"NEM ÉRI EL A 35%-OT",IF(AC27&lt;Anyag_Beallitasok!$B$4,"MINIMUM 35–49,9%",IF(AC27&lt;Anyag_Beallitasok!$B$5,"IDEÁLIS 50–59,9%","KIEMELKEDŐ ≥60%")))</x:f>
        <x:v>NEM ÉRI EL A 35%-OT</x:v>
      </x:c>
      <x:c r="AF27" s="204" t="n">
        <x:f>IFERROR(AB27/H27-1,"")</x:f>
        <x:v>0.7431282251598446</x:v>
      </x:c>
      <x:c r="AG27" s="19" t="str">
        <x:f>IF(AND(P27="IGEN",O27&gt;0),IF(AF27&gt;Anyag_Beallitasok!$B$10,"0%-OS SZÁMLA + ÖNADÓZÁS; FELÁR SZÜKSÉGES","0%-OS SZÁMLA + ÖNADÓZÁS"),IF(AF27&gt;Anyag_Beallitasok!$B$10,"FELÁR SZÜKSÉGES A 35%-HOZ",IF(AC27&lt;Anyag_Beallitasok!$B$3,"PIACI ÁRON NEM TARTHATÓ A 35%","OK")))</x:f>
        <x:v>FELÁR SZÜKSÉGES A 35%-HOZ</x:v>
      </x:c>
      <x:c r="AH27" s="207" t="n">
        <x:v>24</x:v>
      </x:c>
      <x:c r="AI27" s="207" t="n">
        <x:v>22</x:v>
      </x:c>
      <x:c r="AJ27" s="207" t="n">
        <x:v>24</x:v>
      </x:c>
      <x:c r="AK27" s="208"/>
      <x:c r="AL27" s="203" t="str">
        <x:f>IF(AK27="","",V27*AK27)</x:f>
      </x:c>
      <x:c r="AM27" s="203" t="str">
        <x:f>IF(AK27="","",AB27*AK27)</x:f>
      </x:c>
      <x:c r="AN27" s="204" t="str">
        <x:f>IFERROR(1-AL27/AM27,"")</x:f>
      </x:c>
      <x:c r="AO27" s="19" t="str">
        <x:v>https://www.betonpartner.hu/www.betonpartner.hu/documents/Budapest_Transzportbeton_arlista_2026_gOX48.pdf</x:v>
      </x:c>
      <x:c r="AP27" s="19" t="str">
        <x:v>Közvetlen 2026 árlista</x:v>
      </x:c>
      <x:c r="AQ27" s="19" t="str"/>
    </x:row>
    <x:row r="28">
      <x:c r="A28" s="19" t="str">
        <x:v>ANY-0027</x:v>
      </x:c>
      <x:c r="B28" s="19" t="str">
        <x:v>03 Vasbeton</x:v>
      </x:c>
      <x:c r="C28" s="19" t="str">
        <x:v>Beton, acél és zsaluzat</x:v>
      </x:c>
      <x:c r="D28" s="19" t="str">
        <x:v>Mindegyik</x:v>
      </x:c>
      <x:c r="E28" s="19" t="str">
        <x:v>Transzportbeton C30/37 F2</x:v>
      </x:c>
      <x:c r="F28" s="19" t="str">
        <x:v>nagyobb igénybevétel</x:v>
      </x:c>
      <x:c r="G28" s="19" t="str">
        <x:v>m³</x:v>
      </x:c>
      <x:c r="H28" s="203" t="n">
        <x:v>49657</x:v>
      </x:c>
      <x:c r="I28" s="204" t="n">
        <x:v>0.27</x:v>
      </x:c>
      <x:c r="J28" s="203" t="n">
        <x:f>IFERROR(H28/(1+I28),"")</x:f>
        <x:v>39100</x:v>
      </x:c>
      <x:c r="K28" s="205" t="n">
        <x:v>0.05</x:v>
      </x:c>
      <x:c r="L28" s="203" t="n">
        <x:f>IFERROR(J28*(1-K28),"")</x:f>
        <x:v>37145</x:v>
      </x:c>
      <x:c r="M28" s="19" t="str">
        <x:v>27% normál belföldi</x:v>
      </x:c>
      <x:c r="N28" s="204" t="n">
        <x:v>0.27</x:v>
      </x:c>
      <x:c r="O28" s="204" t="n">
        <x:v>0</x:v>
      </x:c>
      <x:c r="P28" s="19" t="str">
        <x:v>NEM</x:v>
      </x:c>
      <x:c r="Q28" s="203" t="n">
        <x:f>IFERROR(L28*(1+N28),"")</x:f>
        <x:v>47174.15</x:v>
      </x:c>
      <x:c r="R28" s="205" t="n">
        <x:v>0.03</x:v>
      </x:c>
      <x:c r="S28" s="203" t="n">
        <x:f>IFERROR(Q28*(1+R28),"")</x:f>
        <x:v>48589.374500000005</x:v>
      </x:c>
      <x:c r="T28" s="206" t="n">
        <x:v>7500</x:v>
      </x:c>
      <x:c r="U28" s="206" t="n">
        <x:v>0</x:v>
      </x:c>
      <x:c r="V28" s="203" t="n">
        <x:f>IFERROR(S28+T28+U28,"")</x:f>
        <x:v>56089.374500000005</x:v>
      </x:c>
      <x:c r="W28" s="203" t="n">
        <x:f>IFERROR(H28/(1+Anyag_Beallitasok!$B$2)*Anyag_Beallitasok!$B$9,"")</x:f>
        <x:v>47292.38095238095</x:v>
      </x:c>
      <x:c r="X28" s="203" t="n">
        <x:f>IFERROR(V28/((1-Anyag_Beallitasok!$B$3)*(1+Anyag_Beallitasok!$B$2)),"")</x:f>
        <x:v>82182.2336996337</x:v>
      </x:c>
      <x:c r="Y28" s="203" t="n">
        <x:f>IFERROR(V28/((1-Anyag_Beallitasok!$B$4)*(1+Anyag_Beallitasok!$B$2)),"")</x:f>
        <x:v>106836.90380952382</x:v>
      </x:c>
      <x:c r="Z28" s="203" t="n">
        <x:f>IFERROR(ROUNDUP(MAX(W28,X28)/Anyag_Beallitasok!$B$6,0)*Anyag_Beallitasok!$B$6,"")</x:f>
        <x:v>82200</x:v>
      </x:c>
      <x:c r="AA28" s="204" t="n">
        <x:f>Anyag_Beallitasok!$B$2</x:f>
        <x:v>0.05</x:v>
      </x:c>
      <x:c r="AB28" s="203" t="n">
        <x:f>IFERROR(Z28*(1+AA28),"")</x:f>
        <x:v>86310</x:v>
      </x:c>
      <x:c r="AC28" s="204" t="n">
        <x:f>IFERROR(1-V28/H28,"")</x:f>
        <x:v>-0.12953610769881396</x:v>
      </x:c>
      <x:c r="AD28" s="204" t="n">
        <x:f>IFERROR(1-V28/AB28,"")</x:f>
        <x:v>0.3501404877766191</x:v>
      </x:c>
      <x:c r="AE28" s="19" t="str">
        <x:f>IF(AC28&lt;Anyag_Beallitasok!$B$3,"NEM ÉRI EL A 35%-OT",IF(AC28&lt;Anyag_Beallitasok!$B$4,"MINIMUM 35–49,9%",IF(AC28&lt;Anyag_Beallitasok!$B$5,"IDEÁLIS 50–59,9%","KIEMELKEDŐ ≥60%")))</x:f>
        <x:v>NEM ÉRI EL A 35%-OT</x:v>
      </x:c>
      <x:c r="AF28" s="204" t="n">
        <x:f>IFERROR(AB28/H28-1,"")</x:f>
        <x:v>0.7381235273979498</x:v>
      </x:c>
      <x:c r="AG28" s="19" t="str">
        <x:f>IF(AND(P28="IGEN",O28&gt;0),IF(AF28&gt;Anyag_Beallitasok!$B$10,"0%-OS SZÁMLA + ÖNADÓZÁS; FELÁR SZÜKSÉGES","0%-OS SZÁMLA + ÖNADÓZÁS"),IF(AF28&gt;Anyag_Beallitasok!$B$10,"FELÁR SZÜKSÉGES A 35%-HOZ",IF(AC28&lt;Anyag_Beallitasok!$B$3,"PIACI ÁRON NEM TARTHATÓ A 35%","OK")))</x:f>
        <x:v>FELÁR SZÜKSÉGES A 35%-HOZ</x:v>
      </x:c>
      <x:c r="AH28" s="207" t="n">
        <x:v>0</x:v>
      </x:c>
      <x:c r="AI28" s="207" t="n">
        <x:v>0</x:v>
      </x:c>
      <x:c r="AJ28" s="207" t="n">
        <x:v>0</x:v>
      </x:c>
      <x:c r="AK28" s="208"/>
      <x:c r="AL28" s="203" t="str">
        <x:f>IF(AK28="","",V28*AK28)</x:f>
      </x:c>
      <x:c r="AM28" s="203" t="str">
        <x:f>IF(AK28="","",AB28*AK28)</x:f>
      </x:c>
      <x:c r="AN28" s="204" t="str">
        <x:f>IFERROR(1-AL28/AM28,"")</x:f>
      </x:c>
      <x:c r="AO28" s="19" t="str">
        <x:v>https://www.betonpartner.hu/www.betonpartner.hu/documents/Budapest_Transzportbeton_arlista_2026_gOX48.pdf</x:v>
      </x:c>
      <x:c r="AP28" s="19" t="str">
        <x:v>Közvetlen 2026 árlista</x:v>
      </x:c>
      <x:c r="AQ28" s="19" t="str"/>
    </x:row>
    <x:row r="29">
      <x:c r="A29" s="19" t="str">
        <x:v>ANY-0028</x:v>
      </x:c>
      <x:c r="B29" s="19" t="str">
        <x:v>03 Vasbeton</x:v>
      </x:c>
      <x:c r="C29" s="19" t="str">
        <x:v>Beton, acél és zsaluzat</x:v>
      </x:c>
      <x:c r="D29" s="19" t="str">
        <x:v>Mindegyik</x:v>
      </x:c>
      <x:c r="E29" s="19" t="str">
        <x:v>Fagyálló beton felár XF1</x:v>
      </x:c>
      <x:c r="F29" s="19" t="str">
        <x:v>C30/37 alapáron felül</x:v>
      </x:c>
      <x:c r="G29" s="19" t="str">
        <x:v>m³</x:v>
      </x:c>
      <x:c r="H29" s="203" t="n">
        <x:v>1778</x:v>
      </x:c>
      <x:c r="I29" s="204" t="n">
        <x:v>0.27</x:v>
      </x:c>
      <x:c r="J29" s="203" t="n">
        <x:f>IFERROR(H29/(1+I29),"")</x:f>
        <x:v>1400</x:v>
      </x:c>
      <x:c r="K29" s="205" t="n">
        <x:v>0</x:v>
      </x:c>
      <x:c r="L29" s="203" t="n">
        <x:f>IFERROR(J29*(1-K29),"")</x:f>
        <x:v>1400</x:v>
      </x:c>
      <x:c r="M29" s="19" t="str">
        <x:v>27% normál belföldi</x:v>
      </x:c>
      <x:c r="N29" s="204" t="n">
        <x:v>0.27</x:v>
      </x:c>
      <x:c r="O29" s="204" t="n">
        <x:v>0</x:v>
      </x:c>
      <x:c r="P29" s="19" t="str">
        <x:v>NEM</x:v>
      </x:c>
      <x:c r="Q29" s="203" t="n">
        <x:f>IFERROR(L29*(1+N29),"")</x:f>
        <x:v>1778</x:v>
      </x:c>
      <x:c r="R29" s="205" t="n">
        <x:v>0</x:v>
      </x:c>
      <x:c r="S29" s="203" t="n">
        <x:f>IFERROR(Q29*(1+R29),"")</x:f>
        <x:v>1778</x:v>
      </x:c>
      <x:c r="T29" s="206" t="n">
        <x:v>0</x:v>
      </x:c>
      <x:c r="U29" s="206" t="n">
        <x:v>0</x:v>
      </x:c>
      <x:c r="V29" s="203" t="n">
        <x:f>IFERROR(S29+T29+U29,"")</x:f>
        <x:v>1778</x:v>
      </x:c>
      <x:c r="W29" s="203" t="n">
        <x:f>IFERROR(H29/(1+Anyag_Beallitasok!$B$2)*Anyag_Beallitasok!$B$9,"")</x:f>
        <x:v>1693.3333333333333</x:v>
      </x:c>
      <x:c r="X29" s="203" t="n">
        <x:f>IFERROR(V29/((1-Anyag_Beallitasok!$B$3)*(1+Anyag_Beallitasok!$B$2)),"")</x:f>
        <x:v>2605.1282051282046</x:v>
      </x:c>
      <x:c r="Y29" s="203" t="n">
        <x:f>IFERROR(V29/((1-Anyag_Beallitasok!$B$4)*(1+Anyag_Beallitasok!$B$2)),"")</x:f>
        <x:v>3386.6666666666665</x:v>
      </x:c>
      <x:c r="Z29" s="203" t="n">
        <x:f>IFERROR(ROUNDUP(MAX(W29,X29)/Anyag_Beallitasok!$B$6,0)*Anyag_Beallitasok!$B$6,"")</x:f>
        <x:v>2650</x:v>
      </x:c>
      <x:c r="AA29" s="204" t="n">
        <x:f>Anyag_Beallitasok!$B$2</x:f>
        <x:v>0.05</x:v>
      </x:c>
      <x:c r="AB29" s="203" t="n">
        <x:f>IFERROR(Z29*(1+AA29),"")</x:f>
        <x:v>2782.5</x:v>
      </x:c>
      <x:c r="AC29" s="204" t="n">
        <x:f>IFERROR(1-V29/H29,"")</x:f>
        <x:v>0</x:v>
      </x:c>
      <x:c r="AD29" s="204" t="n">
        <x:f>IFERROR(1-V29/AB29,"")</x:f>
        <x:v>0.36100628930817613</x:v>
      </x:c>
      <x:c r="AE29" s="19" t="str">
        <x:f>IF(AC29&lt;Anyag_Beallitasok!$B$3,"NEM ÉRI EL A 35%-OT",IF(AC29&lt;Anyag_Beallitasok!$B$4,"MINIMUM 35–49,9%",IF(AC29&lt;Anyag_Beallitasok!$B$5,"IDEÁLIS 50–59,9%","KIEMELKEDŐ ≥60%")))</x:f>
        <x:v>NEM ÉRI EL A 35%-OT</x:v>
      </x:c>
      <x:c r="AF29" s="204" t="n">
        <x:f>IFERROR(AB29/H29-1,"")</x:f>
        <x:v>0.56496062992126</x:v>
      </x:c>
      <x:c r="AG29" s="19" t="str">
        <x:f>IF(AND(P29="IGEN",O29&gt;0),IF(AF29&gt;Anyag_Beallitasok!$B$10,"0%-OS SZÁMLA + ÖNADÓZÁS; FELÁR SZÜKSÉGES","0%-OS SZÁMLA + ÖNADÓZÁS"),IF(AF29&gt;Anyag_Beallitasok!$B$10,"FELÁR SZÜKSÉGES A 35%-HOZ",IF(AC29&lt;Anyag_Beallitasok!$B$3,"PIACI ÁRON NEM TARTHATÓ A 35%","OK")))</x:f>
        <x:v>FELÁR SZÜKSÉGES A 35%-HOZ</x:v>
      </x:c>
      <x:c r="AH29" s="207" t="n">
        <x:v>3</x:v>
      </x:c>
      <x:c r="AI29" s="207" t="n">
        <x:v>3</x:v>
      </x:c>
      <x:c r="AJ29" s="207" t="n">
        <x:v>3</x:v>
      </x:c>
      <x:c r="AK29" s="208"/>
      <x:c r="AL29" s="203" t="str">
        <x:f>IF(AK29="","",V29*AK29)</x:f>
      </x:c>
      <x:c r="AM29" s="203" t="str">
        <x:f>IF(AK29="","",AB29*AK29)</x:f>
      </x:c>
      <x:c r="AN29" s="204" t="str">
        <x:f>IFERROR(1-AL29/AM29,"")</x:f>
      </x:c>
      <x:c r="AO29" s="19" t="str">
        <x:v>https://www.betonpartner.hu/www.betonpartner.hu/documents/Budapest_Transzportbeton_arlista_2026_gOX48.pdf</x:v>
      </x:c>
      <x:c r="AP29" s="19" t="str">
        <x:v>Közvetlen 2026 árlista</x:v>
      </x:c>
      <x:c r="AQ29" s="19" t="str"/>
    </x:row>
    <x:row r="30">
      <x:c r="A30" s="19" t="str">
        <x:v>ANY-0029</x:v>
      </x:c>
      <x:c r="B30" s="19" t="str">
        <x:v>03 Vasbeton</x:v>
      </x:c>
      <x:c r="C30" s="19" t="str">
        <x:v>Beton, acél és zsaluzat</x:v>
      </x:c>
      <x:c r="D30" s="19" t="str">
        <x:v>Mindegyik</x:v>
      </x:c>
      <x:c r="E30" s="19" t="str">
        <x:v>Vízzáró beton adalék/felár</x:v>
      </x:c>
      <x:c r="F30" s="19" t="str">
        <x:v>rendszerfüggő</x:v>
      </x:c>
      <x:c r="G30" s="19" t="str">
        <x:v>m³</x:v>
      </x:c>
      <x:c r="H30" s="203" t="n">
        <x:v>7000</x:v>
      </x:c>
      <x:c r="I30" s="204" t="n">
        <x:v>0.27</x:v>
      </x:c>
      <x:c r="J30" s="203" t="n">
        <x:f>IFERROR(H30/(1+I30),"")</x:f>
        <x:v>5511.811023622047</x:v>
      </x:c>
      <x:c r="K30" s="205" t="n">
        <x:v>0.1</x:v>
      </x:c>
      <x:c r="L30" s="203" t="n">
        <x:f>IFERROR(J30*(1-K30),"")</x:f>
        <x:v>4960.629921259842</x:v>
      </x:c>
      <x:c r="M30" s="19" t="str">
        <x:v>27% normál belföldi</x:v>
      </x:c>
      <x:c r="N30" s="204" t="n">
        <x:v>0.27</x:v>
      </x:c>
      <x:c r="O30" s="204" t="n">
        <x:v>0</x:v>
      </x:c>
      <x:c r="P30" s="19" t="str">
        <x:v>NEM</x:v>
      </x:c>
      <x:c r="Q30" s="203" t="n">
        <x:f>IFERROR(L30*(1+N30),"")</x:f>
        <x:v>6300</x:v>
      </x:c>
      <x:c r="R30" s="205" t="n">
        <x:v>0.02</x:v>
      </x:c>
      <x:c r="S30" s="203" t="n">
        <x:f>IFERROR(Q30*(1+R30),"")</x:f>
        <x:v>6426</x:v>
      </x:c>
      <x:c r="T30" s="206" t="n">
        <x:v>0</x:v>
      </x:c>
      <x:c r="U30" s="206" t="n">
        <x:v>0</x:v>
      </x:c>
      <x:c r="V30" s="203" t="n">
        <x:f>IFERROR(S30+T30+U30,"")</x:f>
        <x:v>6426</x:v>
      </x:c>
      <x:c r="W30" s="203" t="n">
        <x:f>IFERROR(H30/(1+Anyag_Beallitasok!$B$2)*Anyag_Beallitasok!$B$9,"")</x:f>
        <x:v>6666.666666666666</x:v>
      </x:c>
      <x:c r="X30" s="203" t="n">
        <x:f>IFERROR(V30/((1-Anyag_Beallitasok!$B$3)*(1+Anyag_Beallitasok!$B$2)),"")</x:f>
        <x:v>9415.384615384613</x:v>
      </x:c>
      <x:c r="Y30" s="203" t="n">
        <x:f>IFERROR(V30/((1-Anyag_Beallitasok!$B$4)*(1+Anyag_Beallitasok!$B$2)),"")</x:f>
        <x:v>12240</x:v>
      </x:c>
      <x:c r="Z30" s="203" t="n">
        <x:f>IFERROR(ROUNDUP(MAX(W30,X30)/Anyag_Beallitasok!$B$6,0)*Anyag_Beallitasok!$B$6,"")</x:f>
        <x:v>9450</x:v>
      </x:c>
      <x:c r="AA30" s="204" t="n">
        <x:f>Anyag_Beallitasok!$B$2</x:f>
        <x:v>0.05</x:v>
      </x:c>
      <x:c r="AB30" s="203" t="n">
        <x:f>IFERROR(Z30*(1+AA30),"")</x:f>
        <x:v>9922.5</x:v>
      </x:c>
      <x:c r="AC30" s="204" t="n">
        <x:f>IFERROR(1-V30/H30,"")</x:f>
        <x:v>0.08199999999999996</x:v>
      </x:c>
      <x:c r="AD30" s="204" t="n">
        <x:f>IFERROR(1-V30/AB30,"")</x:f>
        <x:v>0.35238095238095235</x:v>
      </x:c>
      <x:c r="AE30" s="19" t="str">
        <x:f>IF(AC30&lt;Anyag_Beallitasok!$B$3,"NEM ÉRI EL A 35%-OT",IF(AC30&lt;Anyag_Beallitasok!$B$4,"MINIMUM 35–49,9%",IF(AC30&lt;Anyag_Beallitasok!$B$5,"IDEÁLIS 50–59,9%","KIEMELKEDŐ ≥60%")))</x:f>
        <x:v>NEM ÉRI EL A 35%-OT</x:v>
      </x:c>
      <x:c r="AF30" s="204" t="n">
        <x:f>IFERROR(AB30/H30-1,"")</x:f>
        <x:v>0.4175</x:v>
      </x:c>
      <x:c r="AG30" s="19" t="str">
        <x:f>IF(AND(P30="IGEN",O30&gt;0),IF(AF30&gt;Anyag_Beallitasok!$B$10,"0%-OS SZÁMLA + ÖNADÓZÁS; FELÁR SZÜKSÉGES","0%-OS SZÁMLA + ÖNADÓZÁS"),IF(AF30&gt;Anyag_Beallitasok!$B$10,"FELÁR SZÜKSÉGES A 35%-HOZ",IF(AC30&lt;Anyag_Beallitasok!$B$3,"PIACI ÁRON NEM TARTHATÓ A 35%","OK")))</x:f>
        <x:v>FELÁR SZÜKSÉGES A 35%-HOZ</x:v>
      </x:c>
      <x:c r="AH30" s="207" t="n">
        <x:v>0</x:v>
      </x:c>
      <x:c r="AI30" s="207" t="n">
        <x:v>0</x:v>
      </x:c>
      <x:c r="AJ30" s="207" t="n">
        <x:v>0</x:v>
      </x:c>
      <x:c r="AK30" s="208"/>
      <x:c r="AL30" s="203" t="str">
        <x:f>IF(AK30="","",V30*AK30)</x:f>
      </x:c>
      <x:c r="AM30" s="203" t="str">
        <x:f>IF(AK30="","",AB30*AK30)</x:f>
      </x:c>
      <x:c r="AN30" s="204" t="str">
        <x:f>IFERROR(1-AL30/AM30,"")</x:f>
      </x:c>
      <x:c r="AO30" s="19" t="str">
        <x:v>https://www.betonpartner.hu/www.betonpartner.hu/documents/Budapest_Transzportbeton_arlista_2026_gOX48.pdf</x:v>
      </x:c>
      <x:c r="AP30" s="19" t="str">
        <x:v>Mérnöki piaci becslés</x:v>
      </x:c>
      <x:c r="AQ30" s="19" t="str"/>
    </x:row>
    <x:row r="31">
      <x:c r="A31" s="19" t="str">
        <x:v>ANY-0030</x:v>
      </x:c>
      <x:c r="B31" s="19" t="str">
        <x:v>03 Vasbeton</x:v>
      </x:c>
      <x:c r="C31" s="19" t="str">
        <x:v>Beton, acél és zsaluzat</x:v>
      </x:c>
      <x:c r="D31" s="19" t="str">
        <x:v>Mindegyik</x:v>
      </x:c>
      <x:c r="E31" s="19" t="str">
        <x:v>Cement CEM II 32,5 25 kg</x:v>
      </x:c>
      <x:c r="F31" s="19" t="str">
        <x:v>zsákos</x:v>
      </x:c>
      <x:c r="G31" s="19" t="str">
        <x:v>zsák</x:v>
      </x:c>
      <x:c r="H31" s="203" t="n">
        <x:v>2360</x:v>
      </x:c>
      <x:c r="I31" s="204" t="n">
        <x:v>0.27</x:v>
      </x:c>
      <x:c r="J31" s="203" t="n">
        <x:f>IFERROR(H31/(1+I31),"")</x:f>
        <x:v>1858.267716535433</x:v>
      </x:c>
      <x:c r="K31" s="205" t="n">
        <x:v>0.1</x:v>
      </x:c>
      <x:c r="L31" s="203" t="n">
        <x:f>IFERROR(J31*(1-K31),"")</x:f>
        <x:v>1672.4409448818897</x:v>
      </x:c>
      <x:c r="M31" s="19" t="str">
        <x:v>27% normál belföldi</x:v>
      </x:c>
      <x:c r="N31" s="204" t="n">
        <x:v>0.27</x:v>
      </x:c>
      <x:c r="O31" s="204" t="n">
        <x:v>0</x:v>
      </x:c>
      <x:c r="P31" s="19" t="str">
        <x:v>NEM</x:v>
      </x:c>
      <x:c r="Q31" s="203" t="n">
        <x:f>IFERROR(L31*(1+N31),"")</x:f>
        <x:v>2124</x:v>
      </x:c>
      <x:c r="R31" s="205" t="n">
        <x:v>0.05</x:v>
      </x:c>
      <x:c r="S31" s="203" t="n">
        <x:f>IFERROR(Q31*(1+R31),"")</x:f>
        <x:v>2230.2000000000003</x:v>
      </x:c>
      <x:c r="T31" s="206" t="n">
        <x:v>80</x:v>
      </x:c>
      <x:c r="U31" s="206" t="n">
        <x:v>0</x:v>
      </x:c>
      <x:c r="V31" s="203" t="n">
        <x:f>IFERROR(S31+T31+U31,"")</x:f>
        <x:v>2310.2000000000003</x:v>
      </x:c>
      <x:c r="W31" s="203" t="n">
        <x:f>IFERROR(H31/(1+Anyag_Beallitasok!$B$2)*Anyag_Beallitasok!$B$9,"")</x:f>
        <x:v>2247.6190476190477</x:v>
      </x:c>
      <x:c r="X31" s="203" t="n">
        <x:f>IFERROR(V31/((1-Anyag_Beallitasok!$B$3)*(1+Anyag_Beallitasok!$B$2)),"")</x:f>
        <x:v>3384.908424908425</x:v>
      </x:c>
      <x:c r="Y31" s="203" t="n">
        <x:f>IFERROR(V31/((1-Anyag_Beallitasok!$B$4)*(1+Anyag_Beallitasok!$B$2)),"")</x:f>
        <x:v>4400.380952380952</x:v>
      </x:c>
      <x:c r="Z31" s="203" t="n">
        <x:f>IFERROR(ROUNDUP(MAX(W31,X31)/Anyag_Beallitasok!$B$6,0)*Anyag_Beallitasok!$B$6,"")</x:f>
        <x:v>3400</x:v>
      </x:c>
      <x:c r="AA31" s="204" t="n">
        <x:f>Anyag_Beallitasok!$B$2</x:f>
        <x:v>0.05</x:v>
      </x:c>
      <x:c r="AB31" s="203" t="n">
        <x:f>IFERROR(Z31*(1+AA31),"")</x:f>
        <x:v>3570</x:v>
      </x:c>
      <x:c r="AC31" s="204" t="n">
        <x:f>IFERROR(1-V31/H31,"")</x:f>
        <x:v>0.021101694915254154</x:v>
      </x:c>
      <x:c r="AD31" s="204" t="n">
        <x:f>IFERROR(1-V31/AB31,"")</x:f>
        <x:v>0.3528851540616246</x:v>
      </x:c>
      <x:c r="AE31" s="19" t="str">
        <x:f>IF(AC31&lt;Anyag_Beallitasok!$B$3,"NEM ÉRI EL A 35%-OT",IF(AC31&lt;Anyag_Beallitasok!$B$4,"MINIMUM 35–49,9%",IF(AC31&lt;Anyag_Beallitasok!$B$5,"IDEÁLIS 50–59,9%","KIEMELKEDŐ ≥60%")))</x:f>
        <x:v>NEM ÉRI EL A 35%-OT</x:v>
      </x:c>
      <x:c r="AF31" s="204" t="n">
        <x:f>IFERROR(AB31/H31-1,"")</x:f>
        <x:v>0.5127118644067796</x:v>
      </x:c>
      <x:c r="AG31" s="19" t="str">
        <x:f>IF(AND(P31="IGEN",O31&gt;0),IF(AF31&gt;Anyag_Beallitasok!$B$10,"0%-OS SZÁMLA + ÖNADÓZÁS; FELÁR SZÜKSÉGES","0%-OS SZÁMLA + ÖNADÓZÁS"),IF(AF31&gt;Anyag_Beallitasok!$B$10,"FELÁR SZÜKSÉGES A 35%-HOZ",IF(AC31&lt;Anyag_Beallitasok!$B$3,"PIACI ÁRON NEM TARTHATÓ A 35%","OK")))</x:f>
        <x:v>FELÁR SZÜKSÉGES A 35%-HOZ</x:v>
      </x:c>
      <x:c r="AH31" s="207" t="n">
        <x:v>60</x:v>
      </x:c>
      <x:c r="AI31" s="207" t="n">
        <x:v>40</x:v>
      </x:c>
      <x:c r="AJ31" s="207" t="n">
        <x:v>50</x:v>
      </x:c>
      <x:c r="AK31" s="208"/>
      <x:c r="AL31" s="203" t="str">
        <x:f>IF(AK31="","",V31*AK31)</x:f>
      </x:c>
      <x:c r="AM31" s="203" t="str">
        <x:f>IF(AK31="","",AB31*AK31)</x:f>
      </x:c>
      <x:c r="AN31" s="204" t="str">
        <x:f>IFERROR(1-AL31/AM31,"")</x:f>
      </x:c>
      <x:c r="AO31" s="19" t="str">
        <x:v>https://www.winklertuzep.hu/arlista-web/porterm%C3%A9kek</x:v>
      </x:c>
      <x:c r="AP31" s="19" t="str">
        <x:v>Közvetlen 2026 webár</x:v>
      </x:c>
      <x:c r="AQ31" s="19" t="str"/>
    </x:row>
    <x:row r="32">
      <x:c r="A32" s="19" t="str">
        <x:v>ANY-0031</x:v>
      </x:c>
      <x:c r="B32" s="19" t="str">
        <x:v>03 Vasbeton</x:v>
      </x:c>
      <x:c r="C32" s="19" t="str">
        <x:v>Beton, acél és zsaluzat</x:v>
      </x:c>
      <x:c r="D32" s="19" t="str">
        <x:v>Mindegyik</x:v>
      </x:c>
      <x:c r="E32" s="19" t="str">
        <x:v>Betonacél B500B Ø8</x:v>
      </x:c>
      <x:c r="F32" s="19" t="str">
        <x:v>6 m szál; fordított adózás feltételes</x:v>
      </x:c>
      <x:c r="G32" s="19" t="str">
        <x:v>kg</x:v>
      </x:c>
      <x:c r="H32" s="203" t="n">
        <x:v>446</x:v>
      </x:c>
      <x:c r="I32" s="204" t="n">
        <x:v>0.27</x:v>
      </x:c>
      <x:c r="J32" s="203" t="n">
        <x:f>IFERROR(H32/(1+I32),"")</x:f>
        <x:v>351.18110236220474</x:v>
      </x:c>
      <x:c r="K32" s="205" t="n">
        <x:v>0.07</x:v>
      </x:c>
      <x:c r="L32" s="203" t="n">
        <x:f>IFERROR(J32*(1-K32),"")</x:f>
        <x:v>326.59842519685037</x:v>
      </x:c>
      <x:c r="M32" s="19" t="str">
        <x:v>0% számla – belföldi fordított adózás; 27% önadózás</x:v>
      </x:c>
      <x:c r="N32" s="204" t="n">
        <x:v>0</x:v>
      </x:c>
      <x:c r="O32" s="204" t="n">
        <x:v>0.27</x:v>
      </x:c>
      <x:c r="P32" s="19" t="str">
        <x:v>IGEN</x:v>
      </x:c>
      <x:c r="Q32" s="203" t="n">
        <x:f>IFERROR(L32*(1+N32),"")</x:f>
        <x:v>326.59842519685037</x:v>
      </x:c>
      <x:c r="R32" s="205" t="n">
        <x:v>0.04</x:v>
      </x:c>
      <x:c r="S32" s="203" t="n">
        <x:f>IFERROR(Q32*(1+R32),"")</x:f>
        <x:v>339.6623622047244</x:v>
      </x:c>
      <x:c r="T32" s="206" t="n">
        <x:v>25</x:v>
      </x:c>
      <x:c r="U32" s="206" t="n">
        <x:v>0</x:v>
      </x:c>
      <x:c r="V32" s="203" t="n">
        <x:f>IFERROR(S32+T32+U32,"")</x:f>
        <x:v>364.6623622047244</x:v>
      </x:c>
      <x:c r="W32" s="203" t="n">
        <x:f>IFERROR(H32/(1+Anyag_Beallitasok!$B$2)*Anyag_Beallitasok!$B$9,"")</x:f>
        <x:v>424.76190476190476</x:v>
      </x:c>
      <x:c r="X32" s="203" t="n">
        <x:f>IFERROR(V32/((1-Anyag_Beallitasok!$B$3)*(1+Anyag_Beallitasok!$B$2)),"")</x:f>
        <x:v>534.3038274061895</x:v>
      </x:c>
      <x:c r="Y32" s="203" t="n">
        <x:f>IFERROR(V32/((1-Anyag_Beallitasok!$B$4)*(1+Anyag_Beallitasok!$B$2)),"")</x:f>
        <x:v>694.5949756280464</x:v>
      </x:c>
      <x:c r="Z32" s="203" t="n">
        <x:f>IFERROR(ROUNDUP(MAX(W32,X32)/Anyag_Beallitasok!$B$6,0)*Anyag_Beallitasok!$B$6,"")</x:f>
        <x:v>550</x:v>
      </x:c>
      <x:c r="AA32" s="204" t="n">
        <x:f>Anyag_Beallitasok!$B$2</x:f>
        <x:v>0.05</x:v>
      </x:c>
      <x:c r="AB32" s="203" t="n">
        <x:f>IFERROR(Z32*(1+AA32),"")</x:f>
        <x:v>577.5</x:v>
      </x:c>
      <x:c r="AC32" s="204" t="n">
        <x:f>IFERROR(1-V32/H32,"")</x:f>
        <x:v>0.18237138519120089</x:v>
      </x:c>
      <x:c r="AD32" s="204" t="n">
        <x:f>IFERROR(1-V32/AB32,"")</x:f>
        <x:v>0.3685500221563214</x:v>
      </x:c>
      <x:c r="AE32" s="19" t="str">
        <x:f>IF(AC32&lt;Anyag_Beallitasok!$B$3,"NEM ÉRI EL A 35%-OT",IF(AC32&lt;Anyag_Beallitasok!$B$4,"MINIMUM 35–49,9%",IF(AC32&lt;Anyag_Beallitasok!$B$5,"IDEÁLIS 50–59,9%","KIEMELKEDŐ ≥60%")))</x:f>
        <x:v>NEM ÉRI EL A 35%-OT</x:v>
      </x:c>
      <x:c r="AF32" s="204" t="n">
        <x:f>IFERROR(AB32/H32-1,"")</x:f>
        <x:v>0.29484304932735417</x:v>
      </x:c>
      <x:c r="AG32" s="19" t="str">
        <x:f>IF(AND(P32="IGEN",O32&gt;0),IF(AF32&gt;Anyag_Beallitasok!$B$10,"0%-OS SZÁMLA + ÖNADÓZÁS; FELÁR SZÜKSÉGES","0%-OS SZÁMLA + ÖNADÓZÁS"),IF(AF32&gt;Anyag_Beallitasok!$B$10,"FELÁR SZÜKSÉGES A 35%-HOZ",IF(AC32&lt;Anyag_Beallitasok!$B$3,"PIACI ÁRON NEM TARTHATÓ A 35%","OK")))</x:f>
        <x:v>0%-OS SZÁMLA + ÖNADÓZÁS; FELÁR SZÜKSÉGES</x:v>
      </x:c>
      <x:c r="AH32" s="207" t="n">
        <x:v>600</x:v>
      </x:c>
      <x:c r="AI32" s="207" t="n">
        <x:v>500</x:v>
      </x:c>
      <x:c r="AJ32" s="207" t="n">
        <x:v>800</x:v>
      </x:c>
      <x:c r="AK32" s="208"/>
      <x:c r="AL32" s="203" t="str">
        <x:f>IF(AK32="","",V32*AK32)</x:f>
      </x:c>
      <x:c r="AM32" s="203" t="str">
        <x:f>IF(AK32="","",AB32*AK32)</x:f>
      </x:c>
      <x:c r="AN32" s="204" t="str">
        <x:f>IFERROR(1-AL32/AM32,"")</x:f>
      </x:c>
      <x:c r="AO32" s="19" t="str">
        <x:v>https://www.winklertuzep.hu/arlista-web/vasak</x:v>
      </x:c>
      <x:c r="AP32" s="19" t="str">
        <x:v>2026 árlista kg-ra vetítve</x:v>
      </x:c>
      <x:c r="AQ32" s="19" t="str">
        <x:v>VTSZ és felek adózási státusza ellenőrzendő.</x:v>
      </x:c>
    </x:row>
    <x:row r="33">
      <x:c r="A33" s="19" t="str">
        <x:v>ANY-0032</x:v>
      </x:c>
      <x:c r="B33" s="19" t="str">
        <x:v>03 Vasbeton</x:v>
      </x:c>
      <x:c r="C33" s="19" t="str">
        <x:v>Beton, acél és zsaluzat</x:v>
      </x:c>
      <x:c r="D33" s="19" t="str">
        <x:v>Mindegyik</x:v>
      </x:c>
      <x:c r="E33" s="19" t="str">
        <x:v>Betonacél B500B Ø10</x:v>
      </x:c>
      <x:c r="F33" s="19" t="str">
        <x:v>6/12 m szál</x:v>
      </x:c>
      <x:c r="G33" s="19" t="str">
        <x:v>kg</x:v>
      </x:c>
      <x:c r="H33" s="203" t="n">
        <x:v>445</x:v>
      </x:c>
      <x:c r="I33" s="204" t="n">
        <x:v>0.27</x:v>
      </x:c>
      <x:c r="J33" s="203" t="n">
        <x:f>IFERROR(H33/(1+I33),"")</x:f>
        <x:v>350.39370078740154</x:v>
      </x:c>
      <x:c r="K33" s="205" t="n">
        <x:v>0.07</x:v>
      </x:c>
      <x:c r="L33" s="203" t="n">
        <x:f>IFERROR(J33*(1-K33),"")</x:f>
        <x:v>325.86614173228344</x:v>
      </x:c>
      <x:c r="M33" s="19" t="str">
        <x:v>0% számla – belföldi fordított adózás; 27% önadózás</x:v>
      </x:c>
      <x:c r="N33" s="204" t="n">
        <x:v>0</x:v>
      </x:c>
      <x:c r="O33" s="204" t="n">
        <x:v>0.27</x:v>
      </x:c>
      <x:c r="P33" s="19" t="str">
        <x:v>IGEN</x:v>
      </x:c>
      <x:c r="Q33" s="203" t="n">
        <x:f>IFERROR(L33*(1+N33),"")</x:f>
        <x:v>325.86614173228344</x:v>
      </x:c>
      <x:c r="R33" s="205" t="n">
        <x:v>0.04</x:v>
      </x:c>
      <x:c r="S33" s="203" t="n">
        <x:f>IFERROR(Q33*(1+R33),"")</x:f>
        <x:v>338.9007874015748</x:v>
      </x:c>
      <x:c r="T33" s="206" t="n">
        <x:v>25</x:v>
      </x:c>
      <x:c r="U33" s="206" t="n">
        <x:v>0</x:v>
      </x:c>
      <x:c r="V33" s="203" t="n">
        <x:f>IFERROR(S33+T33+U33,"")</x:f>
        <x:v>363.9007874015748</x:v>
      </x:c>
      <x:c r="W33" s="203" t="n">
        <x:f>IFERROR(H33/(1+Anyag_Beallitasok!$B$2)*Anyag_Beallitasok!$B$9,"")</x:f>
        <x:v>423.8095238095238</x:v>
      </x:c>
      <x:c r="X33" s="203" t="n">
        <x:f>IFERROR(V33/((1-Anyag_Beallitasok!$B$3)*(1+Anyag_Beallitasok!$B$2)),"")</x:f>
        <x:v>533.1879668887542</x:v>
      </x:c>
      <x:c r="Y33" s="203" t="n">
        <x:f>IFERROR(V33/((1-Anyag_Beallitasok!$B$4)*(1+Anyag_Beallitasok!$B$2)),"")</x:f>
        <x:v>693.1443569553805</x:v>
      </x:c>
      <x:c r="Z33" s="203" t="n">
        <x:f>IFERROR(ROUNDUP(MAX(W33,X33)/Anyag_Beallitasok!$B$6,0)*Anyag_Beallitasok!$B$6,"")</x:f>
        <x:v>550</x:v>
      </x:c>
      <x:c r="AA33" s="204" t="n">
        <x:f>Anyag_Beallitasok!$B$2</x:f>
        <x:v>0.05</x:v>
      </x:c>
      <x:c r="AB33" s="203" t="n">
        <x:f>IFERROR(Z33*(1+AA33),"")</x:f>
        <x:v>577.5</x:v>
      </x:c>
      <x:c r="AC33" s="204" t="n">
        <x:f>IFERROR(1-V33/H33,"")</x:f>
        <x:v>0.18224542156949486</x:v>
      </x:c>
      <x:c r="AD33" s="204" t="n">
        <x:f>IFERROR(1-V33/AB33,"")</x:f>
        <x:v>0.3698687664041995</x:v>
      </x:c>
      <x:c r="AE33" s="19" t="str">
        <x:f>IF(AC33&lt;Anyag_Beallitasok!$B$3,"NEM ÉRI EL A 35%-OT",IF(AC33&lt;Anyag_Beallitasok!$B$4,"MINIMUM 35–49,9%",IF(AC33&lt;Anyag_Beallitasok!$B$5,"IDEÁLIS 50–59,9%","KIEMELKEDŐ ≥60%")))</x:f>
        <x:v>NEM ÉRI EL A 35%-OT</x:v>
      </x:c>
      <x:c r="AF33" s="204" t="n">
        <x:f>IFERROR(AB33/H33-1,"")</x:f>
        <x:v>0.297752808988764</x:v>
      </x:c>
      <x:c r="AG33" s="19" t="str">
        <x:f>IF(AND(P33="IGEN",O33&gt;0),IF(AF33&gt;Anyag_Beallitasok!$B$10,"0%-OS SZÁMLA + ÖNADÓZÁS; FELÁR SZÜKSÉGES","0%-OS SZÁMLA + ÖNADÓZÁS"),IF(AF33&gt;Anyag_Beallitasok!$B$10,"FELÁR SZÜKSÉGES A 35%-HOZ",IF(AC33&lt;Anyag_Beallitasok!$B$3,"PIACI ÁRON NEM TARTHATÓ A 35%","OK")))</x:f>
        <x:v>0%-OS SZÁMLA + ÖNADÓZÁS; FELÁR SZÜKSÉGES</x:v>
      </x:c>
      <x:c r="AH33" s="207" t="n">
        <x:v>900</x:v>
      </x:c>
      <x:c r="AI33" s="207" t="n">
        <x:v>700</x:v>
      </x:c>
      <x:c r="AJ33" s="207" t="n">
        <x:v>1000</x:v>
      </x:c>
      <x:c r="AK33" s="208"/>
      <x:c r="AL33" s="203" t="str">
        <x:f>IF(AK33="","",V33*AK33)</x:f>
      </x:c>
      <x:c r="AM33" s="203" t="str">
        <x:f>IF(AK33="","",AB33*AK33)</x:f>
      </x:c>
      <x:c r="AN33" s="204" t="str">
        <x:f>IFERROR(1-AL33/AM33,"")</x:f>
      </x:c>
      <x:c r="AO33" s="19" t="str">
        <x:v>https://www.winklertuzep.hu/arlista-web/vasak</x:v>
      </x:c>
      <x:c r="AP33" s="19" t="str">
        <x:v>2026 árlista kg-ra vetítve</x:v>
      </x:c>
      <x:c r="AQ33" s="19" t="str">
        <x:v>VTSZ ellenőrzendő.</x:v>
      </x:c>
    </x:row>
    <x:row r="34">
      <x:c r="A34" s="19" t="str">
        <x:v>ANY-0033</x:v>
      </x:c>
      <x:c r="B34" s="19" t="str">
        <x:v>03 Vasbeton</x:v>
      </x:c>
      <x:c r="C34" s="19" t="str">
        <x:v>Beton, acél és zsaluzat</x:v>
      </x:c>
      <x:c r="D34" s="19" t="str">
        <x:v>Mindegyik</x:v>
      </x:c>
      <x:c r="E34" s="19" t="str">
        <x:v>Betonacél B500B Ø12</x:v>
      </x:c>
      <x:c r="F34" s="19" t="str">
        <x:v>6/12 m szál</x:v>
      </x:c>
      <x:c r="G34" s="19" t="str">
        <x:v>kg</x:v>
      </x:c>
      <x:c r="H34" s="203" t="n">
        <x:v>440</x:v>
      </x:c>
      <x:c r="I34" s="204" t="n">
        <x:v>0.27</x:v>
      </x:c>
      <x:c r="J34" s="203" t="n">
        <x:f>IFERROR(H34/(1+I34),"")</x:f>
        <x:v>346.45669291338584</x:v>
      </x:c>
      <x:c r="K34" s="205" t="n">
        <x:v>0.07</x:v>
      </x:c>
      <x:c r="L34" s="203" t="n">
        <x:f>IFERROR(J34*(1-K34),"")</x:f>
        <x:v>322.20472440944883</x:v>
      </x:c>
      <x:c r="M34" s="19" t="str">
        <x:v>0% számla – belföldi fordított adózás; 27% önadózás</x:v>
      </x:c>
      <x:c r="N34" s="204" t="n">
        <x:v>0</x:v>
      </x:c>
      <x:c r="O34" s="204" t="n">
        <x:v>0.27</x:v>
      </x:c>
      <x:c r="P34" s="19" t="str">
        <x:v>IGEN</x:v>
      </x:c>
      <x:c r="Q34" s="203" t="n">
        <x:f>IFERROR(L34*(1+N34),"")</x:f>
        <x:v>322.20472440944883</x:v>
      </x:c>
      <x:c r="R34" s="205" t="n">
        <x:v>0.04</x:v>
      </x:c>
      <x:c r="S34" s="203" t="n">
        <x:f>IFERROR(Q34*(1+R34),"")</x:f>
        <x:v>335.0929133858268</x:v>
      </x:c>
      <x:c r="T34" s="206" t="n">
        <x:v>25</x:v>
      </x:c>
      <x:c r="U34" s="206" t="n">
        <x:v>0</x:v>
      </x:c>
      <x:c r="V34" s="203" t="n">
        <x:f>IFERROR(S34+T34+U34,"")</x:f>
        <x:v>360.0929133858268</x:v>
      </x:c>
      <x:c r="W34" s="203" t="n">
        <x:f>IFERROR(H34/(1+Anyag_Beallitasok!$B$2)*Anyag_Beallitasok!$B$9,"")</x:f>
        <x:v>419.04761904761904</x:v>
      </x:c>
      <x:c r="X34" s="203" t="n">
        <x:f>IFERROR(V34/((1-Anyag_Beallitasok!$B$3)*(1+Anyag_Beallitasok!$B$2)),"")</x:f>
        <x:v>527.6086643015776</x:v>
      </x:c>
      <x:c r="Y34" s="203" t="n">
        <x:f>IFERROR(V34/((1-Anyag_Beallitasok!$B$4)*(1+Anyag_Beallitasok!$B$2)),"")</x:f>
        <x:v>685.891263592051</x:v>
      </x:c>
      <x:c r="Z34" s="203" t="n">
        <x:f>IFERROR(ROUNDUP(MAX(W34,X34)/Anyag_Beallitasok!$B$6,0)*Anyag_Beallitasok!$B$6,"")</x:f>
        <x:v>550</x:v>
      </x:c>
      <x:c r="AA34" s="204" t="n">
        <x:f>Anyag_Beallitasok!$B$2</x:f>
        <x:v>0.05</x:v>
      </x:c>
      <x:c r="AB34" s="203" t="n">
        <x:f>IFERROR(Z34*(1+AA34),"")</x:f>
        <x:v>577.5</x:v>
      </x:c>
      <x:c r="AC34" s="204" t="n">
        <x:f>IFERROR(1-V34/H34,"")</x:f>
        <x:v>0.18160701503221177</x:v>
      </x:c>
      <x:c r="AD34" s="204" t="n">
        <x:f>IFERROR(1-V34/AB34,"")</x:f>
        <x:v>0.3764624876435899</x:v>
      </x:c>
      <x:c r="AE34" s="19" t="str">
        <x:f>IF(AC34&lt;Anyag_Beallitasok!$B$3,"NEM ÉRI EL A 35%-OT",IF(AC34&lt;Anyag_Beallitasok!$B$4,"MINIMUM 35–49,9%",IF(AC34&lt;Anyag_Beallitasok!$B$5,"IDEÁLIS 50–59,9%","KIEMELKEDŐ ≥60%")))</x:f>
        <x:v>NEM ÉRI EL A 35%-OT</x:v>
      </x:c>
      <x:c r="AF34" s="204" t="n">
        <x:f>IFERROR(AB34/H34-1,"")</x:f>
        <x:v>0.3125</x:v>
      </x:c>
      <x:c r="AG34" s="19" t="str">
        <x:f>IF(AND(P34="IGEN",O34&gt;0),IF(AF34&gt;Anyag_Beallitasok!$B$10,"0%-OS SZÁMLA + ÖNADÓZÁS; FELÁR SZÜKSÉGES","0%-OS SZÁMLA + ÖNADÓZÁS"),IF(AF34&gt;Anyag_Beallitasok!$B$10,"FELÁR SZÜKSÉGES A 35%-HOZ",IF(AC34&lt;Anyag_Beallitasok!$B$3,"PIACI ÁRON NEM TARTHATÓ A 35%","OK")))</x:f>
        <x:v>0%-OS SZÁMLA + ÖNADÓZÁS; FELÁR SZÜKSÉGES</x:v>
      </x:c>
      <x:c r="AH34" s="207" t="n">
        <x:v>1800</x:v>
      </x:c>
      <x:c r="AI34" s="207" t="n">
        <x:v>1500</x:v>
      </x:c>
      <x:c r="AJ34" s="207" t="n">
        <x:v>2200</x:v>
      </x:c>
      <x:c r="AK34" s="208"/>
      <x:c r="AL34" s="203" t="str">
        <x:f>IF(AK34="","",V34*AK34)</x:f>
      </x:c>
      <x:c r="AM34" s="203" t="str">
        <x:f>IF(AK34="","",AB34*AK34)</x:f>
      </x:c>
      <x:c r="AN34" s="204" t="str">
        <x:f>IFERROR(1-AL34/AM34,"")</x:f>
      </x:c>
      <x:c r="AO34" s="19" t="str">
        <x:v>https://www.winklertuzep.hu/arlista-web/vasak</x:v>
      </x:c>
      <x:c r="AP34" s="19" t="str">
        <x:v>2026 árlista kg-ra vetítve</x:v>
      </x:c>
      <x:c r="AQ34" s="19" t="str">
        <x:v>VTSZ ellenőrzendő.</x:v>
      </x:c>
    </x:row>
    <x:row r="35">
      <x:c r="A35" s="19" t="str">
        <x:v>ANY-0034</x:v>
      </x:c>
      <x:c r="B35" s="19" t="str">
        <x:v>03 Vasbeton</x:v>
      </x:c>
      <x:c r="C35" s="19" t="str">
        <x:v>Beton, acél és zsaluzat</x:v>
      </x:c>
      <x:c r="D35" s="19" t="str">
        <x:v>Mindegyik</x:v>
      </x:c>
      <x:c r="E35" s="19" t="str">
        <x:v>Betonacél B500B Ø16</x:v>
      </x:c>
      <x:c r="F35" s="19" t="str">
        <x:v>6/12 m szál</x:v>
      </x:c>
      <x:c r="G35" s="19" t="str">
        <x:v>kg</x:v>
      </x:c>
      <x:c r="H35" s="203" t="n">
        <x:v>425</x:v>
      </x:c>
      <x:c r="I35" s="204" t="n">
        <x:v>0.27</x:v>
      </x:c>
      <x:c r="J35" s="203" t="n">
        <x:f>IFERROR(H35/(1+I35),"")</x:f>
        <x:v>334.6456692913386</x:v>
      </x:c>
      <x:c r="K35" s="205" t="n">
        <x:v>0.07</x:v>
      </x:c>
      <x:c r="L35" s="203" t="n">
        <x:f>IFERROR(J35*(1-K35),"")</x:f>
        <x:v>311.2204724409449</x:v>
      </x:c>
      <x:c r="M35" s="19" t="str">
        <x:v>0% számla – belföldi fordított adózás; 27% önadózás</x:v>
      </x:c>
      <x:c r="N35" s="204" t="n">
        <x:v>0</x:v>
      </x:c>
      <x:c r="O35" s="204" t="n">
        <x:v>0.27</x:v>
      </x:c>
      <x:c r="P35" s="19" t="str">
        <x:v>IGEN</x:v>
      </x:c>
      <x:c r="Q35" s="203" t="n">
        <x:f>IFERROR(L35*(1+N35),"")</x:f>
        <x:v>311.2204724409449</x:v>
      </x:c>
      <x:c r="R35" s="205" t="n">
        <x:v>0.04</x:v>
      </x:c>
      <x:c r="S35" s="203" t="n">
        <x:f>IFERROR(Q35*(1+R35),"")</x:f>
        <x:v>323.6692913385827</x:v>
      </x:c>
      <x:c r="T35" s="206" t="n">
        <x:v>25</x:v>
      </x:c>
      <x:c r="U35" s="206" t="n">
        <x:v>0</x:v>
      </x:c>
      <x:c r="V35" s="203" t="n">
        <x:f>IFERROR(S35+T35+U35,"")</x:f>
        <x:v>348.6692913385827</x:v>
      </x:c>
      <x:c r="W35" s="203" t="n">
        <x:f>IFERROR(H35/(1+Anyag_Beallitasok!$B$2)*Anyag_Beallitasok!$B$9,"")</x:f>
        <x:v>404.76190476190476</x:v>
      </x:c>
      <x:c r="X35" s="203" t="n">
        <x:f>IFERROR(V35/((1-Anyag_Beallitasok!$B$3)*(1+Anyag_Beallitasok!$B$2)),"")</x:f>
        <x:v>510.8707565400478</x:v>
      </x:c>
      <x:c r="Y35" s="203" t="n">
        <x:f>IFERROR(V35/((1-Anyag_Beallitasok!$B$4)*(1+Anyag_Beallitasok!$B$2)),"")</x:f>
        <x:v>664.1319835020622</x:v>
      </x:c>
      <x:c r="Z35" s="203" t="n">
        <x:f>IFERROR(ROUNDUP(MAX(W35,X35)/Anyag_Beallitasok!$B$6,0)*Anyag_Beallitasok!$B$6,"")</x:f>
        <x:v>550</x:v>
      </x:c>
      <x:c r="AA35" s="204" t="n">
        <x:f>Anyag_Beallitasok!$B$2</x:f>
        <x:v>0.05</x:v>
      </x:c>
      <x:c r="AB35" s="203" t="n">
        <x:f>IFERROR(Z35*(1+AA35),"")</x:f>
        <x:v>577.5</x:v>
      </x:c>
      <x:c r="AC35" s="204" t="n">
        <x:f>IFERROR(1-V35/H35,"")</x:f>
        <x:v>0.17960166743862893</x:v>
      </x:c>
      <x:c r="AD35" s="204" t="n">
        <x:f>IFERROR(1-V35/AB35,"")</x:f>
        <x:v>0.39624365136176154</x:v>
      </x:c>
      <x:c r="AE35" s="19" t="str">
        <x:f>IF(AC35&lt;Anyag_Beallitasok!$B$3,"NEM ÉRI EL A 35%-OT",IF(AC35&lt;Anyag_Beallitasok!$B$4,"MINIMUM 35–49,9%",IF(AC35&lt;Anyag_Beallitasok!$B$5,"IDEÁLIS 50–59,9%","KIEMELKEDŐ ≥60%")))</x:f>
        <x:v>NEM ÉRI EL A 35%-OT</x:v>
      </x:c>
      <x:c r="AF35" s="204" t="n">
        <x:f>IFERROR(AB35/H35-1,"")</x:f>
        <x:v>0.35882352941176476</x:v>
      </x:c>
      <x:c r="AG35" s="19" t="str">
        <x:f>IF(AND(P35="IGEN",O35&gt;0),IF(AF35&gt;Anyag_Beallitasok!$B$10,"0%-OS SZÁMLA + ÖNADÓZÁS; FELÁR SZÜKSÉGES","0%-OS SZÁMLA + ÖNADÓZÁS"),IF(AF35&gt;Anyag_Beallitasok!$B$10,"FELÁR SZÜKSÉGES A 35%-HOZ",IF(AC35&lt;Anyag_Beallitasok!$B$3,"PIACI ÁRON NEM TARTHATÓ A 35%","OK")))</x:f>
        <x:v>0%-OS SZÁMLA + ÖNADÓZÁS; FELÁR SZÜKSÉGES</x:v>
      </x:c>
      <x:c r="AH35" s="207" t="n">
        <x:v>1100</x:v>
      </x:c>
      <x:c r="AI35" s="207" t="n">
        <x:v>800</x:v>
      </x:c>
      <x:c r="AJ35" s="207" t="n">
        <x:v>1400</x:v>
      </x:c>
      <x:c r="AK35" s="208"/>
      <x:c r="AL35" s="203" t="str">
        <x:f>IF(AK35="","",V35*AK35)</x:f>
      </x:c>
      <x:c r="AM35" s="203" t="str">
        <x:f>IF(AK35="","",AB35*AK35)</x:f>
      </x:c>
      <x:c r="AN35" s="204" t="str">
        <x:f>IFERROR(1-AL35/AM35,"")</x:f>
      </x:c>
      <x:c r="AO35" s="19" t="str">
        <x:v>https://www.winklertuzep.hu/arlista-web/vasak</x:v>
      </x:c>
      <x:c r="AP35" s="19" t="str">
        <x:v>2026 árlista kg-ra vetítve</x:v>
      </x:c>
      <x:c r="AQ35" s="19" t="str">
        <x:v>VTSZ ellenőrzendő.</x:v>
      </x:c>
    </x:row>
    <x:row r="36">
      <x:c r="A36" s="19" t="str">
        <x:v>ANY-0035</x:v>
      </x:c>
      <x:c r="B36" s="19" t="str">
        <x:v>03 Vasbeton</x:v>
      </x:c>
      <x:c r="C36" s="19" t="str">
        <x:v>Beton, acél és zsaluzat</x:v>
      </x:c>
      <x:c r="D36" s="19" t="str">
        <x:v>Mindegyik</x:v>
      </x:c>
      <x:c r="E36" s="19" t="str">
        <x:v>Betonacél B500B Ø20</x:v>
      </x:c>
      <x:c r="F36" s="19" t="str">
        <x:v>6/12 m szál</x:v>
      </x:c>
      <x:c r="G36" s="19" t="str">
        <x:v>kg</x:v>
      </x:c>
      <x:c r="H36" s="203" t="n">
        <x:v>428</x:v>
      </x:c>
      <x:c r="I36" s="204" t="n">
        <x:v>0.27</x:v>
      </x:c>
      <x:c r="J36" s="203" t="n">
        <x:f>IFERROR(H36/(1+I36),"")</x:f>
        <x:v>337.00787401574803</x:v>
      </x:c>
      <x:c r="K36" s="205" t="n">
        <x:v>0.07</x:v>
      </x:c>
      <x:c r="L36" s="203" t="n">
        <x:f>IFERROR(J36*(1-K36),"")</x:f>
        <x:v>313.41732283464563</x:v>
      </x:c>
      <x:c r="M36" s="19" t="str">
        <x:v>0% számla – belföldi fordított adózás; 27% önadózás</x:v>
      </x:c>
      <x:c r="N36" s="204" t="n">
        <x:v>0</x:v>
      </x:c>
      <x:c r="O36" s="204" t="n">
        <x:v>0.27</x:v>
      </x:c>
      <x:c r="P36" s="19" t="str">
        <x:v>IGEN</x:v>
      </x:c>
      <x:c r="Q36" s="203" t="n">
        <x:f>IFERROR(L36*(1+N36),"")</x:f>
        <x:v>313.41732283464563</x:v>
      </x:c>
      <x:c r="R36" s="205" t="n">
        <x:v>0.04</x:v>
      </x:c>
      <x:c r="S36" s="203" t="n">
        <x:f>IFERROR(Q36*(1+R36),"")</x:f>
        <x:v>325.95401574803145</x:v>
      </x:c>
      <x:c r="T36" s="206" t="n">
        <x:v>25</x:v>
      </x:c>
      <x:c r="U36" s="206" t="n">
        <x:v>0</x:v>
      </x:c>
      <x:c r="V36" s="203" t="n">
        <x:f>IFERROR(S36+T36+U36,"")</x:f>
        <x:v>350.95401574803145</x:v>
      </x:c>
      <x:c r="W36" s="203" t="n">
        <x:f>IFERROR(H36/(1+Anyag_Beallitasok!$B$2)*Anyag_Beallitasok!$B$9,"")</x:f>
        <x:v>407.6190476190476</x:v>
      </x:c>
      <x:c r="X36" s="203" t="n">
        <x:f>IFERROR(V36/((1-Anyag_Beallitasok!$B$3)*(1+Anyag_Beallitasok!$B$2)),"")</x:f>
        <x:v>514.2183380923537</x:v>
      </x:c>
      <x:c r="Y36" s="203" t="n">
        <x:f>IFERROR(V36/((1-Anyag_Beallitasok!$B$4)*(1+Anyag_Beallitasok!$B$2)),"")</x:f>
        <x:v>668.4838395200599</x:v>
      </x:c>
      <x:c r="Z36" s="203" t="n">
        <x:f>IFERROR(ROUNDUP(MAX(W36,X36)/Anyag_Beallitasok!$B$6,0)*Anyag_Beallitasok!$B$6,"")</x:f>
        <x:v>550</x:v>
      </x:c>
      <x:c r="AA36" s="204" t="n">
        <x:f>Anyag_Beallitasok!$B$2</x:f>
        <x:v>0.05</x:v>
      </x:c>
      <x:c r="AB36" s="203" t="n">
        <x:f>IFERROR(Z36*(1+AA36),"")</x:f>
        <x:v>577.5</x:v>
      </x:c>
      <x:c r="AC36" s="204" t="n">
        <x:f>IFERROR(1-V36/H36,"")</x:f>
        <x:v>0.1800139818971228</x:v>
      </x:c>
      <x:c r="AD36" s="204" t="n">
        <x:f>IFERROR(1-V36/AB36,"")</x:f>
        <x:v>0.3922874186181273</x:v>
      </x:c>
      <x:c r="AE36" s="19" t="str">
        <x:f>IF(AC36&lt;Anyag_Beallitasok!$B$3,"NEM ÉRI EL A 35%-OT",IF(AC36&lt;Anyag_Beallitasok!$B$4,"MINIMUM 35–49,9%",IF(AC36&lt;Anyag_Beallitasok!$B$5,"IDEÁLIS 50–59,9%","KIEMELKEDŐ ≥60%")))</x:f>
        <x:v>NEM ÉRI EL A 35%-OT</x:v>
      </x:c>
      <x:c r="AF36" s="204" t="n">
        <x:f>IFERROR(AB36/H36-1,"")</x:f>
        <x:v>0.3492990654205608</x:v>
      </x:c>
      <x:c r="AG36" s="19" t="str">
        <x:f>IF(AND(P36="IGEN",O36&gt;0),IF(AF36&gt;Anyag_Beallitasok!$B$10,"0%-OS SZÁMLA + ÖNADÓZÁS; FELÁR SZÜKSÉGES","0%-OS SZÁMLA + ÖNADÓZÁS"),IF(AF36&gt;Anyag_Beallitasok!$B$10,"FELÁR SZÜKSÉGES A 35%-HOZ",IF(AC36&lt;Anyag_Beallitasok!$B$3,"PIACI ÁRON NEM TARTHATÓ A 35%","OK")))</x:f>
        <x:v>0%-OS SZÁMLA + ÖNADÓZÁS; FELÁR SZÜKSÉGES</x:v>
      </x:c>
      <x:c r="AH36" s="207" t="n">
        <x:v>300</x:v>
      </x:c>
      <x:c r="AI36" s="207" t="n">
        <x:v>200</x:v>
      </x:c>
      <x:c r="AJ36" s="207" t="n">
        <x:v>500</x:v>
      </x:c>
      <x:c r="AK36" s="208"/>
      <x:c r="AL36" s="203" t="str">
        <x:f>IF(AK36="","",V36*AK36)</x:f>
      </x:c>
      <x:c r="AM36" s="203" t="str">
        <x:f>IF(AK36="","",AB36*AK36)</x:f>
      </x:c>
      <x:c r="AN36" s="204" t="str">
        <x:f>IFERROR(1-AL36/AM36,"")</x:f>
      </x:c>
      <x:c r="AO36" s="19" t="str">
        <x:v>https://www.winklertuzep.hu/arlista-web/vasak</x:v>
      </x:c>
      <x:c r="AP36" s="19" t="str">
        <x:v>2026 árlista kg-ra vetítve</x:v>
      </x:c>
      <x:c r="AQ36" s="19" t="str">
        <x:v>VTSZ ellenőrzendő.</x:v>
      </x:c>
    </x:row>
    <x:row r="37">
      <x:c r="A37" s="19" t="str">
        <x:v>ANY-0036</x:v>
      </x:c>
      <x:c r="B37" s="19" t="str">
        <x:v>03 Vasbeton</x:v>
      </x:c>
      <x:c r="C37" s="19" t="str">
        <x:v>Beton, acél és zsaluzat</x:v>
      </x:c>
      <x:c r="D37" s="19" t="str">
        <x:v>Mindegyik</x:v>
      </x:c>
      <x:c r="E37" s="19" t="str">
        <x:v>Hegesztett síkháló 150×150×6</x:v>
      </x:c>
      <x:c r="F37" s="19" t="str">
        <x:v>2,15×5 m</x:v>
      </x:c>
      <x:c r="G37" s="19" t="str">
        <x:v>kg</x:v>
      </x:c>
      <x:c r="H37" s="203" t="n">
        <x:v>465</x:v>
      </x:c>
      <x:c r="I37" s="204" t="n">
        <x:v>0.27</x:v>
      </x:c>
      <x:c r="J37" s="203" t="n">
        <x:f>IFERROR(H37/(1+I37),"")</x:f>
        <x:v>366.14173228346453</x:v>
      </x:c>
      <x:c r="K37" s="205" t="n">
        <x:v>0.08</x:v>
      </x:c>
      <x:c r="L37" s="203" t="n">
        <x:f>IFERROR(J37*(1-K37),"")</x:f>
        <x:v>336.8503937007874</x:v>
      </x:c>
      <x:c r="M37" s="19" t="str">
        <x:v>0% számla – belföldi fordított adózás; 27% önadózás</x:v>
      </x:c>
      <x:c r="N37" s="204" t="n">
        <x:v>0</x:v>
      </x:c>
      <x:c r="O37" s="204" t="n">
        <x:v>0.27</x:v>
      </x:c>
      <x:c r="P37" s="19" t="str">
        <x:v>IGEN</x:v>
      </x:c>
      <x:c r="Q37" s="203" t="n">
        <x:f>IFERROR(L37*(1+N37),"")</x:f>
        <x:v>336.8503937007874</x:v>
      </x:c>
      <x:c r="R37" s="205" t="n">
        <x:v>0.05</x:v>
      </x:c>
      <x:c r="S37" s="203" t="n">
        <x:f>IFERROR(Q37*(1+R37),"")</x:f>
        <x:v>353.6929133858268</x:v>
      </x:c>
      <x:c r="T37" s="206" t="n">
        <x:v>30</x:v>
      </x:c>
      <x:c r="U37" s="206" t="n">
        <x:v>0</x:v>
      </x:c>
      <x:c r="V37" s="203" t="n">
        <x:f>IFERROR(S37+T37+U37,"")</x:f>
        <x:v>383.6929133858268</x:v>
      </x:c>
      <x:c r="W37" s="203" t="n">
        <x:f>IFERROR(H37/(1+Anyag_Beallitasok!$B$2)*Anyag_Beallitasok!$B$9,"")</x:f>
        <x:v>442.85714285714283</x:v>
      </x:c>
      <x:c r="X37" s="203" t="n">
        <x:f>IFERROR(V37/((1-Anyag_Beallitasok!$B$3)*(1+Anyag_Beallitasok!$B$2)),"")</x:f>
        <x:v>562.1874188803322</x:v>
      </x:c>
      <x:c r="Y37" s="203" t="n">
        <x:f>IFERROR(V37/((1-Anyag_Beallitasok!$B$4)*(1+Anyag_Beallitasok!$B$2)),"")</x:f>
        <x:v>730.843644544432</x:v>
      </x:c>
      <x:c r="Z37" s="203" t="n">
        <x:f>IFERROR(ROUNDUP(MAX(W37,X37)/Anyag_Beallitasok!$B$6,0)*Anyag_Beallitasok!$B$6,"")</x:f>
        <x:v>600</x:v>
      </x:c>
      <x:c r="AA37" s="204" t="n">
        <x:f>Anyag_Beallitasok!$B$2</x:f>
        <x:v>0.05</x:v>
      </x:c>
      <x:c r="AB37" s="203" t="n">
        <x:f>IFERROR(Z37*(1+AA37),"")</x:f>
        <x:v>630</x:v>
      </x:c>
      <x:c r="AC37" s="204" t="n">
        <x:f>IFERROR(1-V37/H37,"")</x:f>
        <x:v>0.17485394970789936</x:v>
      </x:c>
      <x:c r="AD37" s="204" t="n">
        <x:f>IFERROR(1-V37/AB37,"")</x:f>
        <x:v>0.3909636295463067</x:v>
      </x:c>
      <x:c r="AE37" s="19" t="str">
        <x:f>IF(AC37&lt;Anyag_Beallitasok!$B$3,"NEM ÉRI EL A 35%-OT",IF(AC37&lt;Anyag_Beallitasok!$B$4,"MINIMUM 35–49,9%",IF(AC37&lt;Anyag_Beallitasok!$B$5,"IDEÁLIS 50–59,9%","KIEMELKEDŐ ≥60%")))</x:f>
        <x:v>NEM ÉRI EL A 35%-OT</x:v>
      </x:c>
      <x:c r="AF37" s="204" t="n">
        <x:f>IFERROR(AB37/H37-1,"")</x:f>
        <x:v>0.35483870967741926</x:v>
      </x:c>
      <x:c r="AG37" s="19" t="str">
        <x:f>IF(AND(P37="IGEN",O37&gt;0),IF(AF37&gt;Anyag_Beallitasok!$B$10,"0%-OS SZÁMLA + ÖNADÓZÁS; FELÁR SZÜKSÉGES","0%-OS SZÁMLA + ÖNADÓZÁS"),IF(AF37&gt;Anyag_Beallitasok!$B$10,"FELÁR SZÜKSÉGES A 35%-HOZ",IF(AC37&lt;Anyag_Beallitasok!$B$3,"PIACI ÁRON NEM TARTHATÓ A 35%","OK")))</x:f>
        <x:v>0%-OS SZÁMLA + ÖNADÓZÁS; FELÁR SZÜKSÉGES</x:v>
      </x:c>
      <x:c r="AH37" s="207" t="n">
        <x:v>900</x:v>
      </x:c>
      <x:c r="AI37" s="207" t="n">
        <x:v>800</x:v>
      </x:c>
      <x:c r="AJ37" s="207" t="n">
        <x:v>1000</x:v>
      </x:c>
      <x:c r="AK37" s="208"/>
      <x:c r="AL37" s="203" t="str">
        <x:f>IF(AK37="","",V37*AK37)</x:f>
      </x:c>
      <x:c r="AM37" s="203" t="str">
        <x:f>IF(AK37="","",AB37*AK37)</x:f>
      </x:c>
      <x:c r="AN37" s="204" t="str">
        <x:f>IFERROR(1-AL37/AM37,"")</x:f>
      </x:c>
      <x:c r="AO37" s="19" t="str">
        <x:v>https://www.winklertuzep.hu/arlista-web/vasak</x:v>
      </x:c>
      <x:c r="AP37" s="19" t="str">
        <x:v>2026 acélárból levezetett</x:v>
      </x:c>
      <x:c r="AQ37" s="19" t="str">
        <x:v>VTSZ ellenőrzendő.</x:v>
      </x:c>
    </x:row>
    <x:row r="38">
      <x:c r="A38" s="19" t="str">
        <x:v>ANY-0037</x:v>
      </x:c>
      <x:c r="B38" s="19" t="str">
        <x:v>03 Vasbeton</x:v>
      </x:c>
      <x:c r="C38" s="19" t="str">
        <x:v>Beton, acél és zsaluzat</x:v>
      </x:c>
      <x:c r="D38" s="19" t="str">
        <x:v>Mindegyik</x:v>
      </x:c>
      <x:c r="E38" s="19" t="str">
        <x:v>Hegesztett síkháló 150×150×8</x:v>
      </x:c>
      <x:c r="F38" s="19" t="str">
        <x:v>2,15×5 m</x:v>
      </x:c>
      <x:c r="G38" s="19" t="str">
        <x:v>kg</x:v>
      </x:c>
      <x:c r="H38" s="203" t="n">
        <x:v>455</x:v>
      </x:c>
      <x:c r="I38" s="204" t="n">
        <x:v>0.27</x:v>
      </x:c>
      <x:c r="J38" s="203" t="n">
        <x:f>IFERROR(H38/(1+I38),"")</x:f>
        <x:v>358.26771653543307</x:v>
      </x:c>
      <x:c r="K38" s="205" t="n">
        <x:v>0.08</x:v>
      </x:c>
      <x:c r="L38" s="203" t="n">
        <x:f>IFERROR(J38*(1-K38),"")</x:f>
        <x:v>329.60629921259846</x:v>
      </x:c>
      <x:c r="M38" s="19" t="str">
        <x:v>0% számla – belföldi fordított adózás; 27% önadózás</x:v>
      </x:c>
      <x:c r="N38" s="204" t="n">
        <x:v>0</x:v>
      </x:c>
      <x:c r="O38" s="204" t="n">
        <x:v>0.27</x:v>
      </x:c>
      <x:c r="P38" s="19" t="str">
        <x:v>IGEN</x:v>
      </x:c>
      <x:c r="Q38" s="203" t="n">
        <x:f>IFERROR(L38*(1+N38),"")</x:f>
        <x:v>329.60629921259846</x:v>
      </x:c>
      <x:c r="R38" s="205" t="n">
        <x:v>0.05</x:v>
      </x:c>
      <x:c r="S38" s="203" t="n">
        <x:f>IFERROR(Q38*(1+R38),"")</x:f>
        <x:v>346.0866141732284</x:v>
      </x:c>
      <x:c r="T38" s="206" t="n">
        <x:v>30</x:v>
      </x:c>
      <x:c r="U38" s="206" t="n">
        <x:v>0</x:v>
      </x:c>
      <x:c r="V38" s="203" t="n">
        <x:f>IFERROR(S38+T38+U38,"")</x:f>
        <x:v>376.0866141732284</x:v>
      </x:c>
      <x:c r="W38" s="203" t="n">
        <x:f>IFERROR(H38/(1+Anyag_Beallitasok!$B$2)*Anyag_Beallitasok!$B$9,"")</x:f>
        <x:v>433.3333333333333</x:v>
      </x:c>
      <x:c r="X38" s="203" t="n">
        <x:f>IFERROR(V38/((1-Anyag_Beallitasok!$B$3)*(1+Anyag_Beallitasok!$B$2)),"")</x:f>
        <x:v>551.0426581292722</x:v>
      </x:c>
      <x:c r="Y38" s="203" t="n">
        <x:f>IFERROR(V38/((1-Anyag_Beallitasok!$B$4)*(1+Anyag_Beallitasok!$B$2)),"")</x:f>
        <x:v>716.355455568054</x:v>
      </x:c>
      <x:c r="Z38" s="203" t="n">
        <x:f>IFERROR(ROUNDUP(MAX(W38,X38)/Anyag_Beallitasok!$B$6,0)*Anyag_Beallitasok!$B$6,"")</x:f>
        <x:v>600</x:v>
      </x:c>
      <x:c r="AA38" s="204" t="n">
        <x:f>Anyag_Beallitasok!$B$2</x:f>
        <x:v>0.05</x:v>
      </x:c>
      <x:c r="AB38" s="203" t="n">
        <x:f>IFERROR(Z38*(1+AA38),"")</x:f>
        <x:v>630</x:v>
      </x:c>
      <x:c r="AC38" s="204" t="n">
        <x:f>IFERROR(1-V38/H38,"")</x:f>
        <x:v>0.17343601280609144</x:v>
      </x:c>
      <x:c r="AD38" s="204" t="n">
        <x:f>IFERROR(1-V38/AB38,"")</x:f>
        <x:v>0.403037120359955</x:v>
      </x:c>
      <x:c r="AE38" s="19" t="str">
        <x:f>IF(AC38&lt;Anyag_Beallitasok!$B$3,"NEM ÉRI EL A 35%-OT",IF(AC38&lt;Anyag_Beallitasok!$B$4,"MINIMUM 35–49,9%",IF(AC38&lt;Anyag_Beallitasok!$B$5,"IDEÁLIS 50–59,9%","KIEMELKEDŐ ≥60%")))</x:f>
        <x:v>NEM ÉRI EL A 35%-OT</x:v>
      </x:c>
      <x:c r="AF38" s="204" t="n">
        <x:f>IFERROR(AB38/H38-1,"")</x:f>
        <x:v>0.3846153846153846</x:v>
      </x:c>
      <x:c r="AG38" s="19" t="str">
        <x:f>IF(AND(P38="IGEN",O38&gt;0),IF(AF38&gt;Anyag_Beallitasok!$B$10,"0%-OS SZÁMLA + ÖNADÓZÁS; FELÁR SZÜKSÉGES","0%-OS SZÁMLA + ÖNADÓZÁS"),IF(AF38&gt;Anyag_Beallitasok!$B$10,"FELÁR SZÜKSÉGES A 35%-HOZ",IF(AC38&lt;Anyag_Beallitasok!$B$3,"PIACI ÁRON NEM TARTHATÓ A 35%","OK")))</x:f>
        <x:v>0%-OS SZÁMLA + ÖNADÓZÁS; FELÁR SZÜKSÉGES</x:v>
      </x:c>
      <x:c r="AH38" s="207" t="n">
        <x:v>0</x:v>
      </x:c>
      <x:c r="AI38" s="207" t="n">
        <x:v>0</x:v>
      </x:c>
      <x:c r="AJ38" s="207" t="n">
        <x:v>0</x:v>
      </x:c>
      <x:c r="AK38" s="208"/>
      <x:c r="AL38" s="203" t="str">
        <x:f>IF(AK38="","",V38*AK38)</x:f>
      </x:c>
      <x:c r="AM38" s="203" t="str">
        <x:f>IF(AK38="","",AB38*AK38)</x:f>
      </x:c>
      <x:c r="AN38" s="204" t="str">
        <x:f>IFERROR(1-AL38/AM38,"")</x:f>
      </x:c>
      <x:c r="AO38" s="19" t="str">
        <x:v>https://www.winklertuzep.hu/arlista-web/vasak</x:v>
      </x:c>
      <x:c r="AP38" s="19" t="str">
        <x:v>2026 acélárból levezetett</x:v>
      </x:c>
      <x:c r="AQ38" s="19" t="str">
        <x:v>VTSZ ellenőrzendő.</x:v>
      </x:c>
    </x:row>
    <x:row r="39">
      <x:c r="A39" s="19" t="str">
        <x:v>ANY-0038</x:v>
      </x:c>
      <x:c r="B39" s="19" t="str">
        <x:v>03 Vasbeton</x:v>
      </x:c>
      <x:c r="C39" s="19" t="str">
        <x:v>Beton, acél és zsaluzat</x:v>
      </x:c>
      <x:c r="D39" s="19" t="str">
        <x:v>Mindegyik</x:v>
      </x:c>
      <x:c r="E39" s="19" t="str">
        <x:v>Kengyel készre hajlítva</x:v>
      </x:c>
      <x:c r="F39" s="19" t="str">
        <x:v>B500B</x:v>
      </x:c>
      <x:c r="G39" s="19" t="str">
        <x:v>kg</x:v>
      </x:c>
      <x:c r="H39" s="203" t="n">
        <x:v>620</x:v>
      </x:c>
      <x:c r="I39" s="204" t="n">
        <x:v>0.27</x:v>
      </x:c>
      <x:c r="J39" s="203" t="n">
        <x:f>IFERROR(H39/(1+I39),"")</x:f>
        <x:v>488.18897637795277</x:v>
      </x:c>
      <x:c r="K39" s="205" t="n">
        <x:v>0.08</x:v>
      </x:c>
      <x:c r="L39" s="203" t="n">
        <x:f>IFERROR(J39*(1-K39),"")</x:f>
        <x:v>449.13385826771656</x:v>
      </x:c>
      <x:c r="M39" s="19" t="str">
        <x:v>0% számla – belföldi fordított adózás; 27% önadózás</x:v>
      </x:c>
      <x:c r="N39" s="204" t="n">
        <x:v>0</x:v>
      </x:c>
      <x:c r="O39" s="204" t="n">
        <x:v>0.27</x:v>
      </x:c>
      <x:c r="P39" s="19" t="str">
        <x:v>IGEN</x:v>
      </x:c>
      <x:c r="Q39" s="203" t="n">
        <x:f>IFERROR(L39*(1+N39),"")</x:f>
        <x:v>449.13385826771656</x:v>
      </x:c>
      <x:c r="R39" s="205" t="n">
        <x:v>0.03</x:v>
      </x:c>
      <x:c r="S39" s="203" t="n">
        <x:f>IFERROR(Q39*(1+R39),"")</x:f>
        <x:v>462.60787401574805</x:v>
      </x:c>
      <x:c r="T39" s="206" t="n">
        <x:v>30</x:v>
      </x:c>
      <x:c r="U39" s="206" t="n">
        <x:v>0</x:v>
      </x:c>
      <x:c r="V39" s="203" t="n">
        <x:f>IFERROR(S39+T39+U39,"")</x:f>
        <x:v>492.60787401574805</x:v>
      </x:c>
      <x:c r="W39" s="203" t="n">
        <x:f>IFERROR(H39/(1+Anyag_Beallitasok!$B$2)*Anyag_Beallitasok!$B$9,"")</x:f>
        <x:v>590.4761904761905</x:v>
      </x:c>
      <x:c r="X39" s="203" t="n">
        <x:f>IFERROR(V39/((1-Anyag_Beallitasok!$B$3)*(1+Anyag_Beallitasok!$B$2)),"")</x:f>
        <x:v>721.7697787776527</x:v>
      </x:c>
      <x:c r="Y39" s="203" t="n">
        <x:f>IFERROR(V39/((1-Anyag_Beallitasok!$B$4)*(1+Anyag_Beallitasok!$B$2)),"")</x:f>
        <x:v>938.3007124109487</x:v>
      </x:c>
      <x:c r="Z39" s="203" t="n">
        <x:f>IFERROR(ROUNDUP(MAX(W39,X39)/Anyag_Beallitasok!$B$6,0)*Anyag_Beallitasok!$B$6,"")</x:f>
        <x:v>750</x:v>
      </x:c>
      <x:c r="AA39" s="204" t="n">
        <x:f>Anyag_Beallitasok!$B$2</x:f>
        <x:v>0.05</x:v>
      </x:c>
      <x:c r="AB39" s="203" t="n">
        <x:f>IFERROR(Z39*(1+AA39),"")</x:f>
        <x:v>787.5</x:v>
      </x:c>
      <x:c r="AC39" s="204" t="n">
        <x:f>IFERROR(1-V39/H39,"")</x:f>
        <x:v>0.2054711709423418</x:v>
      </x:c>
      <x:c r="AD39" s="204" t="n">
        <x:f>IFERROR(1-V39/AB39,"")</x:f>
        <x:v>0.37446619172603424</x:v>
      </x:c>
      <x:c r="AE39" s="19" t="str">
        <x:f>IF(AC39&lt;Anyag_Beallitasok!$B$3,"NEM ÉRI EL A 35%-OT",IF(AC39&lt;Anyag_Beallitasok!$B$4,"MINIMUM 35–49,9%",IF(AC39&lt;Anyag_Beallitasok!$B$5,"IDEÁLIS 50–59,9%","KIEMELKEDŐ ≥60%")))</x:f>
        <x:v>NEM ÉRI EL A 35%-OT</x:v>
      </x:c>
      <x:c r="AF39" s="204" t="n">
        <x:f>IFERROR(AB39/H39-1,"")</x:f>
        <x:v>0.27016129032258074</x:v>
      </x:c>
      <x:c r="AG39" s="19" t="str">
        <x:f>IF(AND(P39="IGEN",O39&gt;0),IF(AF39&gt;Anyag_Beallitasok!$B$10,"0%-OS SZÁMLA + ÖNADÓZÁS; FELÁR SZÜKSÉGES","0%-OS SZÁMLA + ÖNADÓZÁS"),IF(AF39&gt;Anyag_Beallitasok!$B$10,"FELÁR SZÜKSÉGES A 35%-HOZ",IF(AC39&lt;Anyag_Beallitasok!$B$3,"PIACI ÁRON NEM TARTHATÓ A 35%","OK")))</x:f>
        <x:v>0%-OS SZÁMLA + ÖNADÓZÁS; FELÁR SZÜKSÉGES</x:v>
      </x:c>
      <x:c r="AH39" s="207" t="n">
        <x:v>450</x:v>
      </x:c>
      <x:c r="AI39" s="207" t="n">
        <x:v>350</x:v>
      </x:c>
      <x:c r="AJ39" s="207" t="n">
        <x:v>500</x:v>
      </x:c>
      <x:c r="AK39" s="208"/>
      <x:c r="AL39" s="203" t="str">
        <x:f>IF(AK39="","",V39*AK39)</x:f>
      </x:c>
      <x:c r="AM39" s="203" t="str">
        <x:f>IF(AK39="","",AB39*AK39)</x:f>
      </x:c>
      <x:c r="AN39" s="204" t="str">
        <x:f>IFERROR(1-AL39/AM39,"")</x:f>
      </x:c>
      <x:c r="AO39" s="19" t="str">
        <x:v>https://www.winklertuzep.hu/arlista-web/vasak</x:v>
      </x:c>
      <x:c r="AP39" s="19" t="str">
        <x:v>Piaci feldolgozási felárral levezetett</x:v>
      </x:c>
      <x:c r="AQ39" s="19" t="str">
        <x:v>Feldolgozási díj adókezelése eltérhet.</x:v>
      </x:c>
    </x:row>
    <x:row r="40">
      <x:c r="A40" s="19" t="str">
        <x:v>ANY-0039</x:v>
      </x:c>
      <x:c r="B40" s="19" t="str">
        <x:v>03 Vasbeton</x:v>
      </x:c>
      <x:c r="C40" s="19" t="str">
        <x:v>Beton, acél és zsaluzat</x:v>
      </x:c>
      <x:c r="D40" s="19" t="str">
        <x:v>Mindegyik</x:v>
      </x:c>
      <x:c r="E40" s="19" t="str">
        <x:v>Távtartó betonacélhoz</x:v>
      </x:c>
      <x:c r="F40" s="19" t="str">
        <x:v>műanyag/beton</x:v>
      </x:c>
      <x:c r="G40" s="19" t="str">
        <x:v>db</x:v>
      </x:c>
      <x:c r="H40" s="203" t="n">
        <x:v>45</x:v>
      </x:c>
      <x:c r="I40" s="204" t="n">
        <x:v>0.27</x:v>
      </x:c>
      <x:c r="J40" s="203" t="n">
        <x:f>IFERROR(H40/(1+I40),"")</x:f>
        <x:v>35.43307086614173</x:v>
      </x:c>
      <x:c r="K40" s="205" t="n">
        <x:v>0.15</x:v>
      </x:c>
      <x:c r="L40" s="203" t="n">
        <x:f>IFERROR(J40*(1-K40),"")</x:f>
        <x:v>30.118110236220474</x:v>
      </x:c>
      <x:c r="M40" s="19" t="str">
        <x:v>27% normál belföldi</x:v>
      </x:c>
      <x:c r="N40" s="204" t="n">
        <x:v>0.27</x:v>
      </x:c>
      <x:c r="O40" s="204" t="n">
        <x:v>0</x:v>
      </x:c>
      <x:c r="P40" s="19" t="str">
        <x:v>NEM</x:v>
      </x:c>
      <x:c r="Q40" s="203" t="n">
        <x:f>IFERROR(L40*(1+N40),"")</x:f>
        <x:v>38.25</x:v>
      </x:c>
      <x:c r="R40" s="205" t="n">
        <x:v>0.1</x:v>
      </x:c>
      <x:c r="S40" s="203" t="n">
        <x:f>IFERROR(Q40*(1+R40),"")</x:f>
        <x:v>42.075</x:v>
      </x:c>
      <x:c r="T40" s="206" t="n">
        <x:v>2</x:v>
      </x:c>
      <x:c r="U40" s="206" t="n">
        <x:v>0</x:v>
      </x:c>
      <x:c r="V40" s="203" t="n">
        <x:f>IFERROR(S40+T40+U40,"")</x:f>
        <x:v>44.075</x:v>
      </x:c>
      <x:c r="W40" s="203" t="n">
        <x:f>IFERROR(H40/(1+Anyag_Beallitasok!$B$2)*Anyag_Beallitasok!$B$9,"")</x:f>
        <x:v>42.857142857142854</x:v>
      </x:c>
      <x:c r="X40" s="203" t="n">
        <x:f>IFERROR(V40/((1-Anyag_Beallitasok!$B$3)*(1+Anyag_Beallitasok!$B$2)),"")</x:f>
        <x:v>64.57875457875457</x:v>
      </x:c>
      <x:c r="Y40" s="203" t="n">
        <x:f>IFERROR(V40/((1-Anyag_Beallitasok!$B$4)*(1+Anyag_Beallitasok!$B$2)),"")</x:f>
        <x:v>83.95238095238095</x:v>
      </x:c>
      <x:c r="Z40" s="203" t="n">
        <x:f>IFERROR(ROUNDUP(MAX(W40,X40)/Anyag_Beallitasok!$B$6,0)*Anyag_Beallitasok!$B$6,"")</x:f>
        <x:v>100</x:v>
      </x:c>
      <x:c r="AA40" s="204" t="n">
        <x:f>Anyag_Beallitasok!$B$2</x:f>
        <x:v>0.05</x:v>
      </x:c>
      <x:c r="AB40" s="203" t="n">
        <x:f>IFERROR(Z40*(1+AA40),"")</x:f>
        <x:v>105</x:v>
      </x:c>
      <x:c r="AC40" s="204" t="n">
        <x:f>IFERROR(1-V40/H40,"")</x:f>
        <x:v>0.020555555555555438</x:v>
      </x:c>
      <x:c r="AD40" s="204" t="n">
        <x:f>IFERROR(1-V40/AB40,"")</x:f>
        <x:v>0.5802380952380952</x:v>
      </x:c>
      <x:c r="AE40" s="19" t="str">
        <x:f>IF(AC40&lt;Anyag_Beallitasok!$B$3,"NEM ÉRI EL A 35%-OT",IF(AC40&lt;Anyag_Beallitasok!$B$4,"MINIMUM 35–49,9%",IF(AC40&lt;Anyag_Beallitasok!$B$5,"IDEÁLIS 50–59,9%","KIEMELKEDŐ ≥60%")))</x:f>
        <x:v>NEM ÉRI EL A 35%-OT</x:v>
      </x:c>
      <x:c r="AF40" s="204" t="n">
        <x:f>IFERROR(AB40/H40-1,"")</x:f>
        <x:v>1.3333333333333335</x:v>
      </x:c>
      <x:c r="AG40" s="19" t="str">
        <x:f>IF(AND(P40="IGEN",O40&gt;0),IF(AF40&gt;Anyag_Beallitasok!$B$10,"0%-OS SZÁMLA + ÖNADÓZÁS; FELÁR SZÜKSÉGES","0%-OS SZÁMLA + ÖNADÓZÁS"),IF(AF40&gt;Anyag_Beallitasok!$B$10,"FELÁR SZÜKSÉGES A 35%-HOZ",IF(AC40&lt;Anyag_Beallitasok!$B$3,"PIACI ÁRON NEM TARTHATÓ A 35%","OK")))</x:f>
        <x:v>FELÁR SZÜKSÉGES A 35%-HOZ</x:v>
      </x:c>
      <x:c r="AH40" s="207" t="n">
        <x:v>3500</x:v>
      </x:c>
      <x:c r="AI40" s="207" t="n">
        <x:v>3000</x:v>
      </x:c>
      <x:c r="AJ40" s="207" t="n">
        <x:v>4000</x:v>
      </x:c>
      <x:c r="AK40" s="208"/>
      <x:c r="AL40" s="203" t="str">
        <x:f>IF(AK40="","",V40*AK40)</x:f>
      </x:c>
      <x:c r="AM40" s="203" t="str">
        <x:f>IF(AK40="","",AB40*AK40)</x:f>
      </x:c>
      <x:c r="AN40" s="204" t="str">
        <x:f>IFERROR(1-AL40/AM40,"")</x:f>
      </x:c>
      <x:c r="AO40" s="19" t="str">
        <x:v>https://www.winklertuzep.hu/arlista-web/vasak</x:v>
      </x:c>
      <x:c r="AP40" s="19" t="str">
        <x:v>Mérnöki piaci becslés</x:v>
      </x:c>
      <x:c r="AQ40" s="19" t="str"/>
    </x:row>
    <x:row r="41">
      <x:c r="A41" s="19" t="str">
        <x:v>ANY-0040</x:v>
      </x:c>
      <x:c r="B41" s="19" t="str">
        <x:v>03 Vasbeton</x:v>
      </x:c>
      <x:c r="C41" s="19" t="str">
        <x:v>Beton, acél és zsaluzat</x:v>
      </x:c>
      <x:c r="D41" s="19" t="str">
        <x:v>Mindegyik</x:v>
      </x:c>
      <x:c r="E41" s="19" t="str">
        <x:v>Kötöződrót lágyított</x:v>
      </x:c>
      <x:c r="F41" s="19" t="str">
        <x:v>1,2–1,4 mm</x:v>
      </x:c>
      <x:c r="G41" s="19" t="str">
        <x:v>kg</x:v>
      </x:c>
      <x:c r="H41" s="203" t="n">
        <x:v>1450</x:v>
      </x:c>
      <x:c r="I41" s="204" t="n">
        <x:v>0.27</x:v>
      </x:c>
      <x:c r="J41" s="203" t="n">
        <x:f>IFERROR(H41/(1+I41),"")</x:f>
        <x:v>1141.732283464567</x:v>
      </x:c>
      <x:c r="K41" s="205" t="n">
        <x:v>0.12</x:v>
      </x:c>
      <x:c r="L41" s="203" t="n">
        <x:f>IFERROR(J41*(1-K41),"")</x:f>
        <x:v>1004.724409448819</x:v>
      </x:c>
      <x:c r="M41" s="19" t="str">
        <x:v>27% normál belföldi</x:v>
      </x:c>
      <x:c r="N41" s="204" t="n">
        <x:v>0.27</x:v>
      </x:c>
      <x:c r="O41" s="204" t="n">
        <x:v>0</x:v>
      </x:c>
      <x:c r="P41" s="19" t="str">
        <x:v>NEM</x:v>
      </x:c>
      <x:c r="Q41" s="203" t="n">
        <x:f>IFERROR(L41*(1+N41),"")</x:f>
        <x:v>1276</x:v>
      </x:c>
      <x:c r="R41" s="205" t="n">
        <x:v>0.08</x:v>
      </x:c>
      <x:c r="S41" s="203" t="n">
        <x:f>IFERROR(Q41*(1+R41),"")</x:f>
        <x:v>1378.0800000000002</x:v>
      </x:c>
      <x:c r="T41" s="206" t="n">
        <x:v>50</x:v>
      </x:c>
      <x:c r="U41" s="206" t="n">
        <x:v>0</x:v>
      </x:c>
      <x:c r="V41" s="203" t="n">
        <x:f>IFERROR(S41+T41+U41,"")</x:f>
        <x:v>1428.0800000000002</x:v>
      </x:c>
      <x:c r="W41" s="203" t="n">
        <x:f>IFERROR(H41/(1+Anyag_Beallitasok!$B$2)*Anyag_Beallitasok!$B$9,"")</x:f>
        <x:v>1380.952380952381</x:v>
      </x:c>
      <x:c r="X41" s="203" t="n">
        <x:f>IFERROR(V41/((1-Anyag_Beallitasok!$B$3)*(1+Anyag_Beallitasok!$B$2)),"")</x:f>
        <x:v>2092.424908424908</x:v>
      </x:c>
      <x:c r="Y41" s="203" t="n">
        <x:f>IFERROR(V41/((1-Anyag_Beallitasok!$B$4)*(1+Anyag_Beallitasok!$B$2)),"")</x:f>
        <x:v>2720.152380952381</x:v>
      </x:c>
      <x:c r="Z41" s="203" t="n">
        <x:f>IFERROR(ROUNDUP(MAX(W41,X41)/Anyag_Beallitasok!$B$6,0)*Anyag_Beallitasok!$B$6,"")</x:f>
        <x:v>2100</x:v>
      </x:c>
      <x:c r="AA41" s="204" t="n">
        <x:f>Anyag_Beallitasok!$B$2</x:f>
        <x:v>0.05</x:v>
      </x:c>
      <x:c r="AB41" s="203" t="n">
        <x:f>IFERROR(Z41*(1+AA41),"")</x:f>
        <x:v>2205</x:v>
      </x:c>
      <x:c r="AC41" s="204" t="n">
        <x:f>IFERROR(1-V41/H41,"")</x:f>
        <x:v>0.015117241379310253</x:v>
      </x:c>
      <x:c r="AD41" s="204" t="n">
        <x:f>IFERROR(1-V41/AB41,"")</x:f>
        <x:v>0.352344671201814</x:v>
      </x:c>
      <x:c r="AE41" s="19" t="str">
        <x:f>IF(AC41&lt;Anyag_Beallitasok!$B$3,"NEM ÉRI EL A 35%-OT",IF(AC41&lt;Anyag_Beallitasok!$B$4,"MINIMUM 35–49,9%",IF(AC41&lt;Anyag_Beallitasok!$B$5,"IDEÁLIS 50–59,9%","KIEMELKEDŐ ≥60%")))</x:f>
        <x:v>NEM ÉRI EL A 35%-OT</x:v>
      </x:c>
      <x:c r="AF41" s="204" t="n">
        <x:f>IFERROR(AB41/H41-1,"")</x:f>
        <x:v>0.5206896551724138</x:v>
      </x:c>
      <x:c r="AG41" s="19" t="str">
        <x:f>IF(AND(P41="IGEN",O41&gt;0),IF(AF41&gt;Anyag_Beallitasok!$B$10,"0%-OS SZÁMLA + ÖNADÓZÁS; FELÁR SZÜKSÉGES","0%-OS SZÁMLA + ÖNADÓZÁS"),IF(AF41&gt;Anyag_Beallitasok!$B$10,"FELÁR SZÜKSÉGES A 35%-HOZ",IF(AC41&lt;Anyag_Beallitasok!$B$3,"PIACI ÁRON NEM TARTHATÓ A 35%","OK")))</x:f>
        <x:v>FELÁR SZÜKSÉGES A 35%-HOZ</x:v>
      </x:c>
      <x:c r="AH41" s="207" t="n">
        <x:v>70</x:v>
      </x:c>
      <x:c r="AI41" s="207" t="n">
        <x:v>60</x:v>
      </x:c>
      <x:c r="AJ41" s="207" t="n">
        <x:v>80</x:v>
      </x:c>
      <x:c r="AK41" s="208"/>
      <x:c r="AL41" s="203" t="str">
        <x:f>IF(AK41="","",V41*AK41)</x:f>
      </x:c>
      <x:c r="AM41" s="203" t="str">
        <x:f>IF(AK41="","",AB41*AK41)</x:f>
      </x:c>
      <x:c r="AN41" s="204" t="str">
        <x:f>IFERROR(1-AL41/AM41,"")</x:f>
      </x:c>
      <x:c r="AO41" s="19" t="str">
        <x:v>https://www.winklertuzep.hu/arlista-web/vasak</x:v>
      </x:c>
      <x:c r="AP41" s="19" t="str">
        <x:v>Mérnöki piaci becslés</x:v>
      </x:c>
      <x:c r="AQ41" s="19" t="str"/>
    </x:row>
    <x:row r="42">
      <x:c r="A42" s="19" t="str">
        <x:v>ANY-0041</x:v>
      </x:c>
      <x:c r="B42" s="19" t="str">
        <x:v>03 Vasbeton</x:v>
      </x:c>
      <x:c r="C42" s="19" t="str">
        <x:v>Beton, acél és zsaluzat</x:v>
      </x:c>
      <x:c r="D42" s="19" t="str">
        <x:v>Mindegyik</x:v>
      </x:c>
      <x:c r="E42" s="19" t="str">
        <x:v>Zsaludeszka fenyő</x:v>
      </x:c>
      <x:c r="F42" s="19" t="str">
        <x:v>25 mm</x:v>
      </x:c>
      <x:c r="G42" s="19" t="str">
        <x:v>m³</x:v>
      </x:c>
      <x:c r="H42" s="203" t="n">
        <x:v>120000</x:v>
      </x:c>
      <x:c r="I42" s="204" t="n">
        <x:v>0.27</x:v>
      </x:c>
      <x:c r="J42" s="203" t="n">
        <x:f>IFERROR(H42/(1+I42),"")</x:f>
        <x:v>94488.18897637795</x:v>
      </x:c>
      <x:c r="K42" s="205" t="n">
        <x:v>0.1</x:v>
      </x:c>
      <x:c r="L42" s="203" t="n">
        <x:f>IFERROR(J42*(1-K42),"")</x:f>
        <x:v>85039.37007874016</x:v>
      </x:c>
      <x:c r="M42" s="19" t="str">
        <x:v>27% normál belföldi</x:v>
      </x:c>
      <x:c r="N42" s="204" t="n">
        <x:v>0.27</x:v>
      </x:c>
      <x:c r="O42" s="204" t="n">
        <x:v>0</x:v>
      </x:c>
      <x:c r="P42" s="19" t="str">
        <x:v>NEM</x:v>
      </x:c>
      <x:c r="Q42" s="203" t="n">
        <x:f>IFERROR(L42*(1+N42),"")</x:f>
        <x:v>108000</x:v>
      </x:c>
      <x:c r="R42" s="205" t="n">
        <x:v>0.18</x:v>
      </x:c>
      <x:c r="S42" s="203" t="n">
        <x:f>IFERROR(Q42*(1+R42),"")</x:f>
        <x:v>127440</x:v>
      </x:c>
      <x:c r="T42" s="206" t="n">
        <x:v>12000</x:v>
      </x:c>
      <x:c r="U42" s="206" t="n">
        <x:v>0</x:v>
      </x:c>
      <x:c r="V42" s="203" t="n">
        <x:f>IFERROR(S42+T42+U42,"")</x:f>
        <x:v>139440</x:v>
      </x:c>
      <x:c r="W42" s="203" t="n">
        <x:f>IFERROR(H42/(1+Anyag_Beallitasok!$B$2)*Anyag_Beallitasok!$B$9,"")</x:f>
        <x:v>114285.71428571428</x:v>
      </x:c>
      <x:c r="X42" s="203" t="n">
        <x:f>IFERROR(V42/((1-Anyag_Beallitasok!$B$3)*(1+Anyag_Beallitasok!$B$2)),"")</x:f>
        <x:v>204307.69230769228</x:v>
      </x:c>
      <x:c r="Y42" s="203" t="n">
        <x:f>IFERROR(V42/((1-Anyag_Beallitasok!$B$4)*(1+Anyag_Beallitasok!$B$2)),"")</x:f>
        <x:v>265600</x:v>
      </x:c>
      <x:c r="Z42" s="203" t="n">
        <x:f>IFERROR(ROUNDUP(MAX(W42,X42)/Anyag_Beallitasok!$B$6,0)*Anyag_Beallitasok!$B$6,"")</x:f>
        <x:v>204350</x:v>
      </x:c>
      <x:c r="AA42" s="204" t="n">
        <x:f>Anyag_Beallitasok!$B$2</x:f>
        <x:v>0.05</x:v>
      </x:c>
      <x:c r="AB42" s="203" t="n">
        <x:f>IFERROR(Z42*(1+AA42),"")</x:f>
        <x:v>214567.5</x:v>
      </x:c>
      <x:c r="AC42" s="204" t="n">
        <x:f>IFERROR(1-V42/H42,"")</x:f>
        <x:v>-0.16199999999999992</x:v>
      </x:c>
      <x:c r="AD42" s="204" t="n">
        <x:f>IFERROR(1-V42/AB42,"")</x:f>
        <x:v>0.350134573036457</x:v>
      </x:c>
      <x:c r="AE42" s="19" t="str">
        <x:f>IF(AC42&lt;Anyag_Beallitasok!$B$3,"NEM ÉRI EL A 35%-OT",IF(AC42&lt;Anyag_Beallitasok!$B$4,"MINIMUM 35–49,9%",IF(AC42&lt;Anyag_Beallitasok!$B$5,"IDEÁLIS 50–59,9%","KIEMELKEDŐ ≥60%")))</x:f>
        <x:v>NEM ÉRI EL A 35%-OT</x:v>
      </x:c>
      <x:c r="AF42" s="204" t="n">
        <x:f>IFERROR(AB42/H42-1,"")</x:f>
        <x:v>0.7880625000000001</x:v>
      </x:c>
      <x:c r="AG42" s="19" t="str">
        <x:f>IF(AND(P42="IGEN",O42&gt;0),IF(AF42&gt;Anyag_Beallitasok!$B$10,"0%-OS SZÁMLA + ÖNADÓZÁS; FELÁR SZÜKSÉGES","0%-OS SZÁMLA + ÖNADÓZÁS"),IF(AF42&gt;Anyag_Beallitasok!$B$10,"FELÁR SZÜKSÉGES A 35%-HOZ",IF(AC42&lt;Anyag_Beallitasok!$B$3,"PIACI ÁRON NEM TARTHATÓ A 35%","OK")))</x:f>
        <x:v>FELÁR SZÜKSÉGES A 35%-HOZ</x:v>
      </x:c>
      <x:c r="AH42" s="207" t="n">
        <x:v>5</x:v>
      </x:c>
      <x:c r="AI42" s="207" t="n">
        <x:v>4</x:v>
      </x:c>
      <x:c r="AJ42" s="207" t="n">
        <x:v>4</x:v>
      </x:c>
      <x:c r="AK42" s="208"/>
      <x:c r="AL42" s="203" t="str">
        <x:f>IF(AK42="","",V42*AK42)</x:f>
      </x:c>
      <x:c r="AM42" s="203" t="str">
        <x:f>IF(AK42="","",AB42*AK42)</x:f>
      </x:c>
      <x:c r="AN42" s="204" t="str">
        <x:f>IFERROR(1-AL42/AM42,"")</x:f>
      </x:c>
      <x:c r="AO42" s="19" t="str">
        <x:v>https://fadepofatelep.hu/arlista/</x:v>
      </x:c>
      <x:c r="AP42" s="19" t="str">
        <x:v>2026 faanyag ársáv</x:v>
      </x:c>
      <x:c r="AQ42" s="19" t="str"/>
    </x:row>
    <x:row r="43">
      <x:c r="A43" s="19" t="str">
        <x:v>ANY-0042</x:v>
      </x:c>
      <x:c r="B43" s="19" t="str">
        <x:v>03 Vasbeton</x:v>
      </x:c>
      <x:c r="C43" s="19" t="str">
        <x:v>Beton, acél és zsaluzat</x:v>
      </x:c>
      <x:c r="D43" s="19" t="str">
        <x:v>Mindegyik</x:v>
      </x:c>
      <x:c r="E43" s="19" t="str">
        <x:v>Rétegelt lemez zsaluhéj 21 mm</x:v>
      </x:c>
      <x:c r="F43" s="19" t="str">
        <x:v>filmbevonatos</x:v>
      </x:c>
      <x:c r="G43" s="19" t="str">
        <x:v>m²</x:v>
      </x:c>
      <x:c r="H43" s="203" t="n">
        <x:v>11500</x:v>
      </x:c>
      <x:c r="I43" s="204" t="n">
        <x:v>0.27</x:v>
      </x:c>
      <x:c r="J43" s="203" t="n">
        <x:f>IFERROR(H43/(1+I43),"")</x:f>
        <x:v>9055.11811023622</x:v>
      </x:c>
      <x:c r="K43" s="205" t="n">
        <x:v>0.15</x:v>
      </x:c>
      <x:c r="L43" s="203" t="n">
        <x:f>IFERROR(J43*(1-K43),"")</x:f>
        <x:v>7696.850393700787</x:v>
      </x:c>
      <x:c r="M43" s="19" t="str">
        <x:v>27% normál belföldi</x:v>
      </x:c>
      <x:c r="N43" s="204" t="n">
        <x:v>0.27</x:v>
      </x:c>
      <x:c r="O43" s="204" t="n">
        <x:v>0</x:v>
      </x:c>
      <x:c r="P43" s="19" t="str">
        <x:v>NEM</x:v>
      </x:c>
      <x:c r="Q43" s="203" t="n">
        <x:f>IFERROR(L43*(1+N43),"")</x:f>
        <x:v>9775</x:v>
      </x:c>
      <x:c r="R43" s="205" t="n">
        <x:v>0.12</x:v>
      </x:c>
      <x:c r="S43" s="203" t="n">
        <x:f>IFERROR(Q43*(1+R43),"")</x:f>
        <x:v>10948.000000000002</x:v>
      </x:c>
      <x:c r="T43" s="206" t="n">
        <x:v>450</x:v>
      </x:c>
      <x:c r="U43" s="206" t="n">
        <x:v>0</x:v>
      </x:c>
      <x:c r="V43" s="203" t="n">
        <x:f>IFERROR(S43+T43+U43,"")</x:f>
        <x:v>11398.000000000002</x:v>
      </x:c>
      <x:c r="W43" s="203" t="n">
        <x:f>IFERROR(H43/(1+Anyag_Beallitasok!$B$2)*Anyag_Beallitasok!$B$9,"")</x:f>
        <x:v>10952.380952380952</x:v>
      </x:c>
      <x:c r="X43" s="203" t="n">
        <x:f>IFERROR(V43/((1-Anyag_Beallitasok!$B$3)*(1+Anyag_Beallitasok!$B$2)),"")</x:f>
        <x:v>16700.3663003663</x:v>
      </x:c>
      <x:c r="Y43" s="203" t="n">
        <x:f>IFERROR(V43/((1-Anyag_Beallitasok!$B$4)*(1+Anyag_Beallitasok!$B$2)),"")</x:f>
        <x:v>21710.476190476194</x:v>
      </x:c>
      <x:c r="Z43" s="203" t="n">
        <x:f>IFERROR(ROUNDUP(MAX(W43,X43)/Anyag_Beallitasok!$B$6,0)*Anyag_Beallitasok!$B$6,"")</x:f>
        <x:v>16750</x:v>
      </x:c>
      <x:c r="AA43" s="204" t="n">
        <x:f>Anyag_Beallitasok!$B$2</x:f>
        <x:v>0.05</x:v>
      </x:c>
      <x:c r="AB43" s="203" t="n">
        <x:f>IFERROR(Z43*(1+AA43),"")</x:f>
        <x:v>17587.5</x:v>
      </x:c>
      <x:c r="AC43" s="204" t="n">
        <x:f>IFERROR(1-V43/H43,"")</x:f>
        <x:v>0.008869565217391129</x:v>
      </x:c>
      <x:c r="AD43" s="204" t="n">
        <x:f>IFERROR(1-V43/AB43,"")</x:f>
        <x:v>0.35192608386638224</x:v>
      </x:c>
      <x:c r="AE43" s="19" t="str">
        <x:f>IF(AC43&lt;Anyag_Beallitasok!$B$3,"NEM ÉRI EL A 35%-OT",IF(AC43&lt;Anyag_Beallitasok!$B$4,"MINIMUM 35–49,9%",IF(AC43&lt;Anyag_Beallitasok!$B$5,"IDEÁLIS 50–59,9%","KIEMELKEDŐ ≥60%")))</x:f>
        <x:v>NEM ÉRI EL A 35%-OT</x:v>
      </x:c>
      <x:c r="AF43" s="204" t="n">
        <x:f>IFERROR(AB43/H43-1,"")</x:f>
        <x:v>0.5293478260869566</x:v>
      </x:c>
      <x:c r="AG43" s="19" t="str">
        <x:f>IF(AND(P43="IGEN",O43&gt;0),IF(AF43&gt;Anyag_Beallitasok!$B$10,"0%-OS SZÁMLA + ÖNADÓZÁS; FELÁR SZÜKSÉGES","0%-OS SZÁMLA + ÖNADÓZÁS"),IF(AF43&gt;Anyag_Beallitasok!$B$10,"FELÁR SZÜKSÉGES A 35%-HOZ",IF(AC43&lt;Anyag_Beallitasok!$B$3,"PIACI ÁRON NEM TARTHATÓ A 35%","OK")))</x:f>
        <x:v>FELÁR SZÜKSÉGES A 35%-HOZ</x:v>
      </x:c>
      <x:c r="AH43" s="207" t="n">
        <x:v>80</x:v>
      </x:c>
      <x:c r="AI43" s="207" t="n">
        <x:v>60</x:v>
      </x:c>
      <x:c r="AJ43" s="207" t="n">
        <x:v>80</x:v>
      </x:c>
      <x:c r="AK43" s="208"/>
      <x:c r="AL43" s="203" t="str">
        <x:f>IF(AK43="","",V43*AK43)</x:f>
      </x:c>
      <x:c r="AM43" s="203" t="str">
        <x:f>IF(AK43="","",AB43*AK43)</x:f>
      </x:c>
      <x:c r="AN43" s="204" t="str">
        <x:f>IFERROR(1-AL43/AM43,"")</x:f>
      </x:c>
      <x:c r="AO43" s="19" t="str">
        <x:v>https://fadepofatelep.hu/arlista/</x:v>
      </x:c>
      <x:c r="AP43" s="19" t="str">
        <x:v>Mérnöki piaci becslés</x:v>
      </x:c>
      <x:c r="AQ43" s="19" t="str"/>
    </x:row>
    <x:row r="44">
      <x:c r="A44" s="19" t="str">
        <x:v>ANY-0043</x:v>
      </x:c>
      <x:c r="B44" s="19" t="str">
        <x:v>03 Vasbeton</x:v>
      </x:c>
      <x:c r="C44" s="19" t="str">
        <x:v>Beton, acél és zsaluzat</x:v>
      </x:c>
      <x:c r="D44" s="19" t="str">
        <x:v>Mindegyik</x:v>
      </x:c>
      <x:c r="E44" s="19" t="str">
        <x:v>Zsaluolaj</x:v>
      </x:c>
      <x:c r="F44" s="19" t="str">
        <x:v>20 l kanna</x:v>
      </x:c>
      <x:c r="G44" s="19" t="str">
        <x:v>liter</x:v>
      </x:c>
      <x:c r="H44" s="203" t="n">
        <x:v>1100</x:v>
      </x:c>
      <x:c r="I44" s="204" t="n">
        <x:v>0.27</x:v>
      </x:c>
      <x:c r="J44" s="203" t="n">
        <x:f>IFERROR(H44/(1+I44),"")</x:f>
        <x:v>866.1417322834645</x:v>
      </x:c>
      <x:c r="K44" s="205" t="n">
        <x:v>0.15</x:v>
      </x:c>
      <x:c r="L44" s="203" t="n">
        <x:f>IFERROR(J44*(1-K44),"")</x:f>
        <x:v>736.2204724409448</x:v>
      </x:c>
      <x:c r="M44" s="19" t="str">
        <x:v>27% normál belföldi</x:v>
      </x:c>
      <x:c r="N44" s="204" t="n">
        <x:v>0.27</x:v>
      </x:c>
      <x:c r="O44" s="204" t="n">
        <x:v>0</x:v>
      </x:c>
      <x:c r="P44" s="19" t="str">
        <x:v>NEM</x:v>
      </x:c>
      <x:c r="Q44" s="203" t="n">
        <x:f>IFERROR(L44*(1+N44),"")</x:f>
        <x:v>935</x:v>
      </x:c>
      <x:c r="R44" s="205" t="n">
        <x:v>0.08</x:v>
      </x:c>
      <x:c r="S44" s="203" t="n">
        <x:f>IFERROR(Q44*(1+R44),"")</x:f>
        <x:v>1009.8000000000001</x:v>
      </x:c>
      <x:c r="T44" s="206" t="n">
        <x:v>40</x:v>
      </x:c>
      <x:c r="U44" s="206" t="n">
        <x:v>0</x:v>
      </x:c>
      <x:c r="V44" s="203" t="n">
        <x:f>IFERROR(S44+T44+U44,"")</x:f>
        <x:v>1049.8000000000002</x:v>
      </x:c>
      <x:c r="W44" s="203" t="n">
        <x:f>IFERROR(H44/(1+Anyag_Beallitasok!$B$2)*Anyag_Beallitasok!$B$9,"")</x:f>
        <x:v>1047.6190476190475</x:v>
      </x:c>
      <x:c r="X44" s="203" t="n">
        <x:f>IFERROR(V44/((1-Anyag_Beallitasok!$B$3)*(1+Anyag_Beallitasok!$B$2)),"")</x:f>
        <x:v>1538.1684981684982</x:v>
      </x:c>
      <x:c r="Y44" s="203" t="n">
        <x:f>IFERROR(V44/((1-Anyag_Beallitasok!$B$4)*(1+Anyag_Beallitasok!$B$2)),"")</x:f>
        <x:v>1999.619047619048</x:v>
      </x:c>
      <x:c r="Z44" s="203" t="n">
        <x:f>IFERROR(ROUNDUP(MAX(W44,X44)/Anyag_Beallitasok!$B$6,0)*Anyag_Beallitasok!$B$6,"")</x:f>
        <x:v>1550</x:v>
      </x:c>
      <x:c r="AA44" s="204" t="n">
        <x:f>Anyag_Beallitasok!$B$2</x:f>
        <x:v>0.05</x:v>
      </x:c>
      <x:c r="AB44" s="203" t="n">
        <x:f>IFERROR(Z44*(1+AA44),"")</x:f>
        <x:v>1627.5</x:v>
      </x:c>
      <x:c r="AC44" s="204" t="n">
        <x:f>IFERROR(1-V44/H44,"")</x:f>
        <x:v>0.045636363636363475</x:v>
      </x:c>
      <x:c r="AD44" s="204" t="n">
        <x:f>IFERROR(1-V44/AB44,"")</x:f>
        <x:v>0.35496159754224255</x:v>
      </x:c>
      <x:c r="AE44" s="19" t="str">
        <x:f>IF(AC44&lt;Anyag_Beallitasok!$B$3,"NEM ÉRI EL A 35%-OT",IF(AC44&lt;Anyag_Beallitasok!$B$4,"MINIMUM 35–49,9%",IF(AC44&lt;Anyag_Beallitasok!$B$5,"IDEÁLIS 50–59,9%","KIEMELKEDŐ ≥60%")))</x:f>
        <x:v>NEM ÉRI EL A 35%-OT</x:v>
      </x:c>
      <x:c r="AF44" s="204" t="n">
        <x:f>IFERROR(AB44/H44-1,"")</x:f>
        <x:v>0.4795454545454545</x:v>
      </x:c>
      <x:c r="AG44" s="19" t="str">
        <x:f>IF(AND(P44="IGEN",O44&gt;0),IF(AF44&gt;Anyag_Beallitasok!$B$10,"0%-OS SZÁMLA + ÖNADÓZÁS; FELÁR SZÜKSÉGES","0%-OS SZÁMLA + ÖNADÓZÁS"),IF(AF44&gt;Anyag_Beallitasok!$B$10,"FELÁR SZÜKSÉGES A 35%-HOZ",IF(AC44&lt;Anyag_Beallitasok!$B$3,"PIACI ÁRON NEM TARTHATÓ A 35%","OK")))</x:f>
        <x:v>FELÁR SZÜKSÉGES A 35%-HOZ</x:v>
      </x:c>
      <x:c r="AH44" s="207" t="n">
        <x:v>60</x:v>
      </x:c>
      <x:c r="AI44" s="207" t="n">
        <x:v>40</x:v>
      </x:c>
      <x:c r="AJ44" s="207" t="n">
        <x:v>60</x:v>
      </x:c>
      <x:c r="AK44" s="208"/>
      <x:c r="AL44" s="203" t="str">
        <x:f>IF(AK44="","",V44*AK44)</x:f>
      </x:c>
      <x:c r="AM44" s="203" t="str">
        <x:f>IF(AK44="","",AB44*AK44)</x:f>
      </x:c>
      <x:c r="AN44" s="204" t="str">
        <x:f>IFERROR(1-AL44/AM44,"")</x:f>
      </x:c>
      <x:c r="AO44" s="19" t="str">
        <x:v>https://www.winklertuzep.hu/arlista-web/porterm%C3%A9kek</x:v>
      </x:c>
      <x:c r="AP44" s="19" t="str">
        <x:v>Mérnöki piaci becslés</x:v>
      </x:c>
      <x:c r="AQ44" s="19" t="str"/>
    </x:row>
    <x:row r="45">
      <x:c r="A45" s="19" t="str">
        <x:v>ANY-0044</x:v>
      </x:c>
      <x:c r="B45" s="19" t="str">
        <x:v>03 Vasbeton</x:v>
      </x:c>
      <x:c r="C45" s="19" t="str">
        <x:v>Beton, acél és zsaluzat</x:v>
      </x:c>
      <x:c r="D45" s="19" t="str">
        <x:v>Mindegyik</x:v>
      </x:c>
      <x:c r="E45" s="19" t="str">
        <x:v>Dilatációs habszalag 10 mm</x:v>
      </x:c>
      <x:c r="F45" s="19" t="str">
        <x:v>tekercses</x:v>
      </x:c>
      <x:c r="G45" s="19" t="str">
        <x:v>fm</x:v>
      </x:c>
      <x:c r="H45" s="203" t="n">
        <x:v>180</x:v>
      </x:c>
      <x:c r="I45" s="204" t="n">
        <x:v>0.27</x:v>
      </x:c>
      <x:c r="J45" s="203" t="n">
        <x:f>IFERROR(H45/(1+I45),"")</x:f>
        <x:v>141.73228346456693</x:v>
      </x:c>
      <x:c r="K45" s="205" t="n">
        <x:v>0.15</x:v>
      </x:c>
      <x:c r="L45" s="203" t="n">
        <x:f>IFERROR(J45*(1-K45),"")</x:f>
        <x:v>120.4724409448819</x:v>
      </x:c>
      <x:c r="M45" s="19" t="str">
        <x:v>27% normál belföldi</x:v>
      </x:c>
      <x:c r="N45" s="204" t="n">
        <x:v>0.27</x:v>
      </x:c>
      <x:c r="O45" s="204" t="n">
        <x:v>0</x:v>
      </x:c>
      <x:c r="P45" s="19" t="str">
        <x:v>NEM</x:v>
      </x:c>
      <x:c r="Q45" s="203" t="n">
        <x:f>IFERROR(L45*(1+N45),"")</x:f>
        <x:v>153</x:v>
      </x:c>
      <x:c r="R45" s="205" t="n">
        <x:v>0.1</x:v>
      </x:c>
      <x:c r="S45" s="203" t="n">
        <x:f>IFERROR(Q45*(1+R45),"")</x:f>
        <x:v>168.3</x:v>
      </x:c>
      <x:c r="T45" s="206" t="n">
        <x:v>10</x:v>
      </x:c>
      <x:c r="U45" s="206" t="n">
        <x:v>0</x:v>
      </x:c>
      <x:c r="V45" s="203" t="n">
        <x:f>IFERROR(S45+T45+U45,"")</x:f>
        <x:v>178.3</x:v>
      </x:c>
      <x:c r="W45" s="203" t="n">
        <x:f>IFERROR(H45/(1+Anyag_Beallitasok!$B$2)*Anyag_Beallitasok!$B$9,"")</x:f>
        <x:v>171.42857142857142</x:v>
      </x:c>
      <x:c r="X45" s="203" t="n">
        <x:f>IFERROR(V45/((1-Anyag_Beallitasok!$B$3)*(1+Anyag_Beallitasok!$B$2)),"")</x:f>
        <x:v>261.2454212454212</x:v>
      </x:c>
      <x:c r="Y45" s="203" t="n">
        <x:f>IFERROR(V45/((1-Anyag_Beallitasok!$B$4)*(1+Anyag_Beallitasok!$B$2)),"")</x:f>
        <x:v>339.61904761904765</x:v>
      </x:c>
      <x:c r="Z45" s="203" t="n">
        <x:f>IFERROR(ROUNDUP(MAX(W45,X45)/Anyag_Beallitasok!$B$6,0)*Anyag_Beallitasok!$B$6,"")</x:f>
        <x:v>300</x:v>
      </x:c>
      <x:c r="AA45" s="204" t="n">
        <x:f>Anyag_Beallitasok!$B$2</x:f>
        <x:v>0.05</x:v>
      </x:c>
      <x:c r="AB45" s="203" t="n">
        <x:f>IFERROR(Z45*(1+AA45),"")</x:f>
        <x:v>315</x:v>
      </x:c>
      <x:c r="AC45" s="204" t="n">
        <x:f>IFERROR(1-V45/H45,"")</x:f>
        <x:v>0.009444444444444366</x:v>
      </x:c>
      <x:c r="AD45" s="204" t="n">
        <x:f>IFERROR(1-V45/AB45,"")</x:f>
        <x:v>0.4339682539682539</x:v>
      </x:c>
      <x:c r="AE45" s="19" t="str">
        <x:f>IF(AC45&lt;Anyag_Beallitasok!$B$3,"NEM ÉRI EL A 35%-OT",IF(AC45&lt;Anyag_Beallitasok!$B$4,"MINIMUM 35–49,9%",IF(AC45&lt;Anyag_Beallitasok!$B$5,"IDEÁLIS 50–59,9%","KIEMELKEDŐ ≥60%")))</x:f>
        <x:v>NEM ÉRI EL A 35%-OT</x:v>
      </x:c>
      <x:c r="AF45" s="204" t="n">
        <x:f>IFERROR(AB45/H45-1,"")</x:f>
        <x:v>0.75</x:v>
      </x:c>
      <x:c r="AG45" s="19" t="str">
        <x:f>IF(AND(P45="IGEN",O45&gt;0),IF(AF45&gt;Anyag_Beallitasok!$B$10,"0%-OS SZÁMLA + ÖNADÓZÁS; FELÁR SZÜKSÉGES","0%-OS SZÁMLA + ÖNADÓZÁS"),IF(AF45&gt;Anyag_Beallitasok!$B$10,"FELÁR SZÜKSÉGES A 35%-HOZ",IF(AC45&lt;Anyag_Beallitasok!$B$3,"PIACI ÁRON NEM TARTHATÓ A 35%","OK")))</x:f>
        <x:v>FELÁR SZÜKSÉGES A 35%-HOZ</x:v>
      </x:c>
      <x:c r="AH45" s="207" t="n">
        <x:v>160</x:v>
      </x:c>
      <x:c r="AI45" s="207" t="n">
        <x:v>160</x:v>
      </x:c>
      <x:c r="AJ45" s="207" t="n">
        <x:v>160</x:v>
      </x:c>
      <x:c r="AK45" s="208"/>
      <x:c r="AL45" s="203" t="str">
        <x:f>IF(AK45="","",V45*AK45)</x:f>
      </x:c>
      <x:c r="AM45" s="203" t="str">
        <x:f>IF(AK45="","",AB45*AK45)</x:f>
      </x:c>
      <x:c r="AN45" s="204" t="str">
        <x:f>IFERROR(1-AL45/AM45,"")</x:f>
      </x:c>
      <x:c r="AO45" s="19" t="str">
        <x:v>https://www.hoszigetelesplaza.hu/eps-80-homlokzati-hoszigetelo-lemez-15-cm-vastag</x:v>
      </x:c>
      <x:c r="AP45" s="19" t="str">
        <x:v>Mérnöki piaci becslés</x:v>
      </x:c>
      <x:c r="AQ45" s="19" t="str"/>
    </x:row>
    <x:row r="46">
      <x:c r="A46" s="19" t="str">
        <x:v>ANY-0045</x:v>
      </x:c>
      <x:c r="B46" s="19" t="str">
        <x:v>03 Vasbeton</x:v>
      </x:c>
      <x:c r="C46" s="19" t="str">
        <x:v>Beton, acél és zsaluzat</x:v>
      </x:c>
      <x:c r="D46" s="19" t="str">
        <x:v>Mindegyik</x:v>
      </x:c>
      <x:c r="E46" s="19" t="str">
        <x:v>PE technológiai fólia 0,2 mm</x:v>
      </x:c>
      <x:c r="F46" s="19" t="str">
        <x:v>talajon fekvő lemezhez</x:v>
      </x:c>
      <x:c r="G46" s="19" t="str">
        <x:v>m²</x:v>
      </x:c>
      <x:c r="H46" s="203" t="n">
        <x:v>260</x:v>
      </x:c>
      <x:c r="I46" s="204" t="n">
        <x:v>0.27</x:v>
      </x:c>
      <x:c r="J46" s="203" t="n">
        <x:f>IFERROR(H46/(1+I46),"")</x:f>
        <x:v>204.7244094488189</x:v>
      </x:c>
      <x:c r="K46" s="205" t="n">
        <x:v>0.15</x:v>
      </x:c>
      <x:c r="L46" s="203" t="n">
        <x:f>IFERROR(J46*(1-K46),"")</x:f>
        <x:v>174.01574803149606</x:v>
      </x:c>
      <x:c r="M46" s="19" t="str">
        <x:v>27% normál belföldi</x:v>
      </x:c>
      <x:c r="N46" s="204" t="n">
        <x:v>0.27</x:v>
      </x:c>
      <x:c r="O46" s="204" t="n">
        <x:v>0</x:v>
      </x:c>
      <x:c r="P46" s="19" t="str">
        <x:v>NEM</x:v>
      </x:c>
      <x:c r="Q46" s="203" t="n">
        <x:f>IFERROR(L46*(1+N46),"")</x:f>
        <x:v>221</x:v>
      </x:c>
      <x:c r="R46" s="205" t="n">
        <x:v>0.12</x:v>
      </x:c>
      <x:c r="S46" s="203" t="n">
        <x:f>IFERROR(Q46*(1+R46),"")</x:f>
        <x:v>247.52</x:v>
      </x:c>
      <x:c r="T46" s="206" t="n">
        <x:v>15</x:v>
      </x:c>
      <x:c r="U46" s="206" t="n">
        <x:v>0</x:v>
      </x:c>
      <x:c r="V46" s="203" t="n">
        <x:f>IFERROR(S46+T46+U46,"")</x:f>
        <x:v>262.52</x:v>
      </x:c>
      <x:c r="W46" s="203" t="n">
        <x:f>IFERROR(H46/(1+Anyag_Beallitasok!$B$2)*Anyag_Beallitasok!$B$9,"")</x:f>
        <x:v>247.61904761904762</x:v>
      </x:c>
      <x:c r="X46" s="203" t="n">
        <x:f>IFERROR(V46/((1-Anyag_Beallitasok!$B$3)*(1+Anyag_Beallitasok!$B$2)),"")</x:f>
        <x:v>384.6446886446886</x:v>
      </x:c>
      <x:c r="Y46" s="203" t="n">
        <x:f>IFERROR(V46/((1-Anyag_Beallitasok!$B$4)*(1+Anyag_Beallitasok!$B$2)),"")</x:f>
        <x:v>500.0380952380952</x:v>
      </x:c>
      <x:c r="Z46" s="203" t="n">
        <x:f>IFERROR(ROUNDUP(MAX(W46,X46)/Anyag_Beallitasok!$B$6,0)*Anyag_Beallitasok!$B$6,"")</x:f>
        <x:v>400</x:v>
      </x:c>
      <x:c r="AA46" s="204" t="n">
        <x:f>Anyag_Beallitasok!$B$2</x:f>
        <x:v>0.05</x:v>
      </x:c>
      <x:c r="AB46" s="203" t="n">
        <x:f>IFERROR(Z46*(1+AA46),"")</x:f>
        <x:v>420</x:v>
      </x:c>
      <x:c r="AC46" s="204" t="n">
        <x:f>IFERROR(1-V46/H46,"")</x:f>
        <x:v>-0.009692307692307667</x:v>
      </x:c>
      <x:c r="AD46" s="204" t="n">
        <x:f>IFERROR(1-V46/AB46,"")</x:f>
        <x:v>0.37495238095238104</x:v>
      </x:c>
      <x:c r="AE46" s="19" t="str">
        <x:f>IF(AC46&lt;Anyag_Beallitasok!$B$3,"NEM ÉRI EL A 35%-OT",IF(AC46&lt;Anyag_Beallitasok!$B$4,"MINIMUM 35–49,9%",IF(AC46&lt;Anyag_Beallitasok!$B$5,"IDEÁLIS 50–59,9%","KIEMELKEDŐ ≥60%")))</x:f>
        <x:v>NEM ÉRI EL A 35%-OT</x:v>
      </x:c>
      <x:c r="AF46" s="204" t="n">
        <x:f>IFERROR(AB46/H46-1,"")</x:f>
        <x:v>0.6153846153846154</x:v>
      </x:c>
      <x:c r="AG46" s="19" t="str">
        <x:f>IF(AND(P46="IGEN",O46&gt;0),IF(AF46&gt;Anyag_Beallitasok!$B$10,"0%-OS SZÁMLA + ÖNADÓZÁS; FELÁR SZÜKSÉGES","0%-OS SZÁMLA + ÖNADÓZÁS"),IF(AF46&gt;Anyag_Beallitasok!$B$10,"FELÁR SZÜKSÉGES A 35%-HOZ",IF(AC46&lt;Anyag_Beallitasok!$B$3,"PIACI ÁRON NEM TARTHATÓ A 35%","OK")))</x:f>
        <x:v>FELÁR SZÜKSÉGES A 35%-HOZ</x:v>
      </x:c>
      <x:c r="AH46" s="207" t="n">
        <x:v>180</x:v>
      </x:c>
      <x:c r="AI46" s="207" t="n">
        <x:v>180</x:v>
      </x:c>
      <x:c r="AJ46" s="207" t="n">
        <x:v>180</x:v>
      </x:c>
      <x:c r="AK46" s="208"/>
      <x:c r="AL46" s="203" t="str">
        <x:f>IF(AK46="","",V46*AK46)</x:f>
      </x:c>
      <x:c r="AM46" s="203" t="str">
        <x:f>IF(AK46="","",AB46*AK46)</x:f>
      </x:c>
      <x:c r="AN46" s="204" t="str">
        <x:f>IFERROR(1-AL46/AM46,"")</x:f>
      </x:c>
      <x:c r="AO46" s="19" t="str">
        <x:v>https://www.hoszigetelesplaza.hu/eps-80-homlokzati-hoszigetelo-lemez-15-cm-vastag</x:v>
      </x:c>
      <x:c r="AP46" s="19" t="str">
        <x:v>Mérnöki piaci becslés</x:v>
      </x:c>
      <x:c r="AQ46" s="19" t="str"/>
    </x:row>
    <x:row r="47">
      <x:c r="A47" s="19" t="str">
        <x:v>ANY-0046</x:v>
      </x:c>
      <x:c r="B47" s="19" t="str">
        <x:v>04 Falazás</x:v>
      </x:c>
      <x:c r="C47" s="19" t="str">
        <x:v>Falazóanyagok és kiegészítők</x:v>
      </x:c>
      <x:c r="D47" s="19" t="str">
        <x:v>Tégla / pórusbeton</x:v>
      </x:c>
      <x:c r="E47" s="19" t="str">
        <x:v>Leiertherm 30 N+F tégla</x:v>
      </x:c>
      <x:c r="F47" s="19" t="str">
        <x:v>12 db/m²</x:v>
      </x:c>
      <x:c r="G47" s="19" t="str">
        <x:v>db</x:v>
      </x:c>
      <x:c r="H47" s="203" t="n">
        <x:v>860</x:v>
      </x:c>
      <x:c r="I47" s="204" t="n">
        <x:v>0.27</x:v>
      </x:c>
      <x:c r="J47" s="203" t="n">
        <x:f>IFERROR(H47/(1+I47),"")</x:f>
        <x:v>677.1653543307086</x:v>
      </x:c>
      <x:c r="K47" s="205" t="n">
        <x:v>0.12</x:v>
      </x:c>
      <x:c r="L47" s="203" t="n">
        <x:f>IFERROR(J47*(1-K47),"")</x:f>
        <x:v>595.9055118110236</x:v>
      </x:c>
      <x:c r="M47" s="19" t="str">
        <x:v>27% normál belföldi</x:v>
      </x:c>
      <x:c r="N47" s="204" t="n">
        <x:v>0.27</x:v>
      </x:c>
      <x:c r="O47" s="204" t="n">
        <x:v>0</x:v>
      </x:c>
      <x:c r="P47" s="19" t="str">
        <x:v>NEM</x:v>
      </x:c>
      <x:c r="Q47" s="203" t="n">
        <x:f>IFERROR(L47*(1+N47),"")</x:f>
        <x:v>756.8000000000001</x:v>
      </x:c>
      <x:c r="R47" s="205" t="n">
        <x:v>0.05</x:v>
      </x:c>
      <x:c r="S47" s="203" t="n">
        <x:f>IFERROR(Q47*(1+R47),"")</x:f>
        <x:v>794.6400000000001</x:v>
      </x:c>
      <x:c r="T47" s="206" t="n">
        <x:v>45</x:v>
      </x:c>
      <x:c r="U47" s="206" t="n">
        <x:v>0</x:v>
      </x:c>
      <x:c r="V47" s="203" t="n">
        <x:f>IFERROR(S47+T47+U47,"")</x:f>
        <x:v>839.6400000000001</x:v>
      </x:c>
      <x:c r="W47" s="203" t="n">
        <x:f>IFERROR(H47/(1+Anyag_Beallitasok!$B$2)*Anyag_Beallitasok!$B$9,"")</x:f>
        <x:v>819.047619047619</x:v>
      </x:c>
      <x:c r="X47" s="203" t="n">
        <x:f>IFERROR(V47/((1-Anyag_Beallitasok!$B$3)*(1+Anyag_Beallitasok!$B$2)),"")</x:f>
        <x:v>1230.2417582417581</x:v>
      </x:c>
      <x:c r="Y47" s="203" t="n">
        <x:f>IFERROR(V47/((1-Anyag_Beallitasok!$B$4)*(1+Anyag_Beallitasok!$B$2)),"")</x:f>
        <x:v>1599.314285714286</x:v>
      </x:c>
      <x:c r="Z47" s="203" t="n">
        <x:f>IFERROR(ROUNDUP(MAX(W47,X47)/Anyag_Beallitasok!$B$6,0)*Anyag_Beallitasok!$B$6,"")</x:f>
        <x:v>1250</x:v>
      </x:c>
      <x:c r="AA47" s="204" t="n">
        <x:f>Anyag_Beallitasok!$B$2</x:f>
        <x:v>0.05</x:v>
      </x:c>
      <x:c r="AB47" s="203" t="n">
        <x:f>IFERROR(Z47*(1+AA47),"")</x:f>
        <x:v>1312.5</x:v>
      </x:c>
      <x:c r="AC47" s="204" t="n">
        <x:f>IFERROR(1-V47/H47,"")</x:f>
        <x:v>0.023674418604651026</x:v>
      </x:c>
      <x:c r="AD47" s="204" t="n">
        <x:f>IFERROR(1-V47/AB47,"")</x:f>
        <x:v>0.36027428571428566</x:v>
      </x:c>
      <x:c r="AE47" s="19" t="str">
        <x:f>IF(AC47&lt;Anyag_Beallitasok!$B$3,"NEM ÉRI EL A 35%-OT",IF(AC47&lt;Anyag_Beallitasok!$B$4,"MINIMUM 35–49,9%",IF(AC47&lt;Anyag_Beallitasok!$B$5,"IDEÁLIS 50–59,9%","KIEMELKEDŐ ≥60%")))</x:f>
        <x:v>NEM ÉRI EL A 35%-OT</x:v>
      </x:c>
      <x:c r="AF47" s="204" t="n">
        <x:f>IFERROR(AB47/H47-1,"")</x:f>
        <x:v>0.5261627906976745</x:v>
      </x:c>
      <x:c r="AG47" s="19" t="str">
        <x:f>IF(AND(P47="IGEN",O47&gt;0),IF(AF47&gt;Anyag_Beallitasok!$B$10,"0%-OS SZÁMLA + ÖNADÓZÁS; FELÁR SZÜKSÉGES","0%-OS SZÁMLA + ÖNADÓZÁS"),IF(AF47&gt;Anyag_Beallitasok!$B$10,"FELÁR SZÜKSÉGES A 35%-HOZ",IF(AC47&lt;Anyag_Beallitasok!$B$3,"PIACI ÁRON NEM TARTHATÓ A 35%","OK")))</x:f>
        <x:v>FELÁR SZÜKSÉGES A 35%-HOZ</x:v>
      </x:c>
      <x:c r="AH47" s="207" t="n">
        <x:v>1650</x:v>
      </x:c>
      <x:c r="AI47" s="207" t="n">
        <x:v>0</x:v>
      </x:c>
      <x:c r="AJ47" s="207" t="n">
        <x:v>0</x:v>
      </x:c>
      <x:c r="AK47" s="208"/>
      <x:c r="AL47" s="203" t="str">
        <x:f>IF(AK47="","",V47*AK47)</x:f>
      </x:c>
      <x:c r="AM47" s="203" t="str">
        <x:f>IF(AK47="","",AB47*AK47)</x:f>
      </x:c>
      <x:c r="AN47" s="204" t="str">
        <x:f>IFERROR(1-AL47/AM47,"")</x:f>
      </x:c>
      <x:c r="AO47" s="19" t="str">
        <x:v>https://www.leier.hu/uploads/files/Arlista-magasepites-2026-6981a1daebe63.pdf</x:v>
      </x:c>
      <x:c r="AP47" s="19" t="str">
        <x:v>Közvetlen 2026 gyártói árlista</x:v>
      </x:c>
      <x:c r="AQ47" s="19" t="str"/>
    </x:row>
    <x:row r="48">
      <x:c r="A48" s="19" t="str">
        <x:v>ANY-0047</x:v>
      </x:c>
      <x:c r="B48" s="19" t="str">
        <x:v>04 Falazás</x:v>
      </x:c>
      <x:c r="C48" s="19" t="str">
        <x:v>Falazóanyagok és kiegészítők</x:v>
      </x:c>
      <x:c r="D48" s="19" t="str">
        <x:v>Tégla / pórusbeton</x:v>
      </x:c>
      <x:c r="E48" s="19" t="str">
        <x:v>Leiertherm 38 N+F tégla</x:v>
      </x:c>
      <x:c r="F48" s="19" t="str">
        <x:v>16 db/m²</x:v>
      </x:c>
      <x:c r="G48" s="19" t="str">
        <x:v>db</x:v>
      </x:c>
      <x:c r="H48" s="203" t="n">
        <x:v>1170</x:v>
      </x:c>
      <x:c r="I48" s="204" t="n">
        <x:v>0.27</x:v>
      </x:c>
      <x:c r="J48" s="203" t="n">
        <x:f>IFERROR(H48/(1+I48),"")</x:f>
        <x:v>921.259842519685</x:v>
      </x:c>
      <x:c r="K48" s="205" t="n">
        <x:v>0.12</x:v>
      </x:c>
      <x:c r="L48" s="203" t="n">
        <x:f>IFERROR(J48*(1-K48),"")</x:f>
        <x:v>810.7086614173228</x:v>
      </x:c>
      <x:c r="M48" s="19" t="str">
        <x:v>27% normál belföldi</x:v>
      </x:c>
      <x:c r="N48" s="204" t="n">
        <x:v>0.27</x:v>
      </x:c>
      <x:c r="O48" s="204" t="n">
        <x:v>0</x:v>
      </x:c>
      <x:c r="P48" s="19" t="str">
        <x:v>NEM</x:v>
      </x:c>
      <x:c r="Q48" s="203" t="n">
        <x:f>IFERROR(L48*(1+N48),"")</x:f>
        <x:v>1029.6</x:v>
      </x:c>
      <x:c r="R48" s="205" t="n">
        <x:v>0.05</x:v>
      </x:c>
      <x:c r="S48" s="203" t="n">
        <x:f>IFERROR(Q48*(1+R48),"")</x:f>
        <x:v>1081.08</x:v>
      </x:c>
      <x:c r="T48" s="206" t="n">
        <x:v>55</x:v>
      </x:c>
      <x:c r="U48" s="206" t="n">
        <x:v>0</x:v>
      </x:c>
      <x:c r="V48" s="203" t="n">
        <x:f>IFERROR(S48+T48+U48,"")</x:f>
        <x:v>1136.08</x:v>
      </x:c>
      <x:c r="W48" s="203" t="n">
        <x:f>IFERROR(H48/(1+Anyag_Beallitasok!$B$2)*Anyag_Beallitasok!$B$9,"")</x:f>
        <x:v>1114.2857142857142</x:v>
      </x:c>
      <x:c r="X48" s="203" t="n">
        <x:f>IFERROR(V48/((1-Anyag_Beallitasok!$B$3)*(1+Anyag_Beallitasok!$B$2)),"")</x:f>
        <x:v>1664.5860805860802</x:v>
      </x:c>
      <x:c r="Y48" s="203" t="n">
        <x:f>IFERROR(V48/((1-Anyag_Beallitasok!$B$4)*(1+Anyag_Beallitasok!$B$2)),"")</x:f>
        <x:v>2163.9619047619044</x:v>
      </x:c>
      <x:c r="Z48" s="203" t="n">
        <x:f>IFERROR(ROUNDUP(MAX(W48,X48)/Anyag_Beallitasok!$B$6,0)*Anyag_Beallitasok!$B$6,"")</x:f>
        <x:v>1700</x:v>
      </x:c>
      <x:c r="AA48" s="204" t="n">
        <x:f>Anyag_Beallitasok!$B$2</x:f>
        <x:v>0.05</x:v>
      </x:c>
      <x:c r="AB48" s="203" t="n">
        <x:f>IFERROR(Z48*(1+AA48),"")</x:f>
        <x:v>1785</x:v>
      </x:c>
      <x:c r="AC48" s="204" t="n">
        <x:f>IFERROR(1-V48/H48,"")</x:f>
        <x:v>0.028991452991453004</x:v>
      </x:c>
      <x:c r="AD48" s="204" t="n">
        <x:f>IFERROR(1-V48/AB48,"")</x:f>
        <x:v>0.3635406162464987</x:v>
      </x:c>
      <x:c r="AE48" s="19" t="str">
        <x:f>IF(AC48&lt;Anyag_Beallitasok!$B$3,"NEM ÉRI EL A 35%-OT",IF(AC48&lt;Anyag_Beallitasok!$B$4,"MINIMUM 35–49,9%",IF(AC48&lt;Anyag_Beallitasok!$B$5,"IDEÁLIS 50–59,9%","KIEMELKEDŐ ≥60%")))</x:f>
        <x:v>NEM ÉRI EL A 35%-OT</x:v>
      </x:c>
      <x:c r="AF48" s="204" t="n">
        <x:f>IFERROR(AB48/H48-1,"")</x:f>
        <x:v>0.5256410256410255</x:v>
      </x:c>
      <x:c r="AG48" s="19" t="str">
        <x:f>IF(AND(P48="IGEN",O48&gt;0),IF(AF48&gt;Anyag_Beallitasok!$B$10,"0%-OS SZÁMLA + ÖNADÓZÁS; FELÁR SZÜKSÉGES","0%-OS SZÁMLA + ÖNADÓZÁS"),IF(AF48&gt;Anyag_Beallitasok!$B$10,"FELÁR SZÜKSÉGES A 35%-HOZ",IF(AC48&lt;Anyag_Beallitasok!$B$3,"PIACI ÁRON NEM TARTHATÓ A 35%","OK")))</x:f>
        <x:v>FELÁR SZÜKSÉGES A 35%-HOZ</x:v>
      </x:c>
      <x:c r="AH48" s="207" t="n">
        <x:v>0</x:v>
      </x:c>
      <x:c r="AI48" s="207" t="n">
        <x:v>0</x:v>
      </x:c>
      <x:c r="AJ48" s="207" t="n">
        <x:v>0</x:v>
      </x:c>
      <x:c r="AK48" s="208"/>
      <x:c r="AL48" s="203" t="str">
        <x:f>IF(AK48="","",V48*AK48)</x:f>
      </x:c>
      <x:c r="AM48" s="203" t="str">
        <x:f>IF(AK48="","",AB48*AK48)</x:f>
      </x:c>
      <x:c r="AN48" s="204" t="str">
        <x:f>IFERROR(1-AL48/AM48,"")</x:f>
      </x:c>
      <x:c r="AO48" s="19" t="str">
        <x:v>https://www.leier.hu/uploads/files/Arlista-magasepites-2026-6981a1daebe63.pdf</x:v>
      </x:c>
      <x:c r="AP48" s="19" t="str">
        <x:v>Közvetlen 2026 gyártói árlista</x:v>
      </x:c>
      <x:c r="AQ48" s="19" t="str">
        <x:v>Alternatíva.</x:v>
      </x:c>
    </x:row>
    <x:row r="49">
      <x:c r="A49" s="19" t="str">
        <x:v>ANY-0048</x:v>
      </x:c>
      <x:c r="B49" s="19" t="str">
        <x:v>04 Falazás</x:v>
      </x:c>
      <x:c r="C49" s="19" t="str">
        <x:v>Falazóanyagok és kiegészítők</x:v>
      </x:c>
      <x:c r="D49" s="19" t="str">
        <x:v>Tégla / pórusbeton</x:v>
      </x:c>
      <x:c r="E49" s="19" t="str">
        <x:v>LeierPLAN 30 N+F csiszolt tégla</x:v>
      </x:c>
      <x:c r="F49" s="19" t="str">
        <x:v>16 db/m²</x:v>
      </x:c>
      <x:c r="G49" s="19" t="str">
        <x:v>db</x:v>
      </x:c>
      <x:c r="H49" s="203" t="n">
        <x:v>1000</x:v>
      </x:c>
      <x:c r="I49" s="204" t="n">
        <x:v>0.27</x:v>
      </x:c>
      <x:c r="J49" s="203" t="n">
        <x:f>IFERROR(H49/(1+I49),"")</x:f>
        <x:v>787.4015748031496</x:v>
      </x:c>
      <x:c r="K49" s="205" t="n">
        <x:v>0.12</x:v>
      </x:c>
      <x:c r="L49" s="203" t="n">
        <x:f>IFERROR(J49*(1-K49),"")</x:f>
        <x:v>692.9133858267717</x:v>
      </x:c>
      <x:c r="M49" s="19" t="str">
        <x:v>27% normál belföldi</x:v>
      </x:c>
      <x:c r="N49" s="204" t="n">
        <x:v>0.27</x:v>
      </x:c>
      <x:c r="O49" s="204" t="n">
        <x:v>0</x:v>
      </x:c>
      <x:c r="P49" s="19" t="str">
        <x:v>NEM</x:v>
      </x:c>
      <x:c r="Q49" s="203" t="n">
        <x:f>IFERROR(L49*(1+N49),"")</x:f>
        <x:v>880</x:v>
      </x:c>
      <x:c r="R49" s="205" t="n">
        <x:v>0.04</x:v>
      </x:c>
      <x:c r="S49" s="203" t="n">
        <x:f>IFERROR(Q49*(1+R49),"")</x:f>
        <x:v>915.2</x:v>
      </x:c>
      <x:c r="T49" s="206" t="n">
        <x:v>50</x:v>
      </x:c>
      <x:c r="U49" s="206" t="n">
        <x:v>0</x:v>
      </x:c>
      <x:c r="V49" s="203" t="n">
        <x:f>IFERROR(S49+T49+U49,"")</x:f>
        <x:v>965.2</x:v>
      </x:c>
      <x:c r="W49" s="203" t="n">
        <x:f>IFERROR(H49/(1+Anyag_Beallitasok!$B$2)*Anyag_Beallitasok!$B$9,"")</x:f>
        <x:v>952.3809523809523</x:v>
      </x:c>
      <x:c r="X49" s="203" t="n">
        <x:f>IFERROR(V49/((1-Anyag_Beallitasok!$B$3)*(1+Anyag_Beallitasok!$B$2)),"")</x:f>
        <x:v>1414.212454212454</x:v>
      </x:c>
      <x:c r="Y49" s="203" t="n">
        <x:f>IFERROR(V49/((1-Anyag_Beallitasok!$B$4)*(1+Anyag_Beallitasok!$B$2)),"")</x:f>
        <x:v>1838.4761904761906</x:v>
      </x:c>
      <x:c r="Z49" s="203" t="n">
        <x:f>IFERROR(ROUNDUP(MAX(W49,X49)/Anyag_Beallitasok!$B$6,0)*Anyag_Beallitasok!$B$6,"")</x:f>
        <x:v>1450</x:v>
      </x:c>
      <x:c r="AA49" s="204" t="n">
        <x:f>Anyag_Beallitasok!$B$2</x:f>
        <x:v>0.05</x:v>
      </x:c>
      <x:c r="AB49" s="203" t="n">
        <x:f>IFERROR(Z49*(1+AA49),"")</x:f>
        <x:v>1522.5</x:v>
      </x:c>
      <x:c r="AC49" s="204" t="n">
        <x:f>IFERROR(1-V49/H49,"")</x:f>
        <x:v>0.03479999999999994</x:v>
      </x:c>
      <x:c r="AD49" s="204" t="n">
        <x:f>IFERROR(1-V49/AB49,"")</x:f>
        <x:v>0.36604269293924463</x:v>
      </x:c>
      <x:c r="AE49" s="19" t="str">
        <x:f>IF(AC49&lt;Anyag_Beallitasok!$B$3,"NEM ÉRI EL A 35%-OT",IF(AC49&lt;Anyag_Beallitasok!$B$4,"MINIMUM 35–49,9%",IF(AC49&lt;Anyag_Beallitasok!$B$5,"IDEÁLIS 50–59,9%","KIEMELKEDŐ ≥60%")))</x:f>
        <x:v>NEM ÉRI EL A 35%-OT</x:v>
      </x:c>
      <x:c r="AF49" s="204" t="n">
        <x:f>IFERROR(AB49/H49-1,"")</x:f>
        <x:v>0.5225</x:v>
      </x:c>
      <x:c r="AG49" s="19" t="str">
        <x:f>IF(AND(P49="IGEN",O49&gt;0),IF(AF49&gt;Anyag_Beallitasok!$B$10,"0%-OS SZÁMLA + ÖNADÓZÁS; FELÁR SZÜKSÉGES","0%-OS SZÁMLA + ÖNADÓZÁS"),IF(AF49&gt;Anyag_Beallitasok!$B$10,"FELÁR SZÜKSÉGES A 35%-HOZ",IF(AC49&lt;Anyag_Beallitasok!$B$3,"PIACI ÁRON NEM TARTHATÓ A 35%","OK")))</x:f>
        <x:v>FELÁR SZÜKSÉGES A 35%-HOZ</x:v>
      </x:c>
      <x:c r="AH49" s="207" t="n">
        <x:v>0</x:v>
      </x:c>
      <x:c r="AI49" s="207" t="n">
        <x:v>0</x:v>
      </x:c>
      <x:c r="AJ49" s="207" t="n">
        <x:v>0</x:v>
      </x:c>
      <x:c r="AK49" s="208"/>
      <x:c r="AL49" s="203" t="str">
        <x:f>IF(AK49="","",V49*AK49)</x:f>
      </x:c>
      <x:c r="AM49" s="203" t="str">
        <x:f>IF(AK49="","",AB49*AK49)</x:f>
      </x:c>
      <x:c r="AN49" s="204" t="str">
        <x:f>IFERROR(1-AL49/AM49,"")</x:f>
      </x:c>
      <x:c r="AO49" s="19" t="str">
        <x:v>https://www.leier.hu/uploads/files/Arlista-magasepites-2026-6981a1daebe63.pdf</x:v>
      </x:c>
      <x:c r="AP49" s="19" t="str">
        <x:v>Közvetlen 2026 gyártói árlista</x:v>
      </x:c>
      <x:c r="AQ49" s="19" t="str">
        <x:v>Alternatíva a hagyományos 30-as fal helyett.</x:v>
      </x:c>
    </x:row>
    <x:row r="50">
      <x:c r="A50" s="19" t="str">
        <x:v>ANY-0049</x:v>
      </x:c>
      <x:c r="B50" s="19" t="str">
        <x:v>04 Falazás</x:v>
      </x:c>
      <x:c r="C50" s="19" t="str">
        <x:v>Falazóanyagok és kiegészítők</x:v>
      </x:c>
      <x:c r="D50" s="19" t="str">
        <x:v>Tégla / pórusbeton</x:v>
      </x:c>
      <x:c r="E50" s="19" t="str">
        <x:v>Leiertherm 10 N+F válaszfaltégla</x:v>
      </x:c>
      <x:c r="F50" s="19" t="str">
        <x:v>8 db/m²</x:v>
      </x:c>
      <x:c r="G50" s="19" t="str">
        <x:v>db</x:v>
      </x:c>
      <x:c r="H50" s="203" t="n">
        <x:v>790</x:v>
      </x:c>
      <x:c r="I50" s="204" t="n">
        <x:v>0.27</x:v>
      </x:c>
      <x:c r="J50" s="203" t="n">
        <x:f>IFERROR(H50/(1+I50),"")</x:f>
        <x:v>622.0472440944882</x:v>
      </x:c>
      <x:c r="K50" s="205" t="n">
        <x:v>0.12</x:v>
      </x:c>
      <x:c r="L50" s="203" t="n">
        <x:f>IFERROR(J50*(1-K50),"")</x:f>
        <x:v>547.4015748031496</x:v>
      </x:c>
      <x:c r="M50" s="19" t="str">
        <x:v>27% normál belföldi</x:v>
      </x:c>
      <x:c r="N50" s="204" t="n">
        <x:v>0.27</x:v>
      </x:c>
      <x:c r="O50" s="204" t="n">
        <x:v>0</x:v>
      </x:c>
      <x:c r="P50" s="19" t="str">
        <x:v>NEM</x:v>
      </x:c>
      <x:c r="Q50" s="203" t="n">
        <x:f>IFERROR(L50*(1+N50),"")</x:f>
        <x:v>695.2</x:v>
      </x:c>
      <x:c r="R50" s="205" t="n">
        <x:v>0.05</x:v>
      </x:c>
      <x:c r="S50" s="203" t="n">
        <x:f>IFERROR(Q50*(1+R50),"")</x:f>
        <x:v>729.96</x:v>
      </x:c>
      <x:c r="T50" s="206" t="n">
        <x:v>40</x:v>
      </x:c>
      <x:c r="U50" s="206" t="n">
        <x:v>0</x:v>
      </x:c>
      <x:c r="V50" s="203" t="n">
        <x:f>IFERROR(S50+T50+U50,"")</x:f>
        <x:v>769.96</x:v>
      </x:c>
      <x:c r="W50" s="203" t="n">
        <x:f>IFERROR(H50/(1+Anyag_Beallitasok!$B$2)*Anyag_Beallitasok!$B$9,"")</x:f>
        <x:v>752.3809523809523</x:v>
      </x:c>
      <x:c r="X50" s="203" t="n">
        <x:f>IFERROR(V50/((1-Anyag_Beallitasok!$B$3)*(1+Anyag_Beallitasok!$B$2)),"")</x:f>
        <x:v>1128.14652014652</x:v>
      </x:c>
      <x:c r="Y50" s="203" t="n">
        <x:f>IFERROR(V50/((1-Anyag_Beallitasok!$B$4)*(1+Anyag_Beallitasok!$B$2)),"")</x:f>
        <x:v>1466.5904761904762</x:v>
      </x:c>
      <x:c r="Z50" s="203" t="n">
        <x:f>IFERROR(ROUNDUP(MAX(W50,X50)/Anyag_Beallitasok!$B$6,0)*Anyag_Beallitasok!$B$6,"")</x:f>
        <x:v>1150</x:v>
      </x:c>
      <x:c r="AA50" s="204" t="n">
        <x:f>Anyag_Beallitasok!$B$2</x:f>
        <x:v>0.05</x:v>
      </x:c>
      <x:c r="AB50" s="203" t="n">
        <x:f>IFERROR(Z50*(1+AA50),"")</x:f>
        <x:v>1207.5</x:v>
      </x:c>
      <x:c r="AC50" s="204" t="n">
        <x:f>IFERROR(1-V50/H50,"")</x:f>
        <x:v>0.025367088607594845</x:v>
      </x:c>
      <x:c r="AD50" s="204" t="n">
        <x:f>IFERROR(1-V50/AB50,"")</x:f>
        <x:v>0.36235196687370597</x:v>
      </x:c>
      <x:c r="AE50" s="19" t="str">
        <x:f>IF(AC50&lt;Anyag_Beallitasok!$B$3,"NEM ÉRI EL A 35%-OT",IF(AC50&lt;Anyag_Beallitasok!$B$4,"MINIMUM 35–49,9%",IF(AC50&lt;Anyag_Beallitasok!$B$5,"IDEÁLIS 50–59,9%","KIEMELKEDŐ ≥60%")))</x:f>
        <x:v>NEM ÉRI EL A 35%-OT</x:v>
      </x:c>
      <x:c r="AF50" s="204" t="n">
        <x:f>IFERROR(AB50/H50-1,"")</x:f>
        <x:v>0.5284810126582278</x:v>
      </x:c>
      <x:c r="AG50" s="19" t="str">
        <x:f>IF(AND(P50="IGEN",O50&gt;0),IF(AF50&gt;Anyag_Beallitasok!$B$10,"0%-OS SZÁMLA + ÖNADÓZÁS; FELÁR SZÜKSÉGES","0%-OS SZÁMLA + ÖNADÓZÁS"),IF(AF50&gt;Anyag_Beallitasok!$B$10,"FELÁR SZÜKSÉGES A 35%-HOZ",IF(AC50&lt;Anyag_Beallitasok!$B$3,"PIACI ÁRON NEM TARTHATÓ A 35%","OK")))</x:f>
        <x:v>FELÁR SZÜKSÉGES A 35%-HOZ</x:v>
      </x:c>
      <x:c r="AH50" s="207" t="n">
        <x:v>800</x:v>
      </x:c>
      <x:c r="AI50" s="207" t="n">
        <x:v>0</x:v>
      </x:c>
      <x:c r="AJ50" s="207" t="n">
        <x:v>0</x:v>
      </x:c>
      <x:c r="AK50" s="208"/>
      <x:c r="AL50" s="203" t="str">
        <x:f>IF(AK50="","",V50*AK50)</x:f>
      </x:c>
      <x:c r="AM50" s="203" t="str">
        <x:f>IF(AK50="","",AB50*AK50)</x:f>
      </x:c>
      <x:c r="AN50" s="204" t="str">
        <x:f>IFERROR(1-AL50/AM50,"")</x:f>
      </x:c>
      <x:c r="AO50" s="19" t="str">
        <x:v>https://www.leier.hu/uploads/files/Arlista-magasepites-2026-6981a1daebe63.pdf</x:v>
      </x:c>
      <x:c r="AP50" s="19" t="str">
        <x:v>Közvetlen 2026 gyártói árlista</x:v>
      </x:c>
      <x:c r="AQ50" s="19" t="str"/>
    </x:row>
    <x:row r="51">
      <x:c r="A51" s="19" t="str">
        <x:v>ANY-0050</x:v>
      </x:c>
      <x:c r="B51" s="19" t="str">
        <x:v>04 Falazás</x:v>
      </x:c>
      <x:c r="C51" s="19" t="str">
        <x:v>Falazóanyagok és kiegészítők</x:v>
      </x:c>
      <x:c r="D51" s="19" t="str">
        <x:v>Tégla / pórusbeton</x:v>
      </x:c>
      <x:c r="E51" s="19" t="str">
        <x:v>Porotherm 30 N+F Neo</x:v>
      </x:c>
      <x:c r="F51" s="19" t="str">
        <x:v>16 db/m²</x:v>
      </x:c>
      <x:c r="G51" s="19" t="str">
        <x:v>db</x:v>
      </x:c>
      <x:c r="H51" s="203" t="n">
        <x:v>660</x:v>
      </x:c>
      <x:c r="I51" s="204" t="n">
        <x:v>0.27</x:v>
      </x:c>
      <x:c r="J51" s="203" t="n">
        <x:f>IFERROR(H51/(1+I51),"")</x:f>
        <x:v>519.6850393700787</x:v>
      </x:c>
      <x:c r="K51" s="205" t="n">
        <x:v>0.1</x:v>
      </x:c>
      <x:c r="L51" s="203" t="n">
        <x:f>IFERROR(J51*(1-K51),"")</x:f>
        <x:v>467.7165354330708</x:v>
      </x:c>
      <x:c r="M51" s="19" t="str">
        <x:v>27% normál belföldi</x:v>
      </x:c>
      <x:c r="N51" s="204" t="n">
        <x:v>0.27</x:v>
      </x:c>
      <x:c r="O51" s="204" t="n">
        <x:v>0</x:v>
      </x:c>
      <x:c r="P51" s="19" t="str">
        <x:v>NEM</x:v>
      </x:c>
      <x:c r="Q51" s="203" t="n">
        <x:f>IFERROR(L51*(1+N51),"")</x:f>
        <x:v>594</x:v>
      </x:c>
      <x:c r="R51" s="205" t="n">
        <x:v>0.05</x:v>
      </x:c>
      <x:c r="S51" s="203" t="n">
        <x:f>IFERROR(Q51*(1+R51),"")</x:f>
        <x:v>623.7</x:v>
      </x:c>
      <x:c r="T51" s="206" t="n">
        <x:v>45</x:v>
      </x:c>
      <x:c r="U51" s="206" t="n">
        <x:v>0</x:v>
      </x:c>
      <x:c r="V51" s="203" t="n">
        <x:f>IFERROR(S51+T51+U51,"")</x:f>
        <x:v>668.7</x:v>
      </x:c>
      <x:c r="W51" s="203" t="n">
        <x:f>IFERROR(H51/(1+Anyag_Beallitasok!$B$2)*Anyag_Beallitasok!$B$9,"")</x:f>
        <x:v>628.5714285714286</x:v>
      </x:c>
      <x:c r="X51" s="203" t="n">
        <x:f>IFERROR(V51/((1-Anyag_Beallitasok!$B$3)*(1+Anyag_Beallitasok!$B$2)),"")</x:f>
        <x:v>979.7802197802197</x:v>
      </x:c>
      <x:c r="Y51" s="203" t="n">
        <x:f>IFERROR(V51/((1-Anyag_Beallitasok!$B$4)*(1+Anyag_Beallitasok!$B$2)),"")</x:f>
        <x:v>1273.7142857142858</x:v>
      </x:c>
      <x:c r="Z51" s="203" t="n">
        <x:f>IFERROR(ROUNDUP(MAX(W51,X51)/Anyag_Beallitasok!$B$6,0)*Anyag_Beallitasok!$B$6,"")</x:f>
        <x:v>1000</x:v>
      </x:c>
      <x:c r="AA51" s="204" t="n">
        <x:f>Anyag_Beallitasok!$B$2</x:f>
        <x:v>0.05</x:v>
      </x:c>
      <x:c r="AB51" s="203" t="n">
        <x:f>IFERROR(Z51*(1+AA51),"")</x:f>
        <x:v>1050</x:v>
      </x:c>
      <x:c r="AC51" s="204" t="n">
        <x:f>IFERROR(1-V51/H51,"")</x:f>
        <x:v>-0.013181818181818183</x:v>
      </x:c>
      <x:c r="AD51" s="204" t="n">
        <x:f>IFERROR(1-V51/AB51,"")</x:f>
        <x:v>0.3631428571428571</x:v>
      </x:c>
      <x:c r="AE51" s="19" t="str">
        <x:f>IF(AC51&lt;Anyag_Beallitasok!$B$3,"NEM ÉRI EL A 35%-OT",IF(AC51&lt;Anyag_Beallitasok!$B$4,"MINIMUM 35–49,9%",IF(AC51&lt;Anyag_Beallitasok!$B$5,"IDEÁLIS 50–59,9%","KIEMELKEDŐ ≥60%")))</x:f>
        <x:v>NEM ÉRI EL A 35%-OT</x:v>
      </x:c>
      <x:c r="AF51" s="204" t="n">
        <x:f>IFERROR(AB51/H51-1,"")</x:f>
        <x:v>0.5909090909090908</x:v>
      </x:c>
      <x:c r="AG51" s="19" t="str">
        <x:f>IF(AND(P51="IGEN",O51&gt;0),IF(AF51&gt;Anyag_Beallitasok!$B$10,"0%-OS SZÁMLA + ÖNADÓZÁS; FELÁR SZÜKSÉGES","0%-OS SZÁMLA + ÖNADÓZÁS"),IF(AF51&gt;Anyag_Beallitasok!$B$10,"FELÁR SZÜKSÉGES A 35%-HOZ",IF(AC51&lt;Anyag_Beallitasok!$B$3,"PIACI ÁRON NEM TARTHATÓ A 35%","OK")))</x:f>
        <x:v>FELÁR SZÜKSÉGES A 35%-HOZ</x:v>
      </x:c>
      <x:c r="AH51" s="207" t="n">
        <x:v>0</x:v>
      </x:c>
      <x:c r="AI51" s="207" t="n">
        <x:v>0</x:v>
      </x:c>
      <x:c r="AJ51" s="207" t="n">
        <x:v>0</x:v>
      </x:c>
      <x:c r="AK51" s="208"/>
      <x:c r="AL51" s="203" t="str">
        <x:f>IF(AK51="","",V51*AK51)</x:f>
      </x:c>
      <x:c r="AM51" s="203" t="str">
        <x:f>IF(AK51="","",AB51*AK51)</x:f>
      </x:c>
      <x:c r="AN51" s="204" t="str">
        <x:f>IFERROR(1-AL51/AM51,"")</x:f>
      </x:c>
      <x:c r="AO51" s="19" t="str">
        <x:v>https://tegla-falazoelem.arukereso.hu/wienerberger/</x:v>
      </x:c>
      <x:c r="AP51" s="19" t="str">
        <x:v>Közvetlen 2026 webár</x:v>
      </x:c>
      <x:c r="AQ51" s="19" t="str">
        <x:v>Beszerzési hely és fuvar erősen befolyásolja.</x:v>
      </x:c>
    </x:row>
    <x:row r="52">
      <x:c r="A52" s="19" t="str">
        <x:v>ANY-0051</x:v>
      </x:c>
      <x:c r="B52" s="19" t="str">
        <x:v>04 Falazás</x:v>
      </x:c>
      <x:c r="C52" s="19" t="str">
        <x:v>Falazóanyagok és kiegészítők</x:v>
      </x:c>
      <x:c r="D52" s="19" t="str">
        <x:v>Tégla / pórusbeton</x:v>
      </x:c>
      <x:c r="E52" s="19" t="str">
        <x:v>Porotherm 30 N+F Rapid Dryfix</x:v>
      </x:c>
      <x:c r="F52" s="19" t="str">
        <x:v>16 db/m²</x:v>
      </x:c>
      <x:c r="G52" s="19" t="str">
        <x:v>db</x:v>
      </x:c>
      <x:c r="H52" s="203" t="n">
        <x:v>750</x:v>
      </x:c>
      <x:c r="I52" s="204" t="n">
        <x:v>0.27</x:v>
      </x:c>
      <x:c r="J52" s="203" t="n">
        <x:f>IFERROR(H52/(1+I52),"")</x:f>
        <x:v>590.5511811023622</x:v>
      </x:c>
      <x:c r="K52" s="205" t="n">
        <x:v>0.1</x:v>
      </x:c>
      <x:c r="L52" s="203" t="n">
        <x:f>IFERROR(J52*(1-K52),"")</x:f>
        <x:v>531.496062992126</x:v>
      </x:c>
      <x:c r="M52" s="19" t="str">
        <x:v>27% normál belföldi</x:v>
      </x:c>
      <x:c r="N52" s="204" t="n">
        <x:v>0.27</x:v>
      </x:c>
      <x:c r="O52" s="204" t="n">
        <x:v>0</x:v>
      </x:c>
      <x:c r="P52" s="19" t="str">
        <x:v>NEM</x:v>
      </x:c>
      <x:c r="Q52" s="203" t="n">
        <x:f>IFERROR(L52*(1+N52),"")</x:f>
        <x:v>675</x:v>
      </x:c>
      <x:c r="R52" s="205" t="n">
        <x:v>0.04</x:v>
      </x:c>
      <x:c r="S52" s="203" t="n">
        <x:f>IFERROR(Q52*(1+R52),"")</x:f>
        <x:v>702</x:v>
      </x:c>
      <x:c r="T52" s="206" t="n">
        <x:v>45</x:v>
      </x:c>
      <x:c r="U52" s="206" t="n">
        <x:v>0</x:v>
      </x:c>
      <x:c r="V52" s="203" t="n">
        <x:f>IFERROR(S52+T52+U52,"")</x:f>
        <x:v>747</x:v>
      </x:c>
      <x:c r="W52" s="203" t="n">
        <x:f>IFERROR(H52/(1+Anyag_Beallitasok!$B$2)*Anyag_Beallitasok!$B$9,"")</x:f>
        <x:v>714.2857142857142</x:v>
      </x:c>
      <x:c r="X52" s="203" t="n">
        <x:f>IFERROR(V52/((1-Anyag_Beallitasok!$B$3)*(1+Anyag_Beallitasok!$B$2)),"")</x:f>
        <x:v>1094.5054945054944</x:v>
      </x:c>
      <x:c r="Y52" s="203" t="n">
        <x:f>IFERROR(V52/((1-Anyag_Beallitasok!$B$4)*(1+Anyag_Beallitasok!$B$2)),"")</x:f>
        <x:v>1422.857142857143</x:v>
      </x:c>
      <x:c r="Z52" s="203" t="n">
        <x:f>IFERROR(ROUNDUP(MAX(W52,X52)/Anyag_Beallitasok!$B$6,0)*Anyag_Beallitasok!$B$6,"")</x:f>
        <x:v>1100</x:v>
      </x:c>
      <x:c r="AA52" s="204" t="n">
        <x:f>Anyag_Beallitasok!$B$2</x:f>
        <x:v>0.05</x:v>
      </x:c>
      <x:c r="AB52" s="203" t="n">
        <x:f>IFERROR(Z52*(1+AA52),"")</x:f>
        <x:v>1155</x:v>
      </x:c>
      <x:c r="AC52" s="204" t="n">
        <x:f>IFERROR(1-V52/H52,"")</x:f>
        <x:v>0.0040000000000000036</x:v>
      </x:c>
      <x:c r="AD52" s="204" t="n">
        <x:f>IFERROR(1-V52/AB52,"")</x:f>
        <x:v>0.35324675324675325</x:v>
      </x:c>
      <x:c r="AE52" s="19" t="str">
        <x:f>IF(AC52&lt;Anyag_Beallitasok!$B$3,"NEM ÉRI EL A 35%-OT",IF(AC52&lt;Anyag_Beallitasok!$B$4,"MINIMUM 35–49,9%",IF(AC52&lt;Anyag_Beallitasok!$B$5,"IDEÁLIS 50–59,9%","KIEMELKEDŐ ≥60%")))</x:f>
        <x:v>NEM ÉRI EL A 35%-OT</x:v>
      </x:c>
      <x:c r="AF52" s="204" t="n">
        <x:f>IFERROR(AB52/H52-1,"")</x:f>
        <x:v>0.54</x:v>
      </x:c>
      <x:c r="AG52" s="19" t="str">
        <x:f>IF(AND(P52="IGEN",O52&gt;0),IF(AF52&gt;Anyag_Beallitasok!$B$10,"0%-OS SZÁMLA + ÖNADÓZÁS; FELÁR SZÜKSÉGES","0%-OS SZÁMLA + ÖNADÓZÁS"),IF(AF52&gt;Anyag_Beallitasok!$B$10,"FELÁR SZÜKSÉGES A 35%-HOZ",IF(AC52&lt;Anyag_Beallitasok!$B$3,"PIACI ÁRON NEM TARTHATÓ A 35%","OK")))</x:f>
        <x:v>FELÁR SZÜKSÉGES A 35%-HOZ</x:v>
      </x:c>
      <x:c r="AH52" s="207" t="n">
        <x:v>0</x:v>
      </x:c>
      <x:c r="AI52" s="207" t="n">
        <x:v>0</x:v>
      </x:c>
      <x:c r="AJ52" s="207" t="n">
        <x:v>0</x:v>
      </x:c>
      <x:c r="AK52" s="208"/>
      <x:c r="AL52" s="203" t="str">
        <x:f>IF(AK52="","",V52*AK52)</x:f>
      </x:c>
      <x:c r="AM52" s="203" t="str">
        <x:f>IF(AK52="","",AB52*AK52)</x:f>
      </x:c>
      <x:c r="AN52" s="204" t="str">
        <x:f>IFERROR(1-AL52/AM52,"")</x:f>
      </x:c>
      <x:c r="AO52" s="19" t="str">
        <x:v>https://tegla-falazoelem.arukereso.hu/wienerberger/</x:v>
      </x:c>
      <x:c r="AP52" s="19" t="str">
        <x:v>Közvetlen 2026 webár</x:v>
      </x:c>
      <x:c r="AQ52" s="19" t="str"/>
    </x:row>
    <x:row r="53">
      <x:c r="A53" s="19" t="str">
        <x:v>ANY-0052</x:v>
      </x:c>
      <x:c r="B53" s="19" t="str">
        <x:v>04 Falazás</x:v>
      </x:c>
      <x:c r="C53" s="19" t="str">
        <x:v>Falazóanyagok és kiegészítők</x:v>
      </x:c>
      <x:c r="D53" s="19" t="str">
        <x:v>Tégla / pórusbeton</x:v>
      </x:c>
      <x:c r="E53" s="19" t="str">
        <x:v>Ytong 30 cm falazóelem</x:v>
      </x:c>
      <x:c r="F53" s="19" t="str">
        <x:v>kb. 8 db/m²</x:v>
      </x:c>
      <x:c r="G53" s="19" t="str">
        <x:v>db</x:v>
      </x:c>
      <x:c r="H53" s="203" t="n">
        <x:v>1800</x:v>
      </x:c>
      <x:c r="I53" s="204" t="n">
        <x:v>0.27</x:v>
      </x:c>
      <x:c r="J53" s="203" t="n">
        <x:f>IFERROR(H53/(1+I53),"")</x:f>
        <x:v>1417.3228346456692</x:v>
      </x:c>
      <x:c r="K53" s="205" t="n">
        <x:v>0.15</x:v>
      </x:c>
      <x:c r="L53" s="203" t="n">
        <x:f>IFERROR(J53*(1-K53),"")</x:f>
        <x:v>1204.7244094488187</x:v>
      </x:c>
      <x:c r="M53" s="19" t="str">
        <x:v>27% normál belföldi</x:v>
      </x:c>
      <x:c r="N53" s="204" t="n">
        <x:v>0.27</x:v>
      </x:c>
      <x:c r="O53" s="204" t="n">
        <x:v>0</x:v>
      </x:c>
      <x:c r="P53" s="19" t="str">
        <x:v>NEM</x:v>
      </x:c>
      <x:c r="Q53" s="203" t="n">
        <x:f>IFERROR(L53*(1+N53),"")</x:f>
        <x:v>1529.9999999999998</x:v>
      </x:c>
      <x:c r="R53" s="205" t="n">
        <x:v>0.04</x:v>
      </x:c>
      <x:c r="S53" s="203" t="n">
        <x:f>IFERROR(Q53*(1+R53),"")</x:f>
        <x:v>1591.1999999999998</x:v>
      </x:c>
      <x:c r="T53" s="206" t="n">
        <x:v>80</x:v>
      </x:c>
      <x:c r="U53" s="206" t="n">
        <x:v>0</x:v>
      </x:c>
      <x:c r="V53" s="203" t="n">
        <x:f>IFERROR(S53+T53+U53,"")</x:f>
        <x:v>1671.1999999999998</x:v>
      </x:c>
      <x:c r="W53" s="203" t="n">
        <x:f>IFERROR(H53/(1+Anyag_Beallitasok!$B$2)*Anyag_Beallitasok!$B$9,"")</x:f>
        <x:v>1714.2857142857142</x:v>
      </x:c>
      <x:c r="X53" s="203" t="n">
        <x:f>IFERROR(V53/((1-Anyag_Beallitasok!$B$3)*(1+Anyag_Beallitasok!$B$2)),"")</x:f>
        <x:v>2448.644688644688</x:v>
      </x:c>
      <x:c r="Y53" s="203" t="n">
        <x:f>IFERROR(V53/((1-Anyag_Beallitasok!$B$4)*(1+Anyag_Beallitasok!$B$2)),"")</x:f>
        <x:v>3183.238095238095</x:v>
      </x:c>
      <x:c r="Z53" s="203" t="n">
        <x:f>IFERROR(ROUNDUP(MAX(W53,X53)/Anyag_Beallitasok!$B$6,0)*Anyag_Beallitasok!$B$6,"")</x:f>
        <x:v>2450</x:v>
      </x:c>
      <x:c r="AA53" s="204" t="n">
        <x:f>Anyag_Beallitasok!$B$2</x:f>
        <x:v>0.05</x:v>
      </x:c>
      <x:c r="AB53" s="203" t="n">
        <x:f>IFERROR(Z53*(1+AA53),"")</x:f>
        <x:v>2572.5</x:v>
      </x:c>
      <x:c r="AC53" s="204" t="n">
        <x:f>IFERROR(1-V53/H53,"")</x:f>
        <x:v>0.0715555555555557</x:v>
      </x:c>
      <x:c r="AD53" s="204" t="n">
        <x:f>IFERROR(1-V53/AB53,"")</x:f>
        <x:v>0.35035957240038884</x:v>
      </x:c>
      <x:c r="AE53" s="19" t="str">
        <x:f>IF(AC53&lt;Anyag_Beallitasok!$B$3,"NEM ÉRI EL A 35%-OT",IF(AC53&lt;Anyag_Beallitasok!$B$4,"MINIMUM 35–49,9%",IF(AC53&lt;Anyag_Beallitasok!$B$5,"IDEÁLIS 50–59,9%","KIEMELKEDŐ ≥60%")))</x:f>
        <x:v>NEM ÉRI EL A 35%-OT</x:v>
      </x:c>
      <x:c r="AF53" s="204" t="n">
        <x:f>IFERROR(AB53/H53-1,"")</x:f>
        <x:v>0.4291666666666667</x:v>
      </x:c>
      <x:c r="AG53" s="19" t="str">
        <x:f>IF(AND(P53="IGEN",O53&gt;0),IF(AF53&gt;Anyag_Beallitasok!$B$10,"0%-OS SZÁMLA + ÖNADÓZÁS; FELÁR SZÜKSÉGES","0%-OS SZÁMLA + ÖNADÓZÁS"),IF(AF53&gt;Anyag_Beallitasok!$B$10,"FELÁR SZÜKSÉGES A 35%-HOZ",IF(AC53&lt;Anyag_Beallitasok!$B$3,"PIACI ÁRON NEM TARTHATÓ A 35%","OK")))</x:f>
        <x:v>FELÁR SZÜKSÉGES A 35%-HOZ</x:v>
      </x:c>
      <x:c r="AH53" s="207" t="n">
        <x:v>0</x:v>
      </x:c>
      <x:c r="AI53" s="207" t="n">
        <x:v>0</x:v>
      </x:c>
      <x:c r="AJ53" s="207" t="n">
        <x:v>0</x:v>
      </x:c>
      <x:c r="AK53" s="208"/>
      <x:c r="AL53" s="203" t="str">
        <x:f>IF(AK53="","",V53*AK53)</x:f>
      </x:c>
      <x:c r="AM53" s="203" t="str">
        <x:f>IF(AK53="","",AB53*AK53)</x:f>
      </x:c>
      <x:c r="AN53" s="204" t="str">
        <x:f>IFERROR(1-AL53/AM53,"")</x:f>
      </x:c>
      <x:c r="AO53" s="19" t="str">
        <x:v>https://tegla-falazoelem.arukereso.hu/wienerberger/</x:v>
      </x:c>
      <x:c r="AP53" s="19" t="str">
        <x:v>Mérnöki 2026 piaci becslés</x:v>
      </x:c>
      <x:c r="AQ53" s="19" t="str">
        <x:v>Aktuális kereskedői ajánlat szükséges.</x:v>
      </x:c>
    </x:row>
    <x:row r="54">
      <x:c r="A54" s="19" t="str">
        <x:v>ANY-0053</x:v>
      </x:c>
      <x:c r="B54" s="19" t="str">
        <x:v>04 Falazás</x:v>
      </x:c>
      <x:c r="C54" s="19" t="str">
        <x:v>Falazóanyagok és kiegészítők</x:v>
      </x:c>
      <x:c r="D54" s="19" t="str">
        <x:v>Tégla / pórusbeton</x:v>
      </x:c>
      <x:c r="E54" s="19" t="str">
        <x:v>Ytong 10 cm válaszfalelem</x:v>
      </x:c>
      <x:c r="F54" s="19" t="str">
        <x:v>kb. 8 db/m²</x:v>
      </x:c>
      <x:c r="G54" s="19" t="str">
        <x:v>db</x:v>
      </x:c>
      <x:c r="H54" s="203" t="n">
        <x:v>850</x:v>
      </x:c>
      <x:c r="I54" s="204" t="n">
        <x:v>0.27</x:v>
      </x:c>
      <x:c r="J54" s="203" t="n">
        <x:f>IFERROR(H54/(1+I54),"")</x:f>
        <x:v>669.2913385826772</x:v>
      </x:c>
      <x:c r="K54" s="205" t="n">
        <x:v>0.15</x:v>
      </x:c>
      <x:c r="L54" s="203" t="n">
        <x:f>IFERROR(J54*(1-K54),"")</x:f>
        <x:v>568.8976377952756</x:v>
      </x:c>
      <x:c r="M54" s="19" t="str">
        <x:v>27% normál belföldi</x:v>
      </x:c>
      <x:c r="N54" s="204" t="n">
        <x:v>0.27</x:v>
      </x:c>
      <x:c r="O54" s="204" t="n">
        <x:v>0</x:v>
      </x:c>
      <x:c r="P54" s="19" t="str">
        <x:v>NEM</x:v>
      </x:c>
      <x:c r="Q54" s="203" t="n">
        <x:f>IFERROR(L54*(1+N54),"")</x:f>
        <x:v>722.5</x:v>
      </x:c>
      <x:c r="R54" s="205" t="n">
        <x:v>0.05</x:v>
      </x:c>
      <x:c r="S54" s="203" t="n">
        <x:f>IFERROR(Q54*(1+R54),"")</x:f>
        <x:v>758.625</x:v>
      </x:c>
      <x:c r="T54" s="206" t="n">
        <x:v>45</x:v>
      </x:c>
      <x:c r="U54" s="206" t="n">
        <x:v>0</x:v>
      </x:c>
      <x:c r="V54" s="203" t="n">
        <x:f>IFERROR(S54+T54+U54,"")</x:f>
        <x:v>803.625</x:v>
      </x:c>
      <x:c r="W54" s="203" t="n">
        <x:f>IFERROR(H54/(1+Anyag_Beallitasok!$B$2)*Anyag_Beallitasok!$B$9,"")</x:f>
        <x:v>809.5238095238095</x:v>
      </x:c>
      <x:c r="X54" s="203" t="n">
        <x:f>IFERROR(V54/((1-Anyag_Beallitasok!$B$3)*(1+Anyag_Beallitasok!$B$2)),"")</x:f>
        <x:v>1177.4725274725272</x:v>
      </x:c>
      <x:c r="Y54" s="203" t="n">
        <x:f>IFERROR(V54/((1-Anyag_Beallitasok!$B$4)*(1+Anyag_Beallitasok!$B$2)),"")</x:f>
        <x:v>1530.7142857142856</x:v>
      </x:c>
      <x:c r="Z54" s="203" t="n">
        <x:f>IFERROR(ROUNDUP(MAX(W54,X54)/Anyag_Beallitasok!$B$6,0)*Anyag_Beallitasok!$B$6,"")</x:f>
        <x:v>1200</x:v>
      </x:c>
      <x:c r="AA54" s="204" t="n">
        <x:f>Anyag_Beallitasok!$B$2</x:f>
        <x:v>0.05</x:v>
      </x:c>
      <x:c r="AB54" s="203" t="n">
        <x:f>IFERROR(Z54*(1+AA54),"")</x:f>
        <x:v>1260</x:v>
      </x:c>
      <x:c r="AC54" s="204" t="n">
        <x:f>IFERROR(1-V54/H54,"")</x:f>
        <x:v>0.05455882352941177</x:v>
      </x:c>
      <x:c r="AD54" s="204" t="n">
        <x:f>IFERROR(1-V54/AB54,"")</x:f>
        <x:v>0.362202380952381</x:v>
      </x:c>
      <x:c r="AE54" s="19" t="str">
        <x:f>IF(AC54&lt;Anyag_Beallitasok!$B$3,"NEM ÉRI EL A 35%-OT",IF(AC54&lt;Anyag_Beallitasok!$B$4,"MINIMUM 35–49,9%",IF(AC54&lt;Anyag_Beallitasok!$B$5,"IDEÁLIS 50–59,9%","KIEMELKEDŐ ≥60%")))</x:f>
        <x:v>NEM ÉRI EL A 35%-OT</x:v>
      </x:c>
      <x:c r="AF54" s="204" t="n">
        <x:f>IFERROR(AB54/H54-1,"")</x:f>
        <x:v>0.48235294117647065</x:v>
      </x:c>
      <x:c r="AG54" s="19" t="str">
        <x:f>IF(AND(P54="IGEN",O54&gt;0),IF(AF54&gt;Anyag_Beallitasok!$B$10,"0%-OS SZÁMLA + ÖNADÓZÁS; FELÁR SZÜKSÉGES","0%-OS SZÁMLA + ÖNADÓZÁS"),IF(AF54&gt;Anyag_Beallitasok!$B$10,"FELÁR SZÜKSÉGES A 35%-HOZ",IF(AC54&lt;Anyag_Beallitasok!$B$3,"PIACI ÁRON NEM TARTHATÓ A 35%","OK")))</x:f>
        <x:v>FELÁR SZÜKSÉGES A 35%-HOZ</x:v>
      </x:c>
      <x:c r="AH54" s="207" t="n">
        <x:v>0</x:v>
      </x:c>
      <x:c r="AI54" s="207" t="n">
        <x:v>0</x:v>
      </x:c>
      <x:c r="AJ54" s="207" t="n">
        <x:v>0</x:v>
      </x:c>
      <x:c r="AK54" s="208"/>
      <x:c r="AL54" s="203" t="str">
        <x:f>IF(AK54="","",V54*AK54)</x:f>
      </x:c>
      <x:c r="AM54" s="203" t="str">
        <x:f>IF(AK54="","",AB54*AK54)</x:f>
      </x:c>
      <x:c r="AN54" s="204" t="str">
        <x:f>IFERROR(1-AL54/AM54,"")</x:f>
      </x:c>
      <x:c r="AO54" s="19" t="str">
        <x:v>https://tegla-falazoelem.arukereso.hu/wienerberger/</x:v>
      </x:c>
      <x:c r="AP54" s="19" t="str">
        <x:v>Mérnöki 2026 piaci becslés</x:v>
      </x:c>
      <x:c r="AQ54" s="19" t="str"/>
    </x:row>
    <x:row r="55">
      <x:c r="A55" s="19" t="str">
        <x:v>ANY-0054</x:v>
      </x:c>
      <x:c r="B55" s="19" t="str">
        <x:v>04 Falazás</x:v>
      </x:c>
      <x:c r="C55" s="19" t="str">
        <x:v>Falazóanyagok és kiegészítők</x:v>
      </x:c>
      <x:c r="D55" s="19" t="str">
        <x:v>Tégla / pórusbeton</x:v>
      </x:c>
      <x:c r="E55" s="19" t="str">
        <x:v>Falazóhabarcs 25 kg</x:v>
      </x:c>
      <x:c r="F55" s="19" t="str">
        <x:v>hagyományos téglához</x:v>
      </x:c>
      <x:c r="G55" s="19" t="str">
        <x:v>zsák</x:v>
      </x:c>
      <x:c r="H55" s="203" t="n">
        <x:v>2800</x:v>
      </x:c>
      <x:c r="I55" s="204" t="n">
        <x:v>0.27</x:v>
      </x:c>
      <x:c r="J55" s="203" t="n">
        <x:f>IFERROR(H55/(1+I55),"")</x:f>
        <x:v>2204.7244094488187</x:v>
      </x:c>
      <x:c r="K55" s="205" t="n">
        <x:v>0.12</x:v>
      </x:c>
      <x:c r="L55" s="203" t="n">
        <x:f>IFERROR(J55*(1-K55),"")</x:f>
        <x:v>1940.1574803149606</x:v>
      </x:c>
      <x:c r="M55" s="19" t="str">
        <x:v>27% normál belföldi</x:v>
      </x:c>
      <x:c r="N55" s="204" t="n">
        <x:v>0.27</x:v>
      </x:c>
      <x:c r="O55" s="204" t="n">
        <x:v>0</x:v>
      </x:c>
      <x:c r="P55" s="19" t="str">
        <x:v>NEM</x:v>
      </x:c>
      <x:c r="Q55" s="203" t="n">
        <x:f>IFERROR(L55*(1+N55),"")</x:f>
        <x:v>2464</x:v>
      </x:c>
      <x:c r="R55" s="205" t="n">
        <x:v>0.08</x:v>
      </x:c>
      <x:c r="S55" s="203" t="n">
        <x:f>IFERROR(Q55*(1+R55),"")</x:f>
        <x:v>2661.1200000000003</x:v>
      </x:c>
      <x:c r="T55" s="206" t="n">
        <x:v>90</x:v>
      </x:c>
      <x:c r="U55" s="206" t="n">
        <x:v>0</x:v>
      </x:c>
      <x:c r="V55" s="203" t="n">
        <x:f>IFERROR(S55+T55+U55,"")</x:f>
        <x:v>2751.1200000000003</x:v>
      </x:c>
      <x:c r="W55" s="203" t="n">
        <x:f>IFERROR(H55/(1+Anyag_Beallitasok!$B$2)*Anyag_Beallitasok!$B$9,"")</x:f>
        <x:v>2666.6666666666665</x:v>
      </x:c>
      <x:c r="X55" s="203" t="n">
        <x:f>IFERROR(V55/((1-Anyag_Beallitasok!$B$3)*(1+Anyag_Beallitasok!$B$2)),"")</x:f>
        <x:v>4030.945054945055</x:v>
      </x:c>
      <x:c r="Y55" s="203" t="n">
        <x:f>IFERROR(V55/((1-Anyag_Beallitasok!$B$4)*(1+Anyag_Beallitasok!$B$2)),"")</x:f>
        <x:v>5240.228571428572</x:v>
      </x:c>
      <x:c r="Z55" s="203" t="n">
        <x:f>IFERROR(ROUNDUP(MAX(W55,X55)/Anyag_Beallitasok!$B$6,0)*Anyag_Beallitasok!$B$6,"")</x:f>
        <x:v>4050</x:v>
      </x:c>
      <x:c r="AA55" s="204" t="n">
        <x:f>Anyag_Beallitasok!$B$2</x:f>
        <x:v>0.05</x:v>
      </x:c>
      <x:c r="AB55" s="203" t="n">
        <x:f>IFERROR(Z55*(1+AA55),"")</x:f>
        <x:v>4252.5</x:v>
      </x:c>
      <x:c r="AC55" s="204" t="n">
        <x:f>IFERROR(1-V55/H55,"")</x:f>
        <x:v>0.017457142857142727</x:v>
      </x:c>
      <x:c r="AD55" s="204" t="n">
        <x:f>IFERROR(1-V55/AB55,"")</x:f>
        <x:v>0.35305820105820096</x:v>
      </x:c>
      <x:c r="AE55" s="19" t="str">
        <x:f>IF(AC55&lt;Anyag_Beallitasok!$B$3,"NEM ÉRI EL A 35%-OT",IF(AC55&lt;Anyag_Beallitasok!$B$4,"MINIMUM 35–49,9%",IF(AC55&lt;Anyag_Beallitasok!$B$5,"IDEÁLIS 50–59,9%","KIEMELKEDŐ ≥60%")))</x:f>
        <x:v>NEM ÉRI EL A 35%-OT</x:v>
      </x:c>
      <x:c r="AF55" s="204" t="n">
        <x:f>IFERROR(AB55/H55-1,"")</x:f>
        <x:v>0.51875</x:v>
      </x:c>
      <x:c r="AG55" s="19" t="str">
        <x:f>IF(AND(P55="IGEN",O55&gt;0),IF(AF55&gt;Anyag_Beallitasok!$B$10,"0%-OS SZÁMLA + ÖNADÓZÁS; FELÁR SZÜKSÉGES","0%-OS SZÁMLA + ÖNADÓZÁS"),IF(AF55&gt;Anyag_Beallitasok!$B$10,"FELÁR SZÜKSÉGES A 35%-HOZ",IF(AC55&lt;Anyag_Beallitasok!$B$3,"PIACI ÁRON NEM TARTHATÓ A 35%","OK")))</x:f>
        <x:v>FELÁR SZÜKSÉGES A 35%-HOZ</x:v>
      </x:c>
      <x:c r="AH55" s="207" t="n">
        <x:v>150</x:v>
      </x:c>
      <x:c r="AI55" s="207" t="n">
        <x:v>0</x:v>
      </x:c>
      <x:c r="AJ55" s="207" t="n">
        <x:v>0</x:v>
      </x:c>
      <x:c r="AK55" s="208"/>
      <x:c r="AL55" s="203" t="str">
        <x:f>IF(AK55="","",V55*AK55)</x:f>
      </x:c>
      <x:c r="AM55" s="203" t="str">
        <x:f>IF(AK55="","",AB55*AK55)</x:f>
      </x:c>
      <x:c r="AN55" s="204" t="str">
        <x:f>IFERROR(1-AL55/AM55,"")</x:f>
      </x:c>
      <x:c r="AO55" s="19" t="str">
        <x:v>https://www.winklertuzep.hu/arlista-web/porterm%C3%A9kek</x:v>
      </x:c>
      <x:c r="AP55" s="19" t="str">
        <x:v>2026 portermék árlista alapján</x:v>
      </x:c>
      <x:c r="AQ55" s="19" t="str"/>
    </x:row>
    <x:row r="56">
      <x:c r="A56" s="19" t="str">
        <x:v>ANY-0055</x:v>
      </x:c>
      <x:c r="B56" s="19" t="str">
        <x:v>04 Falazás</x:v>
      </x:c>
      <x:c r="C56" s="19" t="str">
        <x:v>Falazóanyagok és kiegészítők</x:v>
      </x:c>
      <x:c r="D56" s="19" t="str">
        <x:v>Tégla / pórusbeton</x:v>
      </x:c>
      <x:c r="E56" s="19" t="str">
        <x:v>LeierPLAN vékonyágyas habarcs 21 l</x:v>
      </x:c>
      <x:c r="F56" s="19" t="str">
        <x:v>csiszolt téglához</x:v>
      </x:c>
      <x:c r="G56" s="19" t="str">
        <x:v>zsák</x:v>
      </x:c>
      <x:c r="H56" s="203" t="n">
        <x:v>1710</x:v>
      </x:c>
      <x:c r="I56" s="204" t="n">
        <x:v>0.27</x:v>
      </x:c>
      <x:c r="J56" s="203" t="n">
        <x:f>IFERROR(H56/(1+I56),"")</x:f>
        <x:v>1346.4566929133857</x:v>
      </x:c>
      <x:c r="K56" s="205" t="n">
        <x:v>0.12</x:v>
      </x:c>
      <x:c r="L56" s="203" t="n">
        <x:f>IFERROR(J56*(1-K56),"")</x:f>
        <x:v>1184.8818897637796</x:v>
      </x:c>
      <x:c r="M56" s="19" t="str">
        <x:v>27% normál belföldi</x:v>
      </x:c>
      <x:c r="N56" s="204" t="n">
        <x:v>0.27</x:v>
      </x:c>
      <x:c r="O56" s="204" t="n">
        <x:v>0</x:v>
      </x:c>
      <x:c r="P56" s="19" t="str">
        <x:v>NEM</x:v>
      </x:c>
      <x:c r="Q56" s="203" t="n">
        <x:f>IFERROR(L56*(1+N56),"")</x:f>
        <x:v>1504.8</x:v>
      </x:c>
      <x:c r="R56" s="205" t="n">
        <x:v>0.05</x:v>
      </x:c>
      <x:c r="S56" s="203" t="n">
        <x:f>IFERROR(Q56*(1+R56),"")</x:f>
        <x:v>1580.04</x:v>
      </x:c>
      <x:c r="T56" s="206" t="n">
        <x:v>60</x:v>
      </x:c>
      <x:c r="U56" s="206" t="n">
        <x:v>0</x:v>
      </x:c>
      <x:c r="V56" s="203" t="n">
        <x:f>IFERROR(S56+T56+U56,"")</x:f>
        <x:v>1640.04</x:v>
      </x:c>
      <x:c r="W56" s="203" t="n">
        <x:f>IFERROR(H56/(1+Anyag_Beallitasok!$B$2)*Anyag_Beallitasok!$B$9,"")</x:f>
        <x:v>1628.5714285714284</x:v>
      </x:c>
      <x:c r="X56" s="203" t="n">
        <x:f>IFERROR(V56/((1-Anyag_Beallitasok!$B$3)*(1+Anyag_Beallitasok!$B$2)),"")</x:f>
        <x:v>2402.9890109890107</x:v>
      </x:c>
      <x:c r="Y56" s="203" t="n">
        <x:f>IFERROR(V56/((1-Anyag_Beallitasok!$B$4)*(1+Anyag_Beallitasok!$B$2)),"")</x:f>
        <x:v>3123.885714285714</x:v>
      </x:c>
      <x:c r="Z56" s="203" t="n">
        <x:f>IFERROR(ROUNDUP(MAX(W56,X56)/Anyag_Beallitasok!$B$6,0)*Anyag_Beallitasok!$B$6,"")</x:f>
        <x:v>2450</x:v>
      </x:c>
      <x:c r="AA56" s="204" t="n">
        <x:f>Anyag_Beallitasok!$B$2</x:f>
        <x:v>0.05</x:v>
      </x:c>
      <x:c r="AB56" s="203" t="n">
        <x:f>IFERROR(Z56*(1+AA56),"")</x:f>
        <x:v>2572.5</x:v>
      </x:c>
      <x:c r="AC56" s="204" t="n">
        <x:f>IFERROR(1-V56/H56,"")</x:f>
        <x:v>0.040912280701754455</x:v>
      </x:c>
      <x:c r="AD56" s="204" t="n">
        <x:f>IFERROR(1-V56/AB56,"")</x:f>
        <x:v>0.3624723032069971</x:v>
      </x:c>
      <x:c r="AE56" s="19" t="str">
        <x:f>IF(AC56&lt;Anyag_Beallitasok!$B$3,"NEM ÉRI EL A 35%-OT",IF(AC56&lt;Anyag_Beallitasok!$B$4,"MINIMUM 35–49,9%",IF(AC56&lt;Anyag_Beallitasok!$B$5,"IDEÁLIS 50–59,9%","KIEMELKEDŐ ≥60%")))</x:f>
        <x:v>NEM ÉRI EL A 35%-OT</x:v>
      </x:c>
      <x:c r="AF56" s="204" t="n">
        <x:f>IFERROR(AB56/H56-1,"")</x:f>
        <x:v>0.5043859649122806</x:v>
      </x:c>
      <x:c r="AG56" s="19" t="str">
        <x:f>IF(AND(P56="IGEN",O56&gt;0),IF(AF56&gt;Anyag_Beallitasok!$B$10,"0%-OS SZÁMLA + ÖNADÓZÁS; FELÁR SZÜKSÉGES","0%-OS SZÁMLA + ÖNADÓZÁS"),IF(AF56&gt;Anyag_Beallitasok!$B$10,"FELÁR SZÜKSÉGES A 35%-HOZ",IF(AC56&lt;Anyag_Beallitasok!$B$3,"PIACI ÁRON NEM TARTHATÓ A 35%","OK")))</x:f>
        <x:v>FELÁR SZÜKSÉGES A 35%-HOZ</x:v>
      </x:c>
      <x:c r="AH56" s="207" t="n">
        <x:v>0</x:v>
      </x:c>
      <x:c r="AI56" s="207" t="n">
        <x:v>0</x:v>
      </x:c>
      <x:c r="AJ56" s="207" t="n">
        <x:v>0</x:v>
      </x:c>
      <x:c r="AK56" s="208"/>
      <x:c r="AL56" s="203" t="str">
        <x:f>IF(AK56="","",V56*AK56)</x:f>
      </x:c>
      <x:c r="AM56" s="203" t="str">
        <x:f>IF(AK56="","",AB56*AK56)</x:f>
      </x:c>
      <x:c r="AN56" s="204" t="str">
        <x:f>IFERROR(1-AL56/AM56,"")</x:f>
      </x:c>
      <x:c r="AO56" s="19" t="str">
        <x:v>https://www.leier.hu/uploads/files/Arlista-magasepites-2026-6981a1daebe63.pdf</x:v>
      </x:c>
      <x:c r="AP56" s="19" t="str">
        <x:v>Közvetlen 2026 gyártói árlista</x:v>
      </x:c>
      <x:c r="AQ56" s="19" t="str"/>
    </x:row>
    <x:row r="57">
      <x:c r="A57" s="19" t="str">
        <x:v>ANY-0056</x:v>
      </x:c>
      <x:c r="B57" s="19" t="str">
        <x:v>04 Falazás</x:v>
      </x:c>
      <x:c r="C57" s="19" t="str">
        <x:v>Falazóanyagok és kiegészítők</x:v>
      </x:c>
      <x:c r="D57" s="19" t="str">
        <x:v>Tégla / pórusbeton</x:v>
      </x:c>
      <x:c r="E57" s="19" t="str">
        <x:v>LeierFIX falazóragasztó 750 ml</x:v>
      </x:c>
      <x:c r="F57" s="19" t="str">
        <x:v>kb. 5 m²/flakon</x:v>
      </x:c>
      <x:c r="G57" s="19" t="str">
        <x:v>flakon</x:v>
      </x:c>
      <x:c r="H57" s="203" t="n">
        <x:v>5830</x:v>
      </x:c>
      <x:c r="I57" s="204" t="n">
        <x:v>0.27</x:v>
      </x:c>
      <x:c r="J57" s="203" t="n">
        <x:f>IFERROR(H57/(1+I57),"")</x:f>
        <x:v>4590.5511811023625</x:v>
      </x:c>
      <x:c r="K57" s="205" t="n">
        <x:v>0.12</x:v>
      </x:c>
      <x:c r="L57" s="203" t="n">
        <x:f>IFERROR(J57*(1-K57),"")</x:f>
        <x:v>4039.6850393700793</x:v>
      </x:c>
      <x:c r="M57" s="19" t="str">
        <x:v>27% normál belföldi</x:v>
      </x:c>
      <x:c r="N57" s="204" t="n">
        <x:v>0.27</x:v>
      </x:c>
      <x:c r="O57" s="204" t="n">
        <x:v>0</x:v>
      </x:c>
      <x:c r="P57" s="19" t="str">
        <x:v>NEM</x:v>
      </x:c>
      <x:c r="Q57" s="203" t="n">
        <x:f>IFERROR(L57*(1+N57),"")</x:f>
        <x:v>5130.400000000001</x:v>
      </x:c>
      <x:c r="R57" s="205" t="n">
        <x:v>0.05</x:v>
      </x:c>
      <x:c r="S57" s="203" t="n">
        <x:f>IFERROR(Q57*(1+R57),"")</x:f>
        <x:v>5386.920000000001</x:v>
      </x:c>
      <x:c r="T57" s="206" t="n">
        <x:v>120</x:v>
      </x:c>
      <x:c r="U57" s="206" t="n">
        <x:v>0</x:v>
      </x:c>
      <x:c r="V57" s="203" t="n">
        <x:f>IFERROR(S57+T57+U57,"")</x:f>
        <x:v>5506.920000000001</x:v>
      </x:c>
      <x:c r="W57" s="203" t="n">
        <x:f>IFERROR(H57/(1+Anyag_Beallitasok!$B$2)*Anyag_Beallitasok!$B$9,"")</x:f>
        <x:v>5552.380952380952</x:v>
      </x:c>
      <x:c r="X57" s="203" t="n">
        <x:f>IFERROR(V57/((1-Anyag_Beallitasok!$B$3)*(1+Anyag_Beallitasok!$B$2)),"")</x:f>
        <x:v>8068.747252747253</x:v>
      </x:c>
      <x:c r="Y57" s="203" t="n">
        <x:f>IFERROR(V57/((1-Anyag_Beallitasok!$B$4)*(1+Anyag_Beallitasok!$B$2)),"")</x:f>
        <x:v>10489.37142857143</x:v>
      </x:c>
      <x:c r="Z57" s="203" t="n">
        <x:f>IFERROR(ROUNDUP(MAX(W57,X57)/Anyag_Beallitasok!$B$6,0)*Anyag_Beallitasok!$B$6,"")</x:f>
        <x:v>8100</x:v>
      </x:c>
      <x:c r="AA57" s="204" t="n">
        <x:f>Anyag_Beallitasok!$B$2</x:f>
        <x:v>0.05</x:v>
      </x:c>
      <x:c r="AB57" s="203" t="n">
        <x:f>IFERROR(Z57*(1+AA57),"")</x:f>
        <x:v>8505</x:v>
      </x:c>
      <x:c r="AC57" s="204" t="n">
        <x:f>IFERROR(1-V57/H57,"")</x:f>
        <x:v>0.05541680960548867</x:v>
      </x:c>
      <x:c r="AD57" s="204" t="n">
        <x:f>IFERROR(1-V57/AB57,"")</x:f>
        <x:v>0.35250793650793644</x:v>
      </x:c>
      <x:c r="AE57" s="19" t="str">
        <x:f>IF(AC57&lt;Anyag_Beallitasok!$B$3,"NEM ÉRI EL A 35%-OT",IF(AC57&lt;Anyag_Beallitasok!$B$4,"MINIMUM 35–49,9%",IF(AC57&lt;Anyag_Beallitasok!$B$5,"IDEÁLIS 50–59,9%","KIEMELKEDŐ ≥60%")))</x:f>
        <x:v>NEM ÉRI EL A 35%-OT</x:v>
      </x:c>
      <x:c r="AF57" s="204" t="n">
        <x:f>IFERROR(AB57/H57-1,"")</x:f>
        <x:v>0.45883361921097765</x:v>
      </x:c>
      <x:c r="AG57" s="19" t="str">
        <x:f>IF(AND(P57="IGEN",O57&gt;0),IF(AF57&gt;Anyag_Beallitasok!$B$10,"0%-OS SZÁMLA + ÖNADÓZÁS; FELÁR SZÜKSÉGES","0%-OS SZÁMLA + ÖNADÓZÁS"),IF(AF57&gt;Anyag_Beallitasok!$B$10,"FELÁR SZÜKSÉGES A 35%-HOZ",IF(AC57&lt;Anyag_Beallitasok!$B$3,"PIACI ÁRON NEM TARTHATÓ A 35%","OK")))</x:f>
        <x:v>FELÁR SZÜKSÉGES A 35%-HOZ</x:v>
      </x:c>
      <x:c r="AH57" s="207" t="n">
        <x:v>0</x:v>
      </x:c>
      <x:c r="AI57" s="207" t="n">
        <x:v>0</x:v>
      </x:c>
      <x:c r="AJ57" s="207" t="n">
        <x:v>0</x:v>
      </x:c>
      <x:c r="AK57" s="208"/>
      <x:c r="AL57" s="203" t="str">
        <x:f>IF(AK57="","",V57*AK57)</x:f>
      </x:c>
      <x:c r="AM57" s="203" t="str">
        <x:f>IF(AK57="","",AB57*AK57)</x:f>
      </x:c>
      <x:c r="AN57" s="204" t="str">
        <x:f>IFERROR(1-AL57/AM57,"")</x:f>
      </x:c>
      <x:c r="AO57" s="19" t="str">
        <x:v>https://www.leier.hu/uploads/files/Arlista-magasepites-2026-6981a1daebe63.pdf</x:v>
      </x:c>
      <x:c r="AP57" s="19" t="str">
        <x:v>Közvetlen 2026 gyártói árlista</x:v>
      </x:c>
      <x:c r="AQ57" s="19" t="str"/>
    </x:row>
    <x:row r="58">
      <x:c r="A58" s="19" t="str">
        <x:v>ANY-0057</x:v>
      </x:c>
      <x:c r="B58" s="19" t="str">
        <x:v>04 Falazás</x:v>
      </x:c>
      <x:c r="C58" s="19" t="str">
        <x:v>Falazóanyagok és kiegészítők</x:v>
      </x:c>
      <x:c r="D58" s="19" t="str">
        <x:v>Tégla / pórusbeton</x:v>
      </x:c>
      <x:c r="E58" s="19" t="str">
        <x:v>Kerámia áthidaló 1,0 m</x:v>
      </x:c>
      <x:c r="F58" s="19" t="str">
        <x:v>rendszerelem</x:v>
      </x:c>
      <x:c r="G58" s="19" t="str">
        <x:v>db</x:v>
      </x:c>
      <x:c r="H58" s="203" t="n">
        <x:v>8500</x:v>
      </x:c>
      <x:c r="I58" s="204" t="n">
        <x:v>0.27</x:v>
      </x:c>
      <x:c r="J58" s="203" t="n">
        <x:f>IFERROR(H58/(1+I58),"")</x:f>
        <x:v>6692.913385826771</x:v>
      </x:c>
      <x:c r="K58" s="205" t="n">
        <x:v>0.12</x:v>
      </x:c>
      <x:c r="L58" s="203" t="n">
        <x:f>IFERROR(J58*(1-K58),"")</x:f>
        <x:v>5889.763779527559</x:v>
      </x:c>
      <x:c r="M58" s="19" t="str">
        <x:v>27% normál belföldi</x:v>
      </x:c>
      <x:c r="N58" s="204" t="n">
        <x:v>0.27</x:v>
      </x:c>
      <x:c r="O58" s="204" t="n">
        <x:v>0</x:v>
      </x:c>
      <x:c r="P58" s="19" t="str">
        <x:v>NEM</x:v>
      </x:c>
      <x:c r="Q58" s="203" t="n">
        <x:f>IFERROR(L58*(1+N58),"")</x:f>
        <x:v>7480</x:v>
      </x:c>
      <x:c r="R58" s="205" t="n">
        <x:v>0.03</x:v>
      </x:c>
      <x:c r="S58" s="203" t="n">
        <x:f>IFERROR(Q58*(1+R58),"")</x:f>
        <x:v>7704.400000000001</x:v>
      </x:c>
      <x:c r="T58" s="206" t="n">
        <x:v>400</x:v>
      </x:c>
      <x:c r="U58" s="206" t="n">
        <x:v>0</x:v>
      </x:c>
      <x:c r="V58" s="203" t="n">
        <x:f>IFERROR(S58+T58+U58,"")</x:f>
        <x:v>8104.400000000001</x:v>
      </x:c>
      <x:c r="W58" s="203" t="n">
        <x:f>IFERROR(H58/(1+Anyag_Beallitasok!$B$2)*Anyag_Beallitasok!$B$9,"")</x:f>
        <x:v>8095.2380952380945</x:v>
      </x:c>
      <x:c r="X58" s="203" t="n">
        <x:f>IFERROR(V58/((1-Anyag_Beallitasok!$B$3)*(1+Anyag_Beallitasok!$B$2)),"")</x:f>
        <x:v>11874.578754578753</x:v>
      </x:c>
      <x:c r="Y58" s="203" t="n">
        <x:f>IFERROR(V58/((1-Anyag_Beallitasok!$B$4)*(1+Anyag_Beallitasok!$B$2)),"")</x:f>
        <x:v>15436.952380952382</x:v>
      </x:c>
      <x:c r="Z58" s="203" t="n">
        <x:f>IFERROR(ROUNDUP(MAX(W58,X58)/Anyag_Beallitasok!$B$6,0)*Anyag_Beallitasok!$B$6,"")</x:f>
        <x:v>11900</x:v>
      </x:c>
      <x:c r="AA58" s="204" t="n">
        <x:f>Anyag_Beallitasok!$B$2</x:f>
        <x:v>0.05</x:v>
      </x:c>
      <x:c r="AB58" s="203" t="n">
        <x:f>IFERROR(Z58*(1+AA58),"")</x:f>
        <x:v>12495</x:v>
      </x:c>
      <x:c r="AC58" s="204" t="n">
        <x:f>IFERROR(1-V58/H58,"")</x:f>
        <x:v>0.0465411764705882</x:v>
      </x:c>
      <x:c r="AD58" s="204" t="n">
        <x:f>IFERROR(1-V58/AB58,"")</x:f>
        <x:v>0.35138855542216885</x:v>
      </x:c>
      <x:c r="AE58" s="19" t="str">
        <x:f>IF(AC58&lt;Anyag_Beallitasok!$B$3,"NEM ÉRI EL A 35%-OT",IF(AC58&lt;Anyag_Beallitasok!$B$4,"MINIMUM 35–49,9%",IF(AC58&lt;Anyag_Beallitasok!$B$5,"IDEÁLIS 50–59,9%","KIEMELKEDŐ ≥60%")))</x:f>
        <x:v>NEM ÉRI EL A 35%-OT</x:v>
      </x:c>
      <x:c r="AF58" s="204" t="n">
        <x:f>IFERROR(AB58/H58-1,"")</x:f>
        <x:v>0.47</x:v>
      </x:c>
      <x:c r="AG58" s="19" t="str">
        <x:f>IF(AND(P58="IGEN",O58&gt;0),IF(AF58&gt;Anyag_Beallitasok!$B$10,"0%-OS SZÁMLA + ÖNADÓZÁS; FELÁR SZÜKSÉGES","0%-OS SZÁMLA + ÖNADÓZÁS"),IF(AF58&gt;Anyag_Beallitasok!$B$10,"FELÁR SZÜKSÉGES A 35%-HOZ",IF(AC58&lt;Anyag_Beallitasok!$B$3,"PIACI ÁRON NEM TARTHATÓ A 35%","OK")))</x:f>
        <x:v>FELÁR SZÜKSÉGES A 35%-HOZ</x:v>
      </x:c>
      <x:c r="AH58" s="207" t="n">
        <x:v>10</x:v>
      </x:c>
      <x:c r="AI58" s="207" t="n">
        <x:v>0</x:v>
      </x:c>
      <x:c r="AJ58" s="207" t="n">
        <x:v>0</x:v>
      </x:c>
      <x:c r="AK58" s="208"/>
      <x:c r="AL58" s="203" t="str">
        <x:f>IF(AK58="","",V58*AK58)</x:f>
      </x:c>
      <x:c r="AM58" s="203" t="str">
        <x:f>IF(AK58="","",AB58*AK58)</x:f>
      </x:c>
      <x:c r="AN58" s="204" t="str">
        <x:f>IFERROR(1-AL58/AM58,"")</x:f>
      </x:c>
      <x:c r="AO58" s="19" t="str">
        <x:v>https://www.leier.hu/uploads/files/Arlista-magasepites-2026-6981a1daebe63.pdf</x:v>
      </x:c>
      <x:c r="AP58" s="19" t="str">
        <x:v>Gyártói termékcsaládból levezetett</x:v>
      </x:c>
      <x:c r="AQ58" s="19" t="str"/>
    </x:row>
    <x:row r="59">
      <x:c r="A59" s="19" t="str">
        <x:v>ANY-0058</x:v>
      </x:c>
      <x:c r="B59" s="19" t="str">
        <x:v>04 Falazás</x:v>
      </x:c>
      <x:c r="C59" s="19" t="str">
        <x:v>Falazóanyagok és kiegészítők</x:v>
      </x:c>
      <x:c r="D59" s="19" t="str">
        <x:v>Tégla / pórusbeton</x:v>
      </x:c>
      <x:c r="E59" s="19" t="str">
        <x:v>Kerámia áthidaló 1,5 m</x:v>
      </x:c>
      <x:c r="F59" s="19" t="str">
        <x:v>rendszerelem</x:v>
      </x:c>
      <x:c r="G59" s="19" t="str">
        <x:v>db</x:v>
      </x:c>
      <x:c r="H59" s="203" t="n">
        <x:v>12500</x:v>
      </x:c>
      <x:c r="I59" s="204" t="n">
        <x:v>0.27</x:v>
      </x:c>
      <x:c r="J59" s="203" t="n">
        <x:f>IFERROR(H59/(1+I59),"")</x:f>
        <x:v>9842.51968503937</x:v>
      </x:c>
      <x:c r="K59" s="205" t="n">
        <x:v>0.12</x:v>
      </x:c>
      <x:c r="L59" s="203" t="n">
        <x:f>IFERROR(J59*(1-K59),"")</x:f>
        <x:v>8661.417322834644</x:v>
      </x:c>
      <x:c r="M59" s="19" t="str">
        <x:v>27% normál belföldi</x:v>
      </x:c>
      <x:c r="N59" s="204" t="n">
        <x:v>0.27</x:v>
      </x:c>
      <x:c r="O59" s="204" t="n">
        <x:v>0</x:v>
      </x:c>
      <x:c r="P59" s="19" t="str">
        <x:v>NEM</x:v>
      </x:c>
      <x:c r="Q59" s="203" t="n">
        <x:f>IFERROR(L59*(1+N59),"")</x:f>
        <x:v>10999.999999999998</x:v>
      </x:c>
      <x:c r="R59" s="205" t="n">
        <x:v>0.03</x:v>
      </x:c>
      <x:c r="S59" s="203" t="n">
        <x:f>IFERROR(Q59*(1+R59),"")</x:f>
        <x:v>11329.999999999998</x:v>
      </x:c>
      <x:c r="T59" s="206" t="n">
        <x:v>500</x:v>
      </x:c>
      <x:c r="U59" s="206" t="n">
        <x:v>0</x:v>
      </x:c>
      <x:c r="V59" s="203" t="n">
        <x:f>IFERROR(S59+T59+U59,"")</x:f>
        <x:v>11829.999999999998</x:v>
      </x:c>
      <x:c r="W59" s="203" t="n">
        <x:f>IFERROR(H59/(1+Anyag_Beallitasok!$B$2)*Anyag_Beallitasok!$B$9,"")</x:f>
        <x:v>11904.761904761905</x:v>
      </x:c>
      <x:c r="X59" s="203" t="n">
        <x:f>IFERROR(V59/((1-Anyag_Beallitasok!$B$3)*(1+Anyag_Beallitasok!$B$2)),"")</x:f>
        <x:v>17333.33333333333</x:v>
      </x:c>
      <x:c r="Y59" s="203" t="n">
        <x:f>IFERROR(V59/((1-Anyag_Beallitasok!$B$4)*(1+Anyag_Beallitasok!$B$2)),"")</x:f>
        <x:v>22533.33333333333</x:v>
      </x:c>
      <x:c r="Z59" s="203" t="n">
        <x:f>IFERROR(ROUNDUP(MAX(W59,X59)/Anyag_Beallitasok!$B$6,0)*Anyag_Beallitasok!$B$6,"")</x:f>
        <x:v>17350</x:v>
      </x:c>
      <x:c r="AA59" s="204" t="n">
        <x:f>Anyag_Beallitasok!$B$2</x:f>
        <x:v>0.05</x:v>
      </x:c>
      <x:c r="AB59" s="203" t="n">
        <x:f>IFERROR(Z59*(1+AA59),"")</x:f>
        <x:v>18217.5</x:v>
      </x:c>
      <x:c r="AC59" s="204" t="n">
        <x:f>IFERROR(1-V59/H59,"")</x:f>
        <x:v>0.05360000000000009</x:v>
      </x:c>
      <x:c r="AD59" s="204" t="n">
        <x:f>IFERROR(1-V59/AB59,"")</x:f>
        <x:v>0.3506243996157542</x:v>
      </x:c>
      <x:c r="AE59" s="19" t="str">
        <x:f>IF(AC59&lt;Anyag_Beallitasok!$B$3,"NEM ÉRI EL A 35%-OT",IF(AC59&lt;Anyag_Beallitasok!$B$4,"MINIMUM 35–49,9%",IF(AC59&lt;Anyag_Beallitasok!$B$5,"IDEÁLIS 50–59,9%","KIEMELKEDŐ ≥60%")))</x:f>
        <x:v>NEM ÉRI EL A 35%-OT</x:v>
      </x:c>
      <x:c r="AF59" s="204" t="n">
        <x:f>IFERROR(AB59/H59-1,"")</x:f>
        <x:v>0.45740000000000003</x:v>
      </x:c>
      <x:c r="AG59" s="19" t="str">
        <x:f>IF(AND(P59="IGEN",O59&gt;0),IF(AF59&gt;Anyag_Beallitasok!$B$10,"0%-OS SZÁMLA + ÖNADÓZÁS; FELÁR SZÜKSÉGES","0%-OS SZÁMLA + ÖNADÓZÁS"),IF(AF59&gt;Anyag_Beallitasok!$B$10,"FELÁR SZÜKSÉGES A 35%-HOZ",IF(AC59&lt;Anyag_Beallitasok!$B$3,"PIACI ÁRON NEM TARTHATÓ A 35%","OK")))</x:f>
        <x:v>FELÁR SZÜKSÉGES A 35%-HOZ</x:v>
      </x:c>
      <x:c r="AH59" s="207" t="n">
        <x:v>8</x:v>
      </x:c>
      <x:c r="AI59" s="207" t="n">
        <x:v>0</x:v>
      </x:c>
      <x:c r="AJ59" s="207" t="n">
        <x:v>0</x:v>
      </x:c>
      <x:c r="AK59" s="208"/>
      <x:c r="AL59" s="203" t="str">
        <x:f>IF(AK59="","",V59*AK59)</x:f>
      </x:c>
      <x:c r="AM59" s="203" t="str">
        <x:f>IF(AK59="","",AB59*AK59)</x:f>
      </x:c>
      <x:c r="AN59" s="204" t="str">
        <x:f>IFERROR(1-AL59/AM59,"")</x:f>
      </x:c>
      <x:c r="AO59" s="19" t="str">
        <x:v>https://www.leier.hu/uploads/files/Arlista-magasepites-2026-6981a1daebe63.pdf</x:v>
      </x:c>
      <x:c r="AP59" s="19" t="str">
        <x:v>Gyártói termékcsaládból levezetett</x:v>
      </x:c>
      <x:c r="AQ59" s="19" t="str"/>
    </x:row>
    <x:row r="60">
      <x:c r="A60" s="19" t="str">
        <x:v>ANY-0059</x:v>
      </x:c>
      <x:c r="B60" s="19" t="str">
        <x:v>04 Falazás</x:v>
      </x:c>
      <x:c r="C60" s="19" t="str">
        <x:v>Falazóanyagok és kiegészítők</x:v>
      </x:c>
      <x:c r="D60" s="19" t="str">
        <x:v>Tégla / pórusbeton</x:v>
      </x:c>
      <x:c r="E60" s="19" t="str">
        <x:v>Kerámia áthidaló 2,0 m</x:v>
      </x:c>
      <x:c r="F60" s="19" t="str">
        <x:v>rendszerelem</x:v>
      </x:c>
      <x:c r="G60" s="19" t="str">
        <x:v>db</x:v>
      </x:c>
      <x:c r="H60" s="203" t="n">
        <x:v>17500</x:v>
      </x:c>
      <x:c r="I60" s="204" t="n">
        <x:v>0.27</x:v>
      </x:c>
      <x:c r="J60" s="203" t="n">
        <x:f>IFERROR(H60/(1+I60),"")</x:f>
        <x:v>13779.527559055117</x:v>
      </x:c>
      <x:c r="K60" s="205" t="n">
        <x:v>0.12</x:v>
      </x:c>
      <x:c r="L60" s="203" t="n">
        <x:f>IFERROR(J60*(1-K60),"")</x:f>
        <x:v>12125.984251968503</x:v>
      </x:c>
      <x:c r="M60" s="19" t="str">
        <x:v>27% normál belföldi</x:v>
      </x:c>
      <x:c r="N60" s="204" t="n">
        <x:v>0.27</x:v>
      </x:c>
      <x:c r="O60" s="204" t="n">
        <x:v>0</x:v>
      </x:c>
      <x:c r="P60" s="19" t="str">
        <x:v>NEM</x:v>
      </x:c>
      <x:c r="Q60" s="203" t="n">
        <x:f>IFERROR(L60*(1+N60),"")</x:f>
        <x:v>15399.999999999998</x:v>
      </x:c>
      <x:c r="R60" s="205" t="n">
        <x:v>0.03</x:v>
      </x:c>
      <x:c r="S60" s="203" t="n">
        <x:f>IFERROR(Q60*(1+R60),"")</x:f>
        <x:v>15861.999999999998</x:v>
      </x:c>
      <x:c r="T60" s="206" t="n">
        <x:v>700</x:v>
      </x:c>
      <x:c r="U60" s="206" t="n">
        <x:v>0</x:v>
      </x:c>
      <x:c r="V60" s="203" t="n">
        <x:f>IFERROR(S60+T60+U60,"")</x:f>
        <x:v>16562</x:v>
      </x:c>
      <x:c r="W60" s="203" t="n">
        <x:f>IFERROR(H60/(1+Anyag_Beallitasok!$B$2)*Anyag_Beallitasok!$B$9,"")</x:f>
        <x:v>16666.666666666664</x:v>
      </x:c>
      <x:c r="X60" s="203" t="n">
        <x:f>IFERROR(V60/((1-Anyag_Beallitasok!$B$3)*(1+Anyag_Beallitasok!$B$2)),"")</x:f>
        <x:v>24266.666666666664</x:v>
      </x:c>
      <x:c r="Y60" s="203" t="n">
        <x:f>IFERROR(V60/((1-Anyag_Beallitasok!$B$4)*(1+Anyag_Beallitasok!$B$2)),"")</x:f>
        <x:v>31546.666666666664</x:v>
      </x:c>
      <x:c r="Z60" s="203" t="n">
        <x:f>IFERROR(ROUNDUP(MAX(W60,X60)/Anyag_Beallitasok!$B$6,0)*Anyag_Beallitasok!$B$6,"")</x:f>
        <x:v>24300</x:v>
      </x:c>
      <x:c r="AA60" s="204" t="n">
        <x:f>Anyag_Beallitasok!$B$2</x:f>
        <x:v>0.05</x:v>
      </x:c>
      <x:c r="AB60" s="203" t="n">
        <x:f>IFERROR(Z60*(1+AA60),"")</x:f>
        <x:v>25515</x:v>
      </x:c>
      <x:c r="AC60" s="204" t="n">
        <x:f>IFERROR(1-V60/H60,"")</x:f>
        <x:v>0.05359999999999998</x:v>
      </x:c>
      <x:c r="AD60" s="204" t="n">
        <x:f>IFERROR(1-V60/AB60,"")</x:f>
        <x:v>0.3508916323731138</x:v>
      </x:c>
      <x:c r="AE60" s="19" t="str">
        <x:f>IF(AC60&lt;Anyag_Beallitasok!$B$3,"NEM ÉRI EL A 35%-OT",IF(AC60&lt;Anyag_Beallitasok!$B$4,"MINIMUM 35–49,9%",IF(AC60&lt;Anyag_Beallitasok!$B$5,"IDEÁLIS 50–59,9%","KIEMELKEDŐ ≥60%")))</x:f>
        <x:v>NEM ÉRI EL A 35%-OT</x:v>
      </x:c>
      <x:c r="AF60" s="204" t="n">
        <x:f>IFERROR(AB60/H60-1,"")</x:f>
        <x:v>0.45799999999999996</x:v>
      </x:c>
      <x:c r="AG60" s="19" t="str">
        <x:f>IF(AND(P60="IGEN",O60&gt;0),IF(AF60&gt;Anyag_Beallitasok!$B$10,"0%-OS SZÁMLA + ÖNADÓZÁS; FELÁR SZÜKSÉGES","0%-OS SZÁMLA + ÖNADÓZÁS"),IF(AF60&gt;Anyag_Beallitasok!$B$10,"FELÁR SZÜKSÉGES A 35%-HOZ",IF(AC60&lt;Anyag_Beallitasok!$B$3,"PIACI ÁRON NEM TARTHATÓ A 35%","OK")))</x:f>
        <x:v>FELÁR SZÜKSÉGES A 35%-HOZ</x:v>
      </x:c>
      <x:c r="AH60" s="207" t="n">
        <x:v>4</x:v>
      </x:c>
      <x:c r="AI60" s="207" t="n">
        <x:v>0</x:v>
      </x:c>
      <x:c r="AJ60" s="207" t="n">
        <x:v>0</x:v>
      </x:c>
      <x:c r="AK60" s="208"/>
      <x:c r="AL60" s="203" t="str">
        <x:f>IF(AK60="","",V60*AK60)</x:f>
      </x:c>
      <x:c r="AM60" s="203" t="str">
        <x:f>IF(AK60="","",AB60*AK60)</x:f>
      </x:c>
      <x:c r="AN60" s="204" t="str">
        <x:f>IFERROR(1-AL60/AM60,"")</x:f>
      </x:c>
      <x:c r="AO60" s="19" t="str">
        <x:v>https://www.leier.hu/uploads/files/Arlista-magasepites-2026-6981a1daebe63.pdf</x:v>
      </x:c>
      <x:c r="AP60" s="19" t="str">
        <x:v>Gyártói termékcsaládból levezetett</x:v>
      </x:c>
      <x:c r="AQ60" s="19" t="str"/>
    </x:row>
    <x:row r="61">
      <x:c r="A61" s="19" t="str">
        <x:v>ANY-0060</x:v>
      </x:c>
      <x:c r="B61" s="19" t="str">
        <x:v>04 Falazás</x:v>
      </x:c>
      <x:c r="C61" s="19" t="str">
        <x:v>Falazóanyagok és kiegészítők</x:v>
      </x:c>
      <x:c r="D61" s="19" t="str">
        <x:v>Tégla / pórusbeton</x:v>
      </x:c>
      <x:c r="E61" s="19" t="str">
        <x:v>Falazatbekötő rozsdamentes elem</x:v>
      </x:c>
      <x:c r="F61" s="19" t="str">
        <x:v>külső-belső fal csatlakozáshoz</x:v>
      </x:c>
      <x:c r="G61" s="19" t="str">
        <x:v>db</x:v>
      </x:c>
      <x:c r="H61" s="203" t="n">
        <x:v>260</x:v>
      </x:c>
      <x:c r="I61" s="204" t="n">
        <x:v>0.27</x:v>
      </x:c>
      <x:c r="J61" s="203" t="n">
        <x:f>IFERROR(H61/(1+I61),"")</x:f>
        <x:v>204.7244094488189</x:v>
      </x:c>
      <x:c r="K61" s="205" t="n">
        <x:v>0.15</x:v>
      </x:c>
      <x:c r="L61" s="203" t="n">
        <x:f>IFERROR(J61*(1-K61),"")</x:f>
        <x:v>174.01574803149606</x:v>
      </x:c>
      <x:c r="M61" s="19" t="str">
        <x:v>27% normál belföldi</x:v>
      </x:c>
      <x:c r="N61" s="204" t="n">
        <x:v>0.27</x:v>
      </x:c>
      <x:c r="O61" s="204" t="n">
        <x:v>0</x:v>
      </x:c>
      <x:c r="P61" s="19" t="str">
        <x:v>NEM</x:v>
      </x:c>
      <x:c r="Q61" s="203" t="n">
        <x:f>IFERROR(L61*(1+N61),"")</x:f>
        <x:v>221</x:v>
      </x:c>
      <x:c r="R61" s="205" t="n">
        <x:v>0.1</x:v>
      </x:c>
      <x:c r="S61" s="203" t="n">
        <x:f>IFERROR(Q61*(1+R61),"")</x:f>
        <x:v>243.10000000000002</x:v>
      </x:c>
      <x:c r="T61" s="206" t="n">
        <x:v>8</x:v>
      </x:c>
      <x:c r="U61" s="206" t="n">
        <x:v>0</x:v>
      </x:c>
      <x:c r="V61" s="203" t="n">
        <x:f>IFERROR(S61+T61+U61,"")</x:f>
        <x:v>251.10000000000002</x:v>
      </x:c>
      <x:c r="W61" s="203" t="n">
        <x:f>IFERROR(H61/(1+Anyag_Beallitasok!$B$2)*Anyag_Beallitasok!$B$9,"")</x:f>
        <x:v>247.61904761904762</x:v>
      </x:c>
      <x:c r="X61" s="203" t="n">
        <x:f>IFERROR(V61/((1-Anyag_Beallitasok!$B$3)*(1+Anyag_Beallitasok!$B$2)),"")</x:f>
        <x:v>367.9120879120879</x:v>
      </x:c>
      <x:c r="Y61" s="203" t="n">
        <x:f>IFERROR(V61/((1-Anyag_Beallitasok!$B$4)*(1+Anyag_Beallitasok!$B$2)),"")</x:f>
        <x:v>478.28571428571433</x:v>
      </x:c>
      <x:c r="Z61" s="203" t="n">
        <x:f>IFERROR(ROUNDUP(MAX(W61,X61)/Anyag_Beallitasok!$B$6,0)*Anyag_Beallitasok!$B$6,"")</x:f>
        <x:v>400</x:v>
      </x:c>
      <x:c r="AA61" s="204" t="n">
        <x:f>Anyag_Beallitasok!$B$2</x:f>
        <x:v>0.05</x:v>
      </x:c>
      <x:c r="AB61" s="203" t="n">
        <x:f>IFERROR(Z61*(1+AA61),"")</x:f>
        <x:v>420</x:v>
      </x:c>
      <x:c r="AC61" s="204" t="n">
        <x:f>IFERROR(1-V61/H61,"")</x:f>
        <x:v>0.034230769230769176</x:v>
      </x:c>
      <x:c r="AD61" s="204" t="n">
        <x:f>IFERROR(1-V61/AB61,"")</x:f>
        <x:v>0.40214285714285714</x:v>
      </x:c>
      <x:c r="AE61" s="19" t="str">
        <x:f>IF(AC61&lt;Anyag_Beallitasok!$B$3,"NEM ÉRI EL A 35%-OT",IF(AC61&lt;Anyag_Beallitasok!$B$4,"MINIMUM 35–49,9%",IF(AC61&lt;Anyag_Beallitasok!$B$5,"IDEÁLIS 50–59,9%","KIEMELKEDŐ ≥60%")))</x:f>
        <x:v>NEM ÉRI EL A 35%-OT</x:v>
      </x:c>
      <x:c r="AF61" s="204" t="n">
        <x:f>IFERROR(AB61/H61-1,"")</x:f>
        <x:v>0.6153846153846154</x:v>
      </x:c>
      <x:c r="AG61" s="19" t="str">
        <x:f>IF(AND(P61="IGEN",O61&gt;0),IF(AF61&gt;Anyag_Beallitasok!$B$10,"0%-OS SZÁMLA + ÖNADÓZÁS; FELÁR SZÜKSÉGES","0%-OS SZÁMLA + ÖNADÓZÁS"),IF(AF61&gt;Anyag_Beallitasok!$B$10,"FELÁR SZÜKSÉGES A 35%-HOZ",IF(AC61&lt;Anyag_Beallitasok!$B$3,"PIACI ÁRON NEM TARTHATÓ A 35%","OK")))</x:f>
        <x:v>FELÁR SZÜKSÉGES A 35%-HOZ</x:v>
      </x:c>
      <x:c r="AH61" s="207" t="n">
        <x:v>300</x:v>
      </x:c>
      <x:c r="AI61" s="207" t="n">
        <x:v>0</x:v>
      </x:c>
      <x:c r="AJ61" s="207" t="n">
        <x:v>0</x:v>
      </x:c>
      <x:c r="AK61" s="208"/>
      <x:c r="AL61" s="203" t="str">
        <x:f>IF(AK61="","",V61*AK61)</x:f>
      </x:c>
      <x:c r="AM61" s="203" t="str">
        <x:f>IF(AK61="","",AB61*AK61)</x:f>
      </x:c>
      <x:c r="AN61" s="204" t="str">
        <x:f>IFERROR(1-AL61/AM61,"")</x:f>
      </x:c>
      <x:c r="AO61" s="19" t="str">
        <x:v>https://www.winklertuzep.hu/arlista-web/Sz%C3%A1raz%C3%A9p%C3%ADt%C3%A9s</x:v>
      </x:c>
      <x:c r="AP61" s="19" t="str">
        <x:v>Mérnöki piaci becslés</x:v>
      </x:c>
      <x:c r="AQ61" s="19" t="str"/>
    </x:row>
    <x:row r="62">
      <x:c r="A62" s="19" t="str">
        <x:v>ANY-0061</x:v>
      </x:c>
      <x:c r="B62" s="19" t="str">
        <x:v>04 Falazás</x:v>
      </x:c>
      <x:c r="C62" s="19" t="str">
        <x:v>Falazóanyagok és kiegészítők</x:v>
      </x:c>
      <x:c r="D62" s="19" t="str">
        <x:v>Tégla / pórusbeton</x:v>
      </x:c>
      <x:c r="E62" s="19" t="str">
        <x:v>Falazóháló 50 mm</x:v>
      </x:c>
      <x:c r="F62" s="19" t="str">
        <x:v>tekercses</x:v>
      </x:c>
      <x:c r="G62" s="19" t="str">
        <x:v>fm</x:v>
      </x:c>
      <x:c r="H62" s="203" t="n">
        <x:v>220</x:v>
      </x:c>
      <x:c r="I62" s="204" t="n">
        <x:v>0.27</x:v>
      </x:c>
      <x:c r="J62" s="203" t="n">
        <x:f>IFERROR(H62/(1+I62),"")</x:f>
        <x:v>173.22834645669292</x:v>
      </x:c>
      <x:c r="K62" s="205" t="n">
        <x:v>0.15</x:v>
      </x:c>
      <x:c r="L62" s="203" t="n">
        <x:f>IFERROR(J62*(1-K62),"")</x:f>
        <x:v>147.24409448818898</x:v>
      </x:c>
      <x:c r="M62" s="19" t="str">
        <x:v>27% normál belföldi</x:v>
      </x:c>
      <x:c r="N62" s="204" t="n">
        <x:v>0.27</x:v>
      </x:c>
      <x:c r="O62" s="204" t="n">
        <x:v>0</x:v>
      </x:c>
      <x:c r="P62" s="19" t="str">
        <x:v>NEM</x:v>
      </x:c>
      <x:c r="Q62" s="203" t="n">
        <x:f>IFERROR(L62*(1+N62),"")</x:f>
        <x:v>187</x:v>
      </x:c>
      <x:c r="R62" s="205" t="n">
        <x:v>0.1</x:v>
      </x:c>
      <x:c r="S62" s="203" t="n">
        <x:f>IFERROR(Q62*(1+R62),"")</x:f>
        <x:v>205.70000000000002</x:v>
      </x:c>
      <x:c r="T62" s="206" t="n">
        <x:v>10</x:v>
      </x:c>
      <x:c r="U62" s="206" t="n">
        <x:v>0</x:v>
      </x:c>
      <x:c r="V62" s="203" t="n">
        <x:f>IFERROR(S62+T62+U62,"")</x:f>
        <x:v>215.70000000000002</x:v>
      </x:c>
      <x:c r="W62" s="203" t="n">
        <x:f>IFERROR(H62/(1+Anyag_Beallitasok!$B$2)*Anyag_Beallitasok!$B$9,"")</x:f>
        <x:v>209.52380952380952</x:v>
      </x:c>
      <x:c r="X62" s="203" t="n">
        <x:f>IFERROR(V62/((1-Anyag_Beallitasok!$B$3)*(1+Anyag_Beallitasok!$B$2)),"")</x:f>
        <x:v>316.04395604395603</x:v>
      </x:c>
      <x:c r="Y62" s="203" t="n">
        <x:f>IFERROR(V62/((1-Anyag_Beallitasok!$B$4)*(1+Anyag_Beallitasok!$B$2)),"")</x:f>
        <x:v>410.8571428571429</x:v>
      </x:c>
      <x:c r="Z62" s="203" t="n">
        <x:f>IFERROR(ROUNDUP(MAX(W62,X62)/Anyag_Beallitasok!$B$6,0)*Anyag_Beallitasok!$B$6,"")</x:f>
        <x:v>350</x:v>
      </x:c>
      <x:c r="AA62" s="204" t="n">
        <x:f>Anyag_Beallitasok!$B$2</x:f>
        <x:v>0.05</x:v>
      </x:c>
      <x:c r="AB62" s="203" t="n">
        <x:f>IFERROR(Z62*(1+AA62),"")</x:f>
        <x:v>367.5</x:v>
      </x:c>
      <x:c r="AC62" s="204" t="n">
        <x:f>IFERROR(1-V62/H62,"")</x:f>
        <x:v>0.01954545454545442</x:v>
      </x:c>
      <x:c r="AD62" s="204" t="n">
        <x:f>IFERROR(1-V62/AB62,"")</x:f>
        <x:v>0.4130612244897959</x:v>
      </x:c>
      <x:c r="AE62" s="19" t="str">
        <x:f>IF(AC62&lt;Anyag_Beallitasok!$B$3,"NEM ÉRI EL A 35%-OT",IF(AC62&lt;Anyag_Beallitasok!$B$4,"MINIMUM 35–49,9%",IF(AC62&lt;Anyag_Beallitasok!$B$5,"IDEÁLIS 50–59,9%","KIEMELKEDŐ ≥60%")))</x:f>
        <x:v>NEM ÉRI EL A 35%-OT</x:v>
      </x:c>
      <x:c r="AF62" s="204" t="n">
        <x:f>IFERROR(AB62/H62-1,"")</x:f>
        <x:v>0.6704545454545454</x:v>
      </x:c>
      <x:c r="AG62" s="19" t="str">
        <x:f>IF(AND(P62="IGEN",O62&gt;0),IF(AF62&gt;Anyag_Beallitasok!$B$10,"0%-OS SZÁMLA + ÖNADÓZÁS; FELÁR SZÜKSÉGES","0%-OS SZÁMLA + ÖNADÓZÁS"),IF(AF62&gt;Anyag_Beallitasok!$B$10,"FELÁR SZÜKSÉGES A 35%-HOZ",IF(AC62&lt;Anyag_Beallitasok!$B$3,"PIACI ÁRON NEM TARTHATÓ A 35%","OK")))</x:f>
        <x:v>FELÁR SZÜKSÉGES A 35%-HOZ</x:v>
      </x:c>
      <x:c r="AH62" s="207" t="n">
        <x:v>500</x:v>
      </x:c>
      <x:c r="AI62" s="207" t="n">
        <x:v>0</x:v>
      </x:c>
      <x:c r="AJ62" s="207" t="n">
        <x:v>0</x:v>
      </x:c>
      <x:c r="AK62" s="208"/>
      <x:c r="AL62" s="203" t="str">
        <x:f>IF(AK62="","",V62*AK62)</x:f>
      </x:c>
      <x:c r="AM62" s="203" t="str">
        <x:f>IF(AK62="","",AB62*AK62)</x:f>
      </x:c>
      <x:c r="AN62" s="204" t="str">
        <x:f>IFERROR(1-AL62/AM62,"")</x:f>
      </x:c>
      <x:c r="AO62" s="19" t="str">
        <x:v>https://www.winklertuzep.hu/arlista-web/vasak</x:v>
      </x:c>
      <x:c r="AP62" s="19" t="str">
        <x:v>Mérnöki piaci becslés</x:v>
      </x:c>
      <x:c r="AQ62" s="19" t="str"/>
    </x:row>
    <x:row r="63">
      <x:c r="A63" s="19" t="str">
        <x:v>ANY-0062</x:v>
      </x:c>
      <x:c r="B63" s="19" t="str">
        <x:v>04 Falazás</x:v>
      </x:c>
      <x:c r="C63" s="19" t="str">
        <x:v>Falazóanyagok és kiegészítők</x:v>
      </x:c>
      <x:c r="D63" s="19" t="str">
        <x:v>Tégla / pórusbeton</x:v>
      </x:c>
      <x:c r="E63" s="19" t="str">
        <x:v>Kéményrendszer komplett</x:v>
      </x:c>
      <x:c r="F63" s="19" t="str">
        <x:v>1 kürtő, 7–8 m</x:v>
      </x:c>
      <x:c r="G63" s="19" t="str">
        <x:v>rendszer</x:v>
      </x:c>
      <x:c r="H63" s="203" t="n">
        <x:v>650000</x:v>
      </x:c>
      <x:c r="I63" s="204" t="n">
        <x:v>0.27</x:v>
      </x:c>
      <x:c r="J63" s="203" t="n">
        <x:f>IFERROR(H63/(1+I63),"")</x:f>
        <x:v>511811.0236220472</x:v>
      </x:c>
      <x:c r="K63" s="205" t="n">
        <x:v>0.15</x:v>
      </x:c>
      <x:c r="L63" s="203" t="n">
        <x:f>IFERROR(J63*(1-K63),"")</x:f>
        <x:v>435039.3700787401</x:v>
      </x:c>
      <x:c r="M63" s="19" t="str">
        <x:v>27% normál belföldi</x:v>
      </x:c>
      <x:c r="N63" s="204" t="n">
        <x:v>0.27</x:v>
      </x:c>
      <x:c r="O63" s="204" t="n">
        <x:v>0</x:v>
      </x:c>
      <x:c r="P63" s="19" t="str">
        <x:v>NEM</x:v>
      </x:c>
      <x:c r="Q63" s="203" t="n">
        <x:f>IFERROR(L63*(1+N63),"")</x:f>
        <x:v>552500</x:v>
      </x:c>
      <x:c r="R63" s="205" t="n">
        <x:v>0.03</x:v>
      </x:c>
      <x:c r="S63" s="203" t="n">
        <x:f>IFERROR(Q63*(1+R63),"")</x:f>
        <x:v>569075</x:v>
      </x:c>
      <x:c r="T63" s="206" t="n">
        <x:v>25000</x:v>
      </x:c>
      <x:c r="U63" s="206" t="n">
        <x:v>0</x:v>
      </x:c>
      <x:c r="V63" s="203" t="n">
        <x:f>IFERROR(S63+T63+U63,"")</x:f>
        <x:v>594075</x:v>
      </x:c>
      <x:c r="W63" s="203" t="n">
        <x:f>IFERROR(H63/(1+Anyag_Beallitasok!$B$2)*Anyag_Beallitasok!$B$9,"")</x:f>
        <x:v>619047.619047619</x:v>
      </x:c>
      <x:c r="X63" s="203" t="n">
        <x:f>IFERROR(V63/((1-Anyag_Beallitasok!$B$3)*(1+Anyag_Beallitasok!$B$2)),"")</x:f>
        <x:v>870439.5604395603</x:v>
      </x:c>
      <x:c r="Y63" s="203" t="n">
        <x:f>IFERROR(V63/((1-Anyag_Beallitasok!$B$4)*(1+Anyag_Beallitasok!$B$2)),"")</x:f>
        <x:v>1131571.4285714286</x:v>
      </x:c>
      <x:c r="Z63" s="203" t="n">
        <x:f>IFERROR(ROUNDUP(MAX(W63,X63)/Anyag_Beallitasok!$B$6,0)*Anyag_Beallitasok!$B$6,"")</x:f>
        <x:v>870450</x:v>
      </x:c>
      <x:c r="AA63" s="204" t="n">
        <x:f>Anyag_Beallitasok!$B$2</x:f>
        <x:v>0.05</x:v>
      </x:c>
      <x:c r="AB63" s="203" t="n">
        <x:f>IFERROR(Z63*(1+AA63),"")</x:f>
        <x:v>913972.5</x:v>
      </x:c>
      <x:c r="AC63" s="204" t="n">
        <x:f>IFERROR(1-V63/H63,"")</x:f>
        <x:v>0.08603846153846151</x:v>
      </x:c>
      <x:c r="AD63" s="204" t="n">
        <x:f>IFERROR(1-V63/AB63,"")</x:f>
        <x:v>0.35000779563936557</x:v>
      </x:c>
      <x:c r="AE63" s="19" t="str">
        <x:f>IF(AC63&lt;Anyag_Beallitasok!$B$3,"NEM ÉRI EL A 35%-OT",IF(AC63&lt;Anyag_Beallitasok!$B$4,"MINIMUM 35–49,9%",IF(AC63&lt;Anyag_Beallitasok!$B$5,"IDEÁLIS 50–59,9%","KIEMELKEDŐ ≥60%")))</x:f>
        <x:v>NEM ÉRI EL A 35%-OT</x:v>
      </x:c>
      <x:c r="AF63" s="204" t="n">
        <x:f>IFERROR(AB63/H63-1,"")</x:f>
        <x:v>0.40611153846153836</x:v>
      </x:c>
      <x:c r="AG63" s="19" t="str">
        <x:f>IF(AND(P63="IGEN",O63&gt;0),IF(AF63&gt;Anyag_Beallitasok!$B$10,"0%-OS SZÁMLA + ÖNADÓZÁS; FELÁR SZÜKSÉGES","0%-OS SZÁMLA + ÖNADÓZÁS"),IF(AF63&gt;Anyag_Beallitasok!$B$10,"FELÁR SZÜKSÉGES A 35%-HOZ",IF(AC63&lt;Anyag_Beallitasok!$B$3,"PIACI ÁRON NEM TARTHATÓ A 35%","OK")))</x:f>
        <x:v>FELÁR SZÜKSÉGES A 35%-HOZ</x:v>
      </x:c>
      <x:c r="AH63" s="207" t="n">
        <x:v>1</x:v>
      </x:c>
      <x:c r="AI63" s="207" t="n">
        <x:v>1</x:v>
      </x:c>
      <x:c r="AJ63" s="207" t="n">
        <x:v>1</x:v>
      </x:c>
      <x:c r="AK63" s="208"/>
      <x:c r="AL63" s="203" t="str">
        <x:f>IF(AK63="","",V63*AK63)</x:f>
      </x:c>
      <x:c r="AM63" s="203" t="str">
        <x:f>IF(AK63="","",AB63*AK63)</x:f>
      </x:c>
      <x:c r="AN63" s="204" t="str">
        <x:f>IFERROR(1-AL63/AM63,"")</x:f>
      </x:c>
      <x:c r="AO63" s="19" t="str">
        <x:v>https://www.leier.hu/uploads/files/Arlista-magasepites-2026-6981a1daebe63.pdf</x:v>
      </x:c>
      <x:c r="AP63" s="19" t="str">
        <x:v>Projektfüggő piaci becslés</x:v>
      </x:c>
      <x:c r="AQ63" s="19" t="str">
        <x:v>Kandalló/kazán típus szerint változik.</x:v>
      </x:c>
    </x:row>
    <x:row r="64">
      <x:c r="A64" s="19" t="str">
        <x:v>ANY-0063</x:v>
      </x:c>
      <x:c r="B64" s="19" t="str">
        <x:v>05 Előregyártott beton</x:v>
      </x:c>
      <x:c r="C64" s="19" t="str">
        <x:v>Liapor / Leier rendszeranyagok</x:v>
      </x:c>
      <x:c r="D64" s="19" t="str">
        <x:v>Liapor / Leier</x:v>
      </x:c>
      <x:c r="E64" s="19" t="str">
        <x:v>Liapor külső falpanel</x:v>
      </x:c>
      <x:c r="F64" s="19" t="str">
        <x:v>gyártmányterv szerinti, felületkész</x:v>
      </x:c>
      <x:c r="G64" s="19" t="str">
        <x:v>m² fal</x:v>
      </x:c>
      <x:c r="H64" s="203" t="n">
        <x:v>72000</x:v>
      </x:c>
      <x:c r="I64" s="204" t="n">
        <x:v>0.27</x:v>
      </x:c>
      <x:c r="J64" s="203" t="n">
        <x:f>IFERROR(H64/(1+I64),"")</x:f>
        <x:v>56692.913385826774</x:v>
      </x:c>
      <x:c r="K64" s="205" t="n">
        <x:v>0.12</x:v>
      </x:c>
      <x:c r="L64" s="203" t="n">
        <x:f>IFERROR(J64*(1-K64),"")</x:f>
        <x:v>49889.76377952756</x:v>
      </x:c>
      <x:c r="M64" s="19" t="str">
        <x:v>27% normál belföldi</x:v>
      </x:c>
      <x:c r="N64" s="204" t="n">
        <x:v>0.27</x:v>
      </x:c>
      <x:c r="O64" s="204" t="n">
        <x:v>0</x:v>
      </x:c>
      <x:c r="P64" s="19" t="str">
        <x:v>NEM</x:v>
      </x:c>
      <x:c r="Q64" s="203" t="n">
        <x:f>IFERROR(L64*(1+N64),"")</x:f>
        <x:v>63360</x:v>
      </x:c>
      <x:c r="R64" s="205" t="n">
        <x:v>0.02</x:v>
      </x:c>
      <x:c r="S64" s="203" t="n">
        <x:f>IFERROR(Q64*(1+R64),"")</x:f>
        <x:v>64627.200000000004</x:v>
      </x:c>
      <x:c r="T64" s="206" t="n">
        <x:v>6500</x:v>
      </x:c>
      <x:c r="U64" s="206" t="n">
        <x:v>2000</x:v>
      </x:c>
      <x:c r="V64" s="203" t="n">
        <x:f>IFERROR(S64+T64+U64,"")</x:f>
        <x:v>73127.20000000001</x:v>
      </x:c>
      <x:c r="W64" s="203" t="n">
        <x:f>IFERROR(H64/(1+Anyag_Beallitasok!$B$2)*Anyag_Beallitasok!$B$9,"")</x:f>
        <x:v>68571.42857142857</x:v>
      </x:c>
      <x:c r="X64" s="203" t="n">
        <x:f>IFERROR(V64/((1-Anyag_Beallitasok!$B$3)*(1+Anyag_Beallitasok!$B$2)),"")</x:f>
        <x:v>107146.08058608058</x:v>
      </x:c>
      <x:c r="Y64" s="203" t="n">
        <x:f>IFERROR(V64/((1-Anyag_Beallitasok!$B$4)*(1+Anyag_Beallitasok!$B$2)),"")</x:f>
        <x:v>139289.9047619048</x:v>
      </x:c>
      <x:c r="Z64" s="203" t="n">
        <x:f>IFERROR(ROUNDUP(MAX(W64,X64)/Anyag_Beallitasok!$B$6,0)*Anyag_Beallitasok!$B$6,"")</x:f>
        <x:v>107150</x:v>
      </x:c>
      <x:c r="AA64" s="204" t="n">
        <x:f>Anyag_Beallitasok!$B$2</x:f>
        <x:v>0.05</x:v>
      </x:c>
      <x:c r="AB64" s="203" t="n">
        <x:f>IFERROR(Z64*(1+AA64),"")</x:f>
        <x:v>112507.5</x:v>
      </x:c>
      <x:c r="AC64" s="204" t="n">
        <x:f>IFERROR(1-V64/H64,"")</x:f>
        <x:v>-0.015655555555555756</x:v>
      </x:c>
      <x:c r="AD64" s="204" t="n">
        <x:f>IFERROR(1-V64/AB64,"")</x:f>
        <x:v>0.3500237761926982</x:v>
      </x:c>
      <x:c r="AE64" s="19" t="str">
        <x:f>IF(AC64&lt;Anyag_Beallitasok!$B$3,"NEM ÉRI EL A 35%-OT",IF(AC64&lt;Anyag_Beallitasok!$B$4,"MINIMUM 35–49,9%",IF(AC64&lt;Anyag_Beallitasok!$B$5,"IDEÁLIS 50–59,9%","KIEMELKEDŐ ≥60%")))</x:f>
        <x:v>NEM ÉRI EL A 35%-OT</x:v>
      </x:c>
      <x:c r="AF64" s="204" t="n">
        <x:f>IFERROR(AB64/H64-1,"")</x:f>
        <x:v>0.5626041666666666</x:v>
      </x:c>
      <x:c r="AG64" s="19" t="str">
        <x:f>IF(AND(P64="IGEN",O64&gt;0),IF(AF64&gt;Anyag_Beallitasok!$B$10,"0%-OS SZÁMLA + ÖNADÓZÁS; FELÁR SZÜKSÉGES","0%-OS SZÁMLA + ÖNADÓZÁS"),IF(AF64&gt;Anyag_Beallitasok!$B$10,"FELÁR SZÜKSÉGES A 35%-HOZ",IF(AC64&lt;Anyag_Beallitasok!$B$3,"PIACI ÁRON NEM TARTHATÓ A 35%","OK")))</x:f>
        <x:v>FELÁR SZÜKSÉGES A 35%-HOZ</x:v>
      </x:c>
      <x:c r="AH64" s="207" t="n">
        <x:v>0</x:v>
      </x:c>
      <x:c r="AI64" s="207" t="n">
        <x:v>0</x:v>
      </x:c>
      <x:c r="AJ64" s="207" t="n">
        <x:v>135</x:v>
      </x:c>
      <x:c r="AK64" s="208"/>
      <x:c r="AL64" s="203" t="str">
        <x:f>IF(AK64="","",V64*AK64)</x:f>
      </x:c>
      <x:c r="AM64" s="203" t="str">
        <x:f>IF(AK64="","",AB64*AK64)</x:f>
      </x:c>
      <x:c r="AN64" s="204" t="str">
        <x:f>IFERROR(1-AL64/AM64,"")</x:f>
      </x:c>
      <x:c r="AO64" s="19" t="str">
        <x:v>https://www.leier.hu/uploads/files/Arlista-magasepites-2026-6981a1daebe63.pdf</x:v>
      </x:c>
      <x:c r="AP64" s="19" t="str">
        <x:v>Projektár-becslés; gyártói ajánlat szükséges</x:v>
      </x:c>
      <x:c r="AQ64" s="19" t="str">
        <x:v>Nem nyilvános egységes listaár. Daru és szerelés külön.</x:v>
      </x:c>
    </x:row>
    <x:row r="65">
      <x:c r="A65" s="19" t="str">
        <x:v>ANY-0064</x:v>
      </x:c>
      <x:c r="B65" s="19" t="str">
        <x:v>05 Előregyártott beton</x:v>
      </x:c>
      <x:c r="C65" s="19" t="str">
        <x:v>Liapor / Leier rendszeranyagok</x:v>
      </x:c>
      <x:c r="D65" s="19" t="str">
        <x:v>Liapor / Leier</x:v>
      </x:c>
      <x:c r="E65" s="19" t="str">
        <x:v>Liapor belső teherhordó falpanel</x:v>
      </x:c>
      <x:c r="F65" s="19" t="str">
        <x:v>gyártmányterv szerinti</x:v>
      </x:c>
      <x:c r="G65" s="19" t="str">
        <x:v>m² fal</x:v>
      </x:c>
      <x:c r="H65" s="203" t="n">
        <x:v>62000</x:v>
      </x:c>
      <x:c r="I65" s="204" t="n">
        <x:v>0.27</x:v>
      </x:c>
      <x:c r="J65" s="203" t="n">
        <x:f>IFERROR(H65/(1+I65),"")</x:f>
        <x:v>48818.89763779527</x:v>
      </x:c>
      <x:c r="K65" s="205" t="n">
        <x:v>0.12</x:v>
      </x:c>
      <x:c r="L65" s="203" t="n">
        <x:f>IFERROR(J65*(1-K65),"")</x:f>
        <x:v>42960.62992125984</x:v>
      </x:c>
      <x:c r="M65" s="19" t="str">
        <x:v>27% normál belföldi</x:v>
      </x:c>
      <x:c r="N65" s="204" t="n">
        <x:v>0.27</x:v>
      </x:c>
      <x:c r="O65" s="204" t="n">
        <x:v>0</x:v>
      </x:c>
      <x:c r="P65" s="19" t="str">
        <x:v>NEM</x:v>
      </x:c>
      <x:c r="Q65" s="203" t="n">
        <x:f>IFERROR(L65*(1+N65),"")</x:f>
        <x:v>54559.99999999999</x:v>
      </x:c>
      <x:c r="R65" s="205" t="n">
        <x:v>0.02</x:v>
      </x:c>
      <x:c r="S65" s="203" t="n">
        <x:f>IFERROR(Q65*(1+R65),"")</x:f>
        <x:v>55651.2</x:v>
      </x:c>
      <x:c r="T65" s="206" t="n">
        <x:v>6000</x:v>
      </x:c>
      <x:c r="U65" s="206" t="n">
        <x:v>1800</x:v>
      </x:c>
      <x:c r="V65" s="203" t="n">
        <x:f>IFERROR(S65+T65+U65,"")</x:f>
        <x:v>63451.2</x:v>
      </x:c>
      <x:c r="W65" s="203" t="n">
        <x:f>IFERROR(H65/(1+Anyag_Beallitasok!$B$2)*Anyag_Beallitasok!$B$9,"")</x:f>
        <x:v>59047.619047619046</x:v>
      </x:c>
      <x:c r="X65" s="203" t="n">
        <x:f>IFERROR(V65/((1-Anyag_Beallitasok!$B$3)*(1+Anyag_Beallitasok!$B$2)),"")</x:f>
        <x:v>92968.7912087912</x:v>
      </x:c>
      <x:c r="Y65" s="203" t="n">
        <x:f>IFERROR(V65/((1-Anyag_Beallitasok!$B$4)*(1+Anyag_Beallitasok!$B$2)),"")</x:f>
        <x:v>120859.42857142857</x:v>
      </x:c>
      <x:c r="Z65" s="203" t="n">
        <x:f>IFERROR(ROUNDUP(MAX(W65,X65)/Anyag_Beallitasok!$B$6,0)*Anyag_Beallitasok!$B$6,"")</x:f>
        <x:v>93000</x:v>
      </x:c>
      <x:c r="AA65" s="204" t="n">
        <x:f>Anyag_Beallitasok!$B$2</x:f>
        <x:v>0.05</x:v>
      </x:c>
      <x:c r="AB65" s="203" t="n">
        <x:f>IFERROR(Z65*(1+AA65),"")</x:f>
        <x:v>97650</x:v>
      </x:c>
      <x:c r="AC65" s="204" t="n">
        <x:f>IFERROR(1-V65/H65,"")</x:f>
        <x:v>-0.023406451612903112</x:v>
      </x:c>
      <x:c r="AD65" s="204" t="n">
        <x:f>IFERROR(1-V65/AB65,"")</x:f>
        <x:v>0.3502181259600615</x:v>
      </x:c>
      <x:c r="AE65" s="19" t="str">
        <x:f>IF(AC65&lt;Anyag_Beallitasok!$B$3,"NEM ÉRI EL A 35%-OT",IF(AC65&lt;Anyag_Beallitasok!$B$4,"MINIMUM 35–49,9%",IF(AC65&lt;Anyag_Beallitasok!$B$5,"IDEÁLIS 50–59,9%","KIEMELKEDŐ ≥60%")))</x:f>
        <x:v>NEM ÉRI EL A 35%-OT</x:v>
      </x:c>
      <x:c r="AF65" s="204" t="n">
        <x:f>IFERROR(AB65/H65-1,"")</x:f>
        <x:v>0.575</x:v>
      </x:c>
      <x:c r="AG65" s="19" t="str">
        <x:f>IF(AND(P65="IGEN",O65&gt;0),IF(AF65&gt;Anyag_Beallitasok!$B$10,"0%-OS SZÁMLA + ÖNADÓZÁS; FELÁR SZÜKSÉGES","0%-OS SZÁMLA + ÖNADÓZÁS"),IF(AF65&gt;Anyag_Beallitasok!$B$10,"FELÁR SZÜKSÉGES A 35%-HOZ",IF(AC65&lt;Anyag_Beallitasok!$B$3,"PIACI ÁRON NEM TARTHATÓ A 35%","OK")))</x:f>
        <x:v>FELÁR SZÜKSÉGES A 35%-HOZ</x:v>
      </x:c>
      <x:c r="AH65" s="207" t="n">
        <x:v>0</x:v>
      </x:c>
      <x:c r="AI65" s="207" t="n">
        <x:v>0</x:v>
      </x:c>
      <x:c r="AJ65" s="207" t="n">
        <x:v>35</x:v>
      </x:c>
      <x:c r="AK65" s="208"/>
      <x:c r="AL65" s="203" t="str">
        <x:f>IF(AK65="","",V65*AK65)</x:f>
      </x:c>
      <x:c r="AM65" s="203" t="str">
        <x:f>IF(AK65="","",AB65*AK65)</x:f>
      </x:c>
      <x:c r="AN65" s="204" t="str">
        <x:f>IFERROR(1-AL65/AM65,"")</x:f>
      </x:c>
      <x:c r="AO65" s="19" t="str">
        <x:v>https://www.leier.hu/uploads/files/Arlista-magasepites-2026-6981a1daebe63.pdf</x:v>
      </x:c>
      <x:c r="AP65" s="19" t="str">
        <x:v>Projektár-becslés; gyártói ajánlat szükséges</x:v>
      </x:c>
      <x:c r="AQ65" s="19" t="str"/>
    </x:row>
    <x:row r="66">
      <x:c r="A66" s="19" t="str">
        <x:v>ANY-0065</x:v>
      </x:c>
      <x:c r="B66" s="19" t="str">
        <x:v>05 Előregyártott beton</x:v>
      </x:c>
      <x:c r="C66" s="19" t="str">
        <x:v>Liapor / Leier rendszeranyagok</x:v>
      </x:c>
      <x:c r="D66" s="19" t="str">
        <x:v>Liapor / Leier</x:v>
      </x:c>
      <x:c r="E66" s="19" t="str">
        <x:v>Leier kéregfal elem</x:v>
      </x:c>
      <x:c r="F66" s="19" t="str">
        <x:v>betonmag nélkül</x:v>
      </x:c>
      <x:c r="G66" s="19" t="str">
        <x:v>m² fal</x:v>
      </x:c>
      <x:c r="H66" s="203" t="n">
        <x:v>52000</x:v>
      </x:c>
      <x:c r="I66" s="204" t="n">
        <x:v>0.27</x:v>
      </x:c>
      <x:c r="J66" s="203" t="n">
        <x:f>IFERROR(H66/(1+I66),"")</x:f>
        <x:v>40944.881889763776</x:v>
      </x:c>
      <x:c r="K66" s="205" t="n">
        <x:v>0.12</x:v>
      </x:c>
      <x:c r="L66" s="203" t="n">
        <x:f>IFERROR(J66*(1-K66),"")</x:f>
        <x:v>36031.496062992126</x:v>
      </x:c>
      <x:c r="M66" s="19" t="str">
        <x:v>27% normál belföldi</x:v>
      </x:c>
      <x:c r="N66" s="204" t="n">
        <x:v>0.27</x:v>
      </x:c>
      <x:c r="O66" s="204" t="n">
        <x:v>0</x:v>
      </x:c>
      <x:c r="P66" s="19" t="str">
        <x:v>NEM</x:v>
      </x:c>
      <x:c r="Q66" s="203" t="n">
        <x:f>IFERROR(L66*(1+N66),"")</x:f>
        <x:v>45760</x:v>
      </x:c>
      <x:c r="R66" s="205" t="n">
        <x:v>0.02</x:v>
      </x:c>
      <x:c r="S66" s="203" t="n">
        <x:f>IFERROR(Q66*(1+R66),"")</x:f>
        <x:v>46675.200000000004</x:v>
      </x:c>
      <x:c r="T66" s="206" t="n">
        <x:v>6000</x:v>
      </x:c>
      <x:c r="U66" s="206" t="n">
        <x:v>1800</x:v>
      </x:c>
      <x:c r="V66" s="203" t="n">
        <x:f>IFERROR(S66+T66+U66,"")</x:f>
        <x:v>54475.200000000004</x:v>
      </x:c>
      <x:c r="W66" s="203" t="n">
        <x:f>IFERROR(H66/(1+Anyag_Beallitasok!$B$2)*Anyag_Beallitasok!$B$9,"")</x:f>
        <x:v>49523.80952380952</x:v>
      </x:c>
      <x:c r="X66" s="203" t="n">
        <x:f>IFERROR(V66/((1-Anyag_Beallitasok!$B$3)*(1+Anyag_Beallitasok!$B$2)),"")</x:f>
        <x:v>79817.14285714286</x:v>
      </x:c>
      <x:c r="Y66" s="203" t="n">
        <x:f>IFERROR(V66/((1-Anyag_Beallitasok!$B$4)*(1+Anyag_Beallitasok!$B$2)),"")</x:f>
        <x:v>103762.28571428572</x:v>
      </x:c>
      <x:c r="Z66" s="203" t="n">
        <x:f>IFERROR(ROUNDUP(MAX(W66,X66)/Anyag_Beallitasok!$B$6,0)*Anyag_Beallitasok!$B$6,"")</x:f>
        <x:v>79850</x:v>
      </x:c>
      <x:c r="AA66" s="204" t="n">
        <x:f>Anyag_Beallitasok!$B$2</x:f>
        <x:v>0.05</x:v>
      </x:c>
      <x:c r="AB66" s="203" t="n">
        <x:f>IFERROR(Z66*(1+AA66),"")</x:f>
        <x:v>83842.5</x:v>
      </x:c>
      <x:c r="AC66" s="204" t="n">
        <x:f>IFERROR(1-V66/H66,"")</x:f>
        <x:v>-0.04760000000000009</x:v>
      </x:c>
      <x:c r="AD66" s="204" t="n">
        <x:f>IFERROR(1-V66/AB66,"")</x:f>
        <x:v>0.3502674657840593</x:v>
      </x:c>
      <x:c r="AE66" s="19" t="str">
        <x:f>IF(AC66&lt;Anyag_Beallitasok!$B$3,"NEM ÉRI EL A 35%-OT",IF(AC66&lt;Anyag_Beallitasok!$B$4,"MINIMUM 35–49,9%",IF(AC66&lt;Anyag_Beallitasok!$B$5,"IDEÁLIS 50–59,9%","KIEMELKEDŐ ≥60%")))</x:f>
        <x:v>NEM ÉRI EL A 35%-OT</x:v>
      </x:c>
      <x:c r="AF66" s="204" t="n">
        <x:f>IFERROR(AB66/H66-1,"")</x:f>
        <x:v>0.6123557692307693</x:v>
      </x:c>
      <x:c r="AG66" s="19" t="str">
        <x:f>IF(AND(P66="IGEN",O66&gt;0),IF(AF66&gt;Anyag_Beallitasok!$B$10,"0%-OS SZÁMLA + ÖNADÓZÁS; FELÁR SZÜKSÉGES","0%-OS SZÁMLA + ÖNADÓZÁS"),IF(AF66&gt;Anyag_Beallitasok!$B$10,"FELÁR SZÜKSÉGES A 35%-HOZ",IF(AC66&lt;Anyag_Beallitasok!$B$3,"PIACI ÁRON NEM TARTHATÓ A 35%","OK")))</x:f>
        <x:v>FELÁR SZÜKSÉGES A 35%-HOZ</x:v>
      </x:c>
      <x:c r="AH66" s="207" t="n">
        <x:v>0</x:v>
      </x:c>
      <x:c r="AI66" s="207" t="n">
        <x:v>0</x:v>
      </x:c>
      <x:c r="AJ66" s="207" t="n">
        <x:v>0</x:v>
      </x:c>
      <x:c r="AK66" s="208"/>
      <x:c r="AL66" s="203" t="str">
        <x:f>IF(AK66="","",V66*AK66)</x:f>
      </x:c>
      <x:c r="AM66" s="203" t="str">
        <x:f>IF(AK66="","",AB66*AK66)</x:f>
      </x:c>
      <x:c r="AN66" s="204" t="str">
        <x:f>IFERROR(1-AL66/AM66,"")</x:f>
      </x:c>
      <x:c r="AO66" s="19" t="str">
        <x:v>https://www.leier.hu/uploads/files/Arlista-magasepites-2026-6981a1daebe63.pdf</x:v>
      </x:c>
      <x:c r="AP66" s="19" t="str">
        <x:v>Projektár-becslés; gyártói ajánlat szükséges</x:v>
      </x:c>
      <x:c r="AQ66" s="19" t="str"/>
    </x:row>
    <x:row r="67">
      <x:c r="A67" s="19" t="str">
        <x:v>ANY-0066</x:v>
      </x:c>
      <x:c r="B67" s="19" t="str">
        <x:v>05 Előregyártott beton</x:v>
      </x:c>
      <x:c r="C67" s="19" t="str">
        <x:v>Liapor / Leier rendszeranyagok</x:v>
      </x:c>
      <x:c r="D67" s="19" t="str">
        <x:v>Liapor / Leier</x:v>
      </x:c>
      <x:c r="E67" s="19" t="str">
        <x:v>Leier Mesterpanel födémelem</x:v>
      </x:c>
      <x:c r="F67" s="19" t="str">
        <x:v>felbeton nélkül</x:v>
      </x:c>
      <x:c r="G67" s="19" t="str">
        <x:v>m²</x:v>
      </x:c>
      <x:c r="H67" s="203" t="n">
        <x:v>31000</x:v>
      </x:c>
      <x:c r="I67" s="204" t="n">
        <x:v>0.27</x:v>
      </x:c>
      <x:c r="J67" s="203" t="n">
        <x:f>IFERROR(H67/(1+I67),"")</x:f>
        <x:v>24409.448818897636</x:v>
      </x:c>
      <x:c r="K67" s="205" t="n">
        <x:v>0.12</x:v>
      </x:c>
      <x:c r="L67" s="203" t="n">
        <x:f>IFERROR(J67*(1-K67),"")</x:f>
        <x:v>21480.31496062992</x:v>
      </x:c>
      <x:c r="M67" s="19" t="str">
        <x:v>27% normál belföldi</x:v>
      </x:c>
      <x:c r="N67" s="204" t="n">
        <x:v>0.27</x:v>
      </x:c>
      <x:c r="O67" s="204" t="n">
        <x:v>0</x:v>
      </x:c>
      <x:c r="P67" s="19" t="str">
        <x:v>NEM</x:v>
      </x:c>
      <x:c r="Q67" s="203" t="n">
        <x:f>IFERROR(L67*(1+N67),"")</x:f>
        <x:v>27279.999999999996</x:v>
      </x:c>
      <x:c r="R67" s="205" t="n">
        <x:v>0.02</x:v>
      </x:c>
      <x:c r="S67" s="203" t="n">
        <x:f>IFERROR(Q67*(1+R67),"")</x:f>
        <x:v>27825.6</x:v>
      </x:c>
      <x:c r="T67" s="206" t="n">
        <x:v>3500</x:v>
      </x:c>
      <x:c r="U67" s="206" t="n">
        <x:v>1200</x:v>
      </x:c>
      <x:c r="V67" s="203" t="n">
        <x:f>IFERROR(S67+T67+U67,"")</x:f>
        <x:v>32525.6</x:v>
      </x:c>
      <x:c r="W67" s="203" t="n">
        <x:f>IFERROR(H67/(1+Anyag_Beallitasok!$B$2)*Anyag_Beallitasok!$B$9,"")</x:f>
        <x:v>29523.809523809523</x:v>
      </x:c>
      <x:c r="X67" s="203" t="n">
        <x:f>IFERROR(V67/((1-Anyag_Beallitasok!$B$3)*(1+Anyag_Beallitasok!$B$2)),"")</x:f>
        <x:v>47656.55677655677</x:v>
      </x:c>
      <x:c r="Y67" s="203" t="n">
        <x:f>IFERROR(V67/((1-Anyag_Beallitasok!$B$4)*(1+Anyag_Beallitasok!$B$2)),"")</x:f>
        <x:v>61953.5238095238</x:v>
      </x:c>
      <x:c r="Z67" s="203" t="n">
        <x:f>IFERROR(ROUNDUP(MAX(W67,X67)/Anyag_Beallitasok!$B$6,0)*Anyag_Beallitasok!$B$6,"")</x:f>
        <x:v>47700</x:v>
      </x:c>
      <x:c r="AA67" s="204" t="n">
        <x:f>Anyag_Beallitasok!$B$2</x:f>
        <x:v>0.05</x:v>
      </x:c>
      <x:c r="AB67" s="203" t="n">
        <x:f>IFERROR(Z67*(1+AA67),"")</x:f>
        <x:v>50085</x:v>
      </x:c>
      <x:c r="AC67" s="204" t="n">
        <x:f>IFERROR(1-V67/H67,"")</x:f>
        <x:v>-0.049212903225806404</x:v>
      </x:c>
      <x:c r="AD67" s="204" t="n">
        <x:f>IFERROR(1-V67/AB67,"")</x:f>
        <x:v>0.3505919936108616</x:v>
      </x:c>
      <x:c r="AE67" s="19" t="str">
        <x:f>IF(AC67&lt;Anyag_Beallitasok!$B$3,"NEM ÉRI EL A 35%-OT",IF(AC67&lt;Anyag_Beallitasok!$B$4,"MINIMUM 35–49,9%",IF(AC67&lt;Anyag_Beallitasok!$B$5,"IDEÁLIS 50–59,9%","KIEMELKEDŐ ≥60%")))</x:f>
        <x:v>NEM ÉRI EL A 35%-OT</x:v>
      </x:c>
      <x:c r="AF67" s="204" t="n">
        <x:f>IFERROR(AB67/H67-1,"")</x:f>
        <x:v>0.6156451612903227</x:v>
      </x:c>
      <x:c r="AG67" s="19" t="str">
        <x:f>IF(AND(P67="IGEN",O67&gt;0),IF(AF67&gt;Anyag_Beallitasok!$B$10,"0%-OS SZÁMLA + ÖNADÓZÁS; FELÁR SZÜKSÉGES","0%-OS SZÁMLA + ÖNADÓZÁS"),IF(AF67&gt;Anyag_Beallitasok!$B$10,"FELÁR SZÜKSÉGES A 35%-HOZ",IF(AC67&lt;Anyag_Beallitasok!$B$3,"PIACI ÁRON NEM TARTHATÓ A 35%","OK")))</x:f>
        <x:v>FELÁR SZÜKSÉGES A 35%-HOZ</x:v>
      </x:c>
      <x:c r="AH67" s="207" t="n">
        <x:v>0</x:v>
      </x:c>
      <x:c r="AI67" s="207" t="n">
        <x:v>0</x:v>
      </x:c>
      <x:c r="AJ67" s="207" t="n">
        <x:v>145</x:v>
      </x:c>
      <x:c r="AK67" s="208"/>
      <x:c r="AL67" s="203" t="str">
        <x:f>IF(AK67="","",V67*AK67)</x:f>
      </x:c>
      <x:c r="AM67" s="203" t="str">
        <x:f>IF(AK67="","",AB67*AK67)</x:f>
      </x:c>
      <x:c r="AN67" s="204" t="str">
        <x:f>IFERROR(1-AL67/AM67,"")</x:f>
      </x:c>
      <x:c r="AO67" s="19" t="str">
        <x:v>https://www.leier.hu/uploads/files/Arlista-magasepites-2026-6981a1daebe63.pdf</x:v>
      </x:c>
      <x:c r="AP67" s="19" t="str">
        <x:v>Projektár-becslés; gyártói ajánlat szükséges</x:v>
      </x:c>
      <x:c r="AQ67" s="19" t="str"/>
    </x:row>
    <x:row r="68">
      <x:c r="A68" s="19" t="str">
        <x:v>ANY-0067</x:v>
      </x:c>
      <x:c r="B68" s="19" t="str">
        <x:v>05 Előregyártott beton</x:v>
      </x:c>
      <x:c r="C68" s="19" t="str">
        <x:v>Liapor / Leier rendszeranyagok</x:v>
      </x:c>
      <x:c r="D68" s="19" t="str">
        <x:v>Liapor / Leier</x:v>
      </x:c>
      <x:c r="E68" s="19" t="str">
        <x:v>Előregyártott vasbeton lépcső</x:v>
      </x:c>
      <x:c r="F68" s="19" t="str">
        <x:v>egykarú</x:v>
      </x:c>
      <x:c r="G68" s="19" t="str">
        <x:v>db</x:v>
      </x:c>
      <x:c r="H68" s="203" t="n">
        <x:v>950000</x:v>
      </x:c>
      <x:c r="I68" s="204" t="n">
        <x:v>0.27</x:v>
      </x:c>
      <x:c r="J68" s="203" t="n">
        <x:f>IFERROR(H68/(1+I68),"")</x:f>
        <x:v>748031.4960629921</x:v>
      </x:c>
      <x:c r="K68" s="205" t="n">
        <x:v>0.12</x:v>
      </x:c>
      <x:c r="L68" s="203" t="n">
        <x:f>IFERROR(J68*(1-K68),"")</x:f>
        <x:v>658267.7165354331</x:v>
      </x:c>
      <x:c r="M68" s="19" t="str">
        <x:v>27% normál belföldi</x:v>
      </x:c>
      <x:c r="N68" s="204" t="n">
        <x:v>0.27</x:v>
      </x:c>
      <x:c r="O68" s="204" t="n">
        <x:v>0</x:v>
      </x:c>
      <x:c r="P68" s="19" t="str">
        <x:v>NEM</x:v>
      </x:c>
      <x:c r="Q68" s="203" t="n">
        <x:f>IFERROR(L68*(1+N68),"")</x:f>
        <x:v>836000</x:v>
      </x:c>
      <x:c r="R68" s="205" t="n">
        <x:v>0.02</x:v>
      </x:c>
      <x:c r="S68" s="203" t="n">
        <x:f>IFERROR(Q68*(1+R68),"")</x:f>
        <x:v>852720</x:v>
      </x:c>
      <x:c r="T68" s="206" t="n">
        <x:v>65000</x:v>
      </x:c>
      <x:c r="U68" s="206" t="n">
        <x:v>5000</x:v>
      </x:c>
      <x:c r="V68" s="203" t="n">
        <x:f>IFERROR(S68+T68+U68,"")</x:f>
        <x:v>922720</x:v>
      </x:c>
      <x:c r="W68" s="203" t="n">
        <x:f>IFERROR(H68/(1+Anyag_Beallitasok!$B$2)*Anyag_Beallitasok!$B$9,"")</x:f>
        <x:v>904761.9047619047</x:v>
      </x:c>
      <x:c r="X68" s="203" t="n">
        <x:f>IFERROR(V68/((1-Anyag_Beallitasok!$B$3)*(1+Anyag_Beallitasok!$B$2)),"")</x:f>
        <x:v>1351970.6959706957</x:v>
      </x:c>
      <x:c r="Y68" s="203" t="n">
        <x:f>IFERROR(V68/((1-Anyag_Beallitasok!$B$4)*(1+Anyag_Beallitasok!$B$2)),"")</x:f>
        <x:v>1757561.9047619046</x:v>
      </x:c>
      <x:c r="Z68" s="203" t="n">
        <x:f>IFERROR(ROUNDUP(MAX(W68,X68)/Anyag_Beallitasok!$B$6,0)*Anyag_Beallitasok!$B$6,"")</x:f>
        <x:v>1352000</x:v>
      </x:c>
      <x:c r="AA68" s="204" t="n">
        <x:f>Anyag_Beallitasok!$B$2</x:f>
        <x:v>0.05</x:v>
      </x:c>
      <x:c r="AB68" s="203" t="n">
        <x:f>IFERROR(Z68*(1+AA68),"")</x:f>
        <x:v>1419600</x:v>
      </x:c>
      <x:c r="AC68" s="204" t="n">
        <x:f>IFERROR(1-V68/H68,"")</x:f>
        <x:v>0.02871578947368425</x:v>
      </x:c>
      <x:c r="AD68" s="204" t="n">
        <x:f>IFERROR(1-V68/AB68,"")</x:f>
        <x:v>0.350014088475627</x:v>
      </x:c>
      <x:c r="AE68" s="19" t="str">
        <x:f>IF(AC68&lt;Anyag_Beallitasok!$B$3,"NEM ÉRI EL A 35%-OT",IF(AC68&lt;Anyag_Beallitasok!$B$4,"MINIMUM 35–49,9%",IF(AC68&lt;Anyag_Beallitasok!$B$5,"IDEÁLIS 50–59,9%","KIEMELKEDŐ ≥60%")))</x:f>
        <x:v>NEM ÉRI EL A 35%-OT</x:v>
      </x:c>
      <x:c r="AF68" s="204" t="n">
        <x:f>IFERROR(AB68/H68-1,"")</x:f>
        <x:v>0.49431578947368426</x:v>
      </x:c>
      <x:c r="AG68" s="19" t="str">
        <x:f>IF(AND(P68="IGEN",O68&gt;0),IF(AF68&gt;Anyag_Beallitasok!$B$10,"0%-OS SZÁMLA + ÖNADÓZÁS; FELÁR SZÜKSÉGES","0%-OS SZÁMLA + ÖNADÓZÁS"),IF(AF68&gt;Anyag_Beallitasok!$B$10,"FELÁR SZÜKSÉGES A 35%-HOZ",IF(AC68&lt;Anyag_Beallitasok!$B$3,"PIACI ÁRON NEM TARTHATÓ A 35%","OK")))</x:f>
        <x:v>FELÁR SZÜKSÉGES A 35%-HOZ</x:v>
      </x:c>
      <x:c r="AH68" s="207" t="n">
        <x:v>0</x:v>
      </x:c>
      <x:c r="AI68" s="207" t="n">
        <x:v>0</x:v>
      </x:c>
      <x:c r="AJ68" s="207" t="n">
        <x:v>0</x:v>
      </x:c>
      <x:c r="AK68" s="208"/>
      <x:c r="AL68" s="203" t="str">
        <x:f>IF(AK68="","",V68*AK68)</x:f>
      </x:c>
      <x:c r="AM68" s="203" t="str">
        <x:f>IF(AK68="","",AB68*AK68)</x:f>
      </x:c>
      <x:c r="AN68" s="204" t="str">
        <x:f>IFERROR(1-AL68/AM68,"")</x:f>
      </x:c>
      <x:c r="AO68" s="19" t="str">
        <x:v>https://www.leier.hu/uploads/files/Arlista-magasepites-2026-6981a1daebe63.pdf</x:v>
      </x:c>
      <x:c r="AP68" s="19" t="str">
        <x:v>Projektfüggő gyártói ajánlat</x:v>
      </x:c>
      <x:c r="AQ68" s="19" t="str"/>
    </x:row>
    <x:row r="69">
      <x:c r="A69" s="19" t="str">
        <x:v>ANY-0068</x:v>
      </x:c>
      <x:c r="B69" s="19" t="str">
        <x:v>05 Előregyártott beton</x:v>
      </x:c>
      <x:c r="C69" s="19" t="str">
        <x:v>Liapor / Leier rendszeranyagok</x:v>
      </x:c>
      <x:c r="D69" s="19" t="str">
        <x:v>Liapor / Leier</x:v>
      </x:c>
      <x:c r="E69" s="19" t="str">
        <x:v>Panelhézag kiöntőhabarcs</x:v>
      </x:c>
      <x:c r="F69" s="19" t="str">
        <x:v>zsugorodáskompenzált</x:v>
      </x:c>
      <x:c r="G69" s="19" t="str">
        <x:v>25 kg zsák</x:v>
      </x:c>
      <x:c r="H69" s="203" t="n">
        <x:v>8500</x:v>
      </x:c>
      <x:c r="I69" s="204" t="n">
        <x:v>0.27</x:v>
      </x:c>
      <x:c r="J69" s="203" t="n">
        <x:f>IFERROR(H69/(1+I69),"")</x:f>
        <x:v>6692.913385826771</x:v>
      </x:c>
      <x:c r="K69" s="205" t="n">
        <x:v>0.15</x:v>
      </x:c>
      <x:c r="L69" s="203" t="n">
        <x:f>IFERROR(J69*(1-K69),"")</x:f>
        <x:v>5688.976377952756</x:v>
      </x:c>
      <x:c r="M69" s="19" t="str">
        <x:v>27% normál belföldi</x:v>
      </x:c>
      <x:c r="N69" s="204" t="n">
        <x:v>0.27</x:v>
      </x:c>
      <x:c r="O69" s="204" t="n">
        <x:v>0</x:v>
      </x:c>
      <x:c r="P69" s="19" t="str">
        <x:v>NEM</x:v>
      </x:c>
      <x:c r="Q69" s="203" t="n">
        <x:f>IFERROR(L69*(1+N69),"")</x:f>
        <x:v>7225</x:v>
      </x:c>
      <x:c r="R69" s="205" t="n">
        <x:v>0.08</x:v>
      </x:c>
      <x:c r="S69" s="203" t="n">
        <x:f>IFERROR(Q69*(1+R69),"")</x:f>
        <x:v>7803.000000000001</x:v>
      </x:c>
      <x:c r="T69" s="206" t="n">
        <x:v>150</x:v>
      </x:c>
      <x:c r="U69" s="206" t="n">
        <x:v>0</x:v>
      </x:c>
      <x:c r="V69" s="203" t="n">
        <x:f>IFERROR(S69+T69+U69,"")</x:f>
        <x:v>7953.000000000001</x:v>
      </x:c>
      <x:c r="W69" s="203" t="n">
        <x:f>IFERROR(H69/(1+Anyag_Beallitasok!$B$2)*Anyag_Beallitasok!$B$9,"")</x:f>
        <x:v>8095.2380952380945</x:v>
      </x:c>
      <x:c r="X69" s="203" t="n">
        <x:f>IFERROR(V69/((1-Anyag_Beallitasok!$B$3)*(1+Anyag_Beallitasok!$B$2)),"")</x:f>
        <x:v>11652.747252747253</x:v>
      </x:c>
      <x:c r="Y69" s="203" t="n">
        <x:f>IFERROR(V69/((1-Anyag_Beallitasok!$B$4)*(1+Anyag_Beallitasok!$B$2)),"")</x:f>
        <x:v>15148.57142857143</x:v>
      </x:c>
      <x:c r="Z69" s="203" t="n">
        <x:f>IFERROR(ROUNDUP(MAX(W69,X69)/Anyag_Beallitasok!$B$6,0)*Anyag_Beallitasok!$B$6,"")</x:f>
        <x:v>11700</x:v>
      </x:c>
      <x:c r="AA69" s="204" t="n">
        <x:f>Anyag_Beallitasok!$B$2</x:f>
        <x:v>0.05</x:v>
      </x:c>
      <x:c r="AB69" s="203" t="n">
        <x:f>IFERROR(Z69*(1+AA69),"")</x:f>
        <x:v>12285</x:v>
      </x:c>
      <x:c r="AC69" s="204" t="n">
        <x:f>IFERROR(1-V69/H69,"")</x:f>
        <x:v>0.0643529411764705</x:v>
      </x:c>
      <x:c r="AD69" s="204" t="n">
        <x:f>IFERROR(1-V69/AB69,"")</x:f>
        <x:v>0.3526251526251526</x:v>
      </x:c>
      <x:c r="AE69" s="19" t="str">
        <x:f>IF(AC69&lt;Anyag_Beallitasok!$B$3,"NEM ÉRI EL A 35%-OT",IF(AC69&lt;Anyag_Beallitasok!$B$4,"MINIMUM 35–49,9%",IF(AC69&lt;Anyag_Beallitasok!$B$5,"IDEÁLIS 50–59,9%","KIEMELKEDŐ ≥60%")))</x:f>
        <x:v>NEM ÉRI EL A 35%-OT</x:v>
      </x:c>
      <x:c r="AF69" s="204" t="n">
        <x:f>IFERROR(AB69/H69-1,"")</x:f>
        <x:v>0.44529411764705884</x:v>
      </x:c>
      <x:c r="AG69" s="19" t="str">
        <x:f>IF(AND(P69="IGEN",O69&gt;0),IF(AF69&gt;Anyag_Beallitasok!$B$10,"0%-OS SZÁMLA + ÖNADÓZÁS; FELÁR SZÜKSÉGES","0%-OS SZÁMLA + ÖNADÓZÁS"),IF(AF69&gt;Anyag_Beallitasok!$B$10,"FELÁR SZÜKSÉGES A 35%-HOZ",IF(AC69&lt;Anyag_Beallitasok!$B$3,"PIACI ÁRON NEM TARTHATÓ A 35%","OK")))</x:f>
        <x:v>FELÁR SZÜKSÉGES A 35%-HOZ</x:v>
      </x:c>
      <x:c r="AH69" s="207" t="n">
        <x:v>0</x:v>
      </x:c>
      <x:c r="AI69" s="207" t="n">
        <x:v>0</x:v>
      </x:c>
      <x:c r="AJ69" s="207" t="n">
        <x:v>80</x:v>
      </x:c>
      <x:c r="AK69" s="208"/>
      <x:c r="AL69" s="203" t="str">
        <x:f>IF(AK69="","",V69*AK69)</x:f>
      </x:c>
      <x:c r="AM69" s="203" t="str">
        <x:f>IF(AK69="","",AB69*AK69)</x:f>
      </x:c>
      <x:c r="AN69" s="204" t="str">
        <x:f>IFERROR(1-AL69/AM69,"")</x:f>
      </x:c>
      <x:c r="AO69" s="19" t="str">
        <x:v>https://www.winklertuzep.hu/arlista-web/porterm%C3%A9kek</x:v>
      </x:c>
      <x:c r="AP69" s="19" t="str">
        <x:v>Mérnöki piaci becslés</x:v>
      </x:c>
      <x:c r="AQ69" s="19" t="str"/>
    </x:row>
    <x:row r="70">
      <x:c r="A70" s="19" t="str">
        <x:v>ANY-0069</x:v>
      </x:c>
      <x:c r="B70" s="19" t="str">
        <x:v>05 Előregyártott beton</x:v>
      </x:c>
      <x:c r="C70" s="19" t="str">
        <x:v>Liapor / Leier rendszeranyagok</x:v>
      </x:c>
      <x:c r="D70" s="19" t="str">
        <x:v>Liapor / Leier</x:v>
      </x:c>
      <x:c r="E70" s="19" t="str">
        <x:v>Panelcsatlakozó tömítőszalag</x:v>
      </x:c>
      <x:c r="F70" s="19" t="str">
        <x:v>duzzadó / EPDM</x:v>
      </x:c>
      <x:c r="G70" s="19" t="str">
        <x:v>fm</x:v>
      </x:c>
      <x:c r="H70" s="203" t="n">
        <x:v>1200</x:v>
      </x:c>
      <x:c r="I70" s="204" t="n">
        <x:v>0.27</x:v>
      </x:c>
      <x:c r="J70" s="203" t="n">
        <x:f>IFERROR(H70/(1+I70),"")</x:f>
        <x:v>944.8818897637796</x:v>
      </x:c>
      <x:c r="K70" s="205" t="n">
        <x:v>0.18</x:v>
      </x:c>
      <x:c r="L70" s="203" t="n">
        <x:f>IFERROR(J70*(1-K70),"")</x:f>
        <x:v>774.8031496062993</x:v>
      </x:c>
      <x:c r="M70" s="19" t="str">
        <x:v>27% normál belföldi</x:v>
      </x:c>
      <x:c r="N70" s="204" t="n">
        <x:v>0.27</x:v>
      </x:c>
      <x:c r="O70" s="204" t="n">
        <x:v>0</x:v>
      </x:c>
      <x:c r="P70" s="19" t="str">
        <x:v>NEM</x:v>
      </x:c>
      <x:c r="Q70" s="203" t="n">
        <x:f>IFERROR(L70*(1+N70),"")</x:f>
        <x:v>984.0000000000001</x:v>
      </x:c>
      <x:c r="R70" s="205" t="n">
        <x:v>0.1</x:v>
      </x:c>
      <x:c r="S70" s="203" t="n">
        <x:f>IFERROR(Q70*(1+R70),"")</x:f>
        <x:v>1082.4000000000003</x:v>
      </x:c>
      <x:c r="T70" s="206" t="n">
        <x:v>30</x:v>
      </x:c>
      <x:c r="U70" s="206" t="n">
        <x:v>0</x:v>
      </x:c>
      <x:c r="V70" s="203" t="n">
        <x:f>IFERROR(S70+T70+U70,"")</x:f>
        <x:v>1112.4000000000003</x:v>
      </x:c>
      <x:c r="W70" s="203" t="n">
        <x:f>IFERROR(H70/(1+Anyag_Beallitasok!$B$2)*Anyag_Beallitasok!$B$9,"")</x:f>
        <x:v>1142.857142857143</x:v>
      </x:c>
      <x:c r="X70" s="203" t="n">
        <x:f>IFERROR(V70/((1-Anyag_Beallitasok!$B$3)*(1+Anyag_Beallitasok!$B$2)),"")</x:f>
        <x:v>1629.8901098901101</x:v>
      </x:c>
      <x:c r="Y70" s="203" t="n">
        <x:f>IFERROR(V70/((1-Anyag_Beallitasok!$B$4)*(1+Anyag_Beallitasok!$B$2)),"")</x:f>
        <x:v>2118.8571428571436</x:v>
      </x:c>
      <x:c r="Z70" s="203" t="n">
        <x:f>IFERROR(ROUNDUP(MAX(W70,X70)/Anyag_Beallitasok!$B$6,0)*Anyag_Beallitasok!$B$6,"")</x:f>
        <x:v>1650</x:v>
      </x:c>
      <x:c r="AA70" s="204" t="n">
        <x:f>Anyag_Beallitasok!$B$2</x:f>
        <x:v>0.05</x:v>
      </x:c>
      <x:c r="AB70" s="203" t="n">
        <x:f>IFERROR(Z70*(1+AA70),"")</x:f>
        <x:v>1732.5</x:v>
      </x:c>
      <x:c r="AC70" s="204" t="n">
        <x:f>IFERROR(1-V70/H70,"")</x:f>
        <x:v>0.07299999999999973</x:v>
      </x:c>
      <x:c r="AD70" s="204" t="n">
        <x:f>IFERROR(1-V70/AB70,"")</x:f>
        <x:v>0.35792207792207775</x:v>
      </x:c>
      <x:c r="AE70" s="19" t="str">
        <x:f>IF(AC70&lt;Anyag_Beallitasok!$B$3,"NEM ÉRI EL A 35%-OT",IF(AC70&lt;Anyag_Beallitasok!$B$4,"MINIMUM 35–49,9%",IF(AC70&lt;Anyag_Beallitasok!$B$5,"IDEÁLIS 50–59,9%","KIEMELKEDŐ ≥60%")))</x:f>
        <x:v>NEM ÉRI EL A 35%-OT</x:v>
      </x:c>
      <x:c r="AF70" s="204" t="n">
        <x:f>IFERROR(AB70/H70-1,"")</x:f>
        <x:v>0.4437500000000001</x:v>
      </x:c>
      <x:c r="AG70" s="19" t="str">
        <x:f>IF(AND(P70="IGEN",O70&gt;0),IF(AF70&gt;Anyag_Beallitasok!$B$10,"0%-OS SZÁMLA + ÖNADÓZÁS; FELÁR SZÜKSÉGES","0%-OS SZÁMLA + ÖNADÓZÁS"),IF(AF70&gt;Anyag_Beallitasok!$B$10,"FELÁR SZÜKSÉGES A 35%-HOZ",IF(AC70&lt;Anyag_Beallitasok!$B$3,"PIACI ÁRON NEM TARTHATÓ A 35%","OK")))</x:f>
        <x:v>FELÁR SZÜKSÉGES A 35%-HOZ</x:v>
      </x:c>
      <x:c r="AH70" s="207" t="n">
        <x:v>0</x:v>
      </x:c>
      <x:c r="AI70" s="207" t="n">
        <x:v>0</x:v>
      </x:c>
      <x:c r="AJ70" s="207" t="n">
        <x:v>450</x:v>
      </x:c>
      <x:c r="AK70" s="208"/>
      <x:c r="AL70" s="203" t="str">
        <x:f>IF(AK70="","",V70*AK70)</x:f>
      </x:c>
      <x:c r="AM70" s="203" t="str">
        <x:f>IF(AK70="","",AB70*AK70)</x:f>
      </x:c>
      <x:c r="AN70" s="204" t="str">
        <x:f>IFERROR(1-AL70/AM70,"")</x:f>
      </x:c>
      <x:c r="AO70" s="19" t="str">
        <x:v>https://www.winklertuzep.hu/arlista-web/Sz%C3%A1raz%C3%A9p%C3%ADt%C3%A9s</x:v>
      </x:c>
      <x:c r="AP70" s="19" t="str">
        <x:v>Mérnöki piaci becslés</x:v>
      </x:c>
      <x:c r="AQ70" s="19" t="str"/>
    </x:row>
    <x:row r="71">
      <x:c r="A71" s="19" t="str">
        <x:v>ANY-0070</x:v>
      </x:c>
      <x:c r="B71" s="19" t="str">
        <x:v>05 Előregyártott beton</x:v>
      </x:c>
      <x:c r="C71" s="19" t="str">
        <x:v>Liapor / Leier rendszeranyagok</x:v>
      </x:c>
      <x:c r="D71" s="19" t="str">
        <x:v>Liapor / Leier</x:v>
      </x:c>
      <x:c r="E71" s="19" t="str">
        <x:v>Légzáró panelcsatlakozó szalag</x:v>
      </x:c>
      <x:c r="F71" s="19" t="str">
        <x:v>belső oldali</x:v>
      </x:c>
      <x:c r="G71" s="19" t="str">
        <x:v>fm</x:v>
      </x:c>
      <x:c r="H71" s="203" t="n">
        <x:v>1500</x:v>
      </x:c>
      <x:c r="I71" s="204" t="n">
        <x:v>0.27</x:v>
      </x:c>
      <x:c r="J71" s="203" t="n">
        <x:f>IFERROR(H71/(1+I71),"")</x:f>
        <x:v>1181.1023622047244</x:v>
      </x:c>
      <x:c r="K71" s="205" t="n">
        <x:v>0.18</x:v>
      </x:c>
      <x:c r="L71" s="203" t="n">
        <x:f>IFERROR(J71*(1-K71),"")</x:f>
        <x:v>968.503937007874</x:v>
      </x:c>
      <x:c r="M71" s="19" t="str">
        <x:v>27% normál belföldi</x:v>
      </x:c>
      <x:c r="N71" s="204" t="n">
        <x:v>0.27</x:v>
      </x:c>
      <x:c r="O71" s="204" t="n">
        <x:v>0</x:v>
      </x:c>
      <x:c r="P71" s="19" t="str">
        <x:v>NEM</x:v>
      </x:c>
      <x:c r="Q71" s="203" t="n">
        <x:f>IFERROR(L71*(1+N71),"")</x:f>
        <x:v>1230</x:v>
      </x:c>
      <x:c r="R71" s="205" t="n">
        <x:v>0.1</x:v>
      </x:c>
      <x:c r="S71" s="203" t="n">
        <x:f>IFERROR(Q71*(1+R71),"")</x:f>
        <x:v>1353</x:v>
      </x:c>
      <x:c r="T71" s="206" t="n">
        <x:v>35</x:v>
      </x:c>
      <x:c r="U71" s="206" t="n">
        <x:v>0</x:v>
      </x:c>
      <x:c r="V71" s="203" t="n">
        <x:f>IFERROR(S71+T71+U71,"")</x:f>
        <x:v>1388</x:v>
      </x:c>
      <x:c r="W71" s="203" t="n">
        <x:f>IFERROR(H71/(1+Anyag_Beallitasok!$B$2)*Anyag_Beallitasok!$B$9,"")</x:f>
        <x:v>1428.5714285714284</x:v>
      </x:c>
      <x:c r="X71" s="203" t="n">
        <x:f>IFERROR(V71/((1-Anyag_Beallitasok!$B$3)*(1+Anyag_Beallitasok!$B$2)),"")</x:f>
        <x:v>2033.6996336996333</x:v>
      </x:c>
      <x:c r="Y71" s="203" t="n">
        <x:f>IFERROR(V71/((1-Anyag_Beallitasok!$B$4)*(1+Anyag_Beallitasok!$B$2)),"")</x:f>
        <x:v>2643.809523809524</x:v>
      </x:c>
      <x:c r="Z71" s="203" t="n">
        <x:f>IFERROR(ROUNDUP(MAX(W71,X71)/Anyag_Beallitasok!$B$6,0)*Anyag_Beallitasok!$B$6,"")</x:f>
        <x:v>2050</x:v>
      </x:c>
      <x:c r="AA71" s="204" t="n">
        <x:f>Anyag_Beallitasok!$B$2</x:f>
        <x:v>0.05</x:v>
      </x:c>
      <x:c r="AB71" s="203" t="n">
        <x:f>IFERROR(Z71*(1+AA71),"")</x:f>
        <x:v>2152.5</x:v>
      </x:c>
      <x:c r="AC71" s="204" t="n">
        <x:f>IFERROR(1-V71/H71,"")</x:f>
        <x:v>0.07466666666666666</x:v>
      </x:c>
      <x:c r="AD71" s="204" t="n">
        <x:f>IFERROR(1-V71/AB71,"")</x:f>
        <x:v>0.35516840882694545</x:v>
      </x:c>
      <x:c r="AE71" s="19" t="str">
        <x:f>IF(AC71&lt;Anyag_Beallitasok!$B$3,"NEM ÉRI EL A 35%-OT",IF(AC71&lt;Anyag_Beallitasok!$B$4,"MINIMUM 35–49,9%",IF(AC71&lt;Anyag_Beallitasok!$B$5,"IDEÁLIS 50–59,9%","KIEMELKEDŐ ≥60%")))</x:f>
        <x:v>NEM ÉRI EL A 35%-OT</x:v>
      </x:c>
      <x:c r="AF71" s="204" t="n">
        <x:f>IFERROR(AB71/H71-1,"")</x:f>
        <x:v>0.43500000000000005</x:v>
      </x:c>
      <x:c r="AG71" s="19" t="str">
        <x:f>IF(AND(P71="IGEN",O71&gt;0),IF(AF71&gt;Anyag_Beallitasok!$B$10,"0%-OS SZÁMLA + ÖNADÓZÁS; FELÁR SZÜKSÉGES","0%-OS SZÁMLA + ÖNADÓZÁS"),IF(AF71&gt;Anyag_Beallitasok!$B$10,"FELÁR SZÜKSÉGES A 35%-HOZ",IF(AC71&lt;Anyag_Beallitasok!$B$3,"PIACI ÁRON NEM TARTHATÓ A 35%","OK")))</x:f>
        <x:v>FELÁR SZÜKSÉGES A 35%-HOZ</x:v>
      </x:c>
      <x:c r="AH71" s="207" t="n">
        <x:v>0</x:v>
      </x:c>
      <x:c r="AI71" s="207" t="n">
        <x:v>0</x:v>
      </x:c>
      <x:c r="AJ71" s="207" t="n">
        <x:v>350</x:v>
      </x:c>
      <x:c r="AK71" s="208"/>
      <x:c r="AL71" s="203" t="str">
        <x:f>IF(AK71="","",V71*AK71)</x:f>
      </x:c>
      <x:c r="AM71" s="203" t="str">
        <x:f>IF(AK71="","",AB71*AK71)</x:f>
      </x:c>
      <x:c r="AN71" s="204" t="str">
        <x:f>IFERROR(1-AL71/AM71,"")</x:f>
      </x:c>
      <x:c r="AO71" s="19" t="str">
        <x:v>https://www.winklertuzep.hu/arlista-web/Sz%C3%A1raz%C3%A9p%C3%ADt%C3%A9s</x:v>
      </x:c>
      <x:c r="AP71" s="19" t="str">
        <x:v>Mérnöki piaci becslés</x:v>
      </x:c>
      <x:c r="AQ71" s="19" t="str"/>
    </x:row>
    <x:row r="72">
      <x:c r="A72" s="19" t="str">
        <x:v>ANY-0071</x:v>
      </x:c>
      <x:c r="B72" s="19" t="str">
        <x:v>05 Előregyártott beton</x:v>
      </x:c>
      <x:c r="C72" s="19" t="str">
        <x:v>Liapor / Leier rendszeranyagok</x:v>
      </x:c>
      <x:c r="D72" s="19" t="str">
        <x:v>Liapor / Leier</x:v>
      </x:c>
      <x:c r="E72" s="19" t="str">
        <x:v>Paneltámasz bérlet</x:v>
      </x:c>
      <x:c r="F72" s="19" t="str">
        <x:v>állítható</x:v>
      </x:c>
      <x:c r="G72" s="19" t="str">
        <x:v>db/nap</x:v>
      </x:c>
      <x:c r="H72" s="203" t="n">
        <x:v>350</x:v>
      </x:c>
      <x:c r="I72" s="204" t="n">
        <x:v>0.27</x:v>
      </x:c>
      <x:c r="J72" s="203" t="n">
        <x:f>IFERROR(H72/(1+I72),"")</x:f>
        <x:v>275.59055118110234</x:v>
      </x:c>
      <x:c r="K72" s="205" t="n">
        <x:v>0.15</x:v>
      </x:c>
      <x:c r="L72" s="203" t="n">
        <x:f>IFERROR(J72*(1-K72),"")</x:f>
        <x:v>234.25196850393698</x:v>
      </x:c>
      <x:c r="M72" s="19" t="str">
        <x:v>27% normál belföldi</x:v>
      </x:c>
      <x:c r="N72" s="204" t="n">
        <x:v>0.27</x:v>
      </x:c>
      <x:c r="O72" s="204" t="n">
        <x:v>0</x:v>
      </x:c>
      <x:c r="P72" s="19" t="str">
        <x:v>NEM</x:v>
      </x:c>
      <x:c r="Q72" s="203" t="n">
        <x:f>IFERROR(L72*(1+N72),"")</x:f>
        <x:v>297.49999999999994</x:v>
      </x:c>
      <x:c r="R72" s="205" t="n">
        <x:v>0</x:v>
      </x:c>
      <x:c r="S72" s="203" t="n">
        <x:f>IFERROR(Q72*(1+R72),"")</x:f>
        <x:v>297.49999999999994</x:v>
      </x:c>
      <x:c r="T72" s="206" t="n">
        <x:v>20</x:v>
      </x:c>
      <x:c r="U72" s="206" t="n">
        <x:v>0</x:v>
      </x:c>
      <x:c r="V72" s="203" t="n">
        <x:f>IFERROR(S72+T72+U72,"")</x:f>
        <x:v>317.49999999999994</x:v>
      </x:c>
      <x:c r="W72" s="203" t="n">
        <x:f>IFERROR(H72/(1+Anyag_Beallitasok!$B$2)*Anyag_Beallitasok!$B$9,"")</x:f>
        <x:v>333.3333333333333</x:v>
      </x:c>
      <x:c r="X72" s="203" t="n">
        <x:f>IFERROR(V72/((1-Anyag_Beallitasok!$B$3)*(1+Anyag_Beallitasok!$B$2)),"")</x:f>
        <x:v>465.20146520146506</x:v>
      </x:c>
      <x:c r="Y72" s="203" t="n">
        <x:f>IFERROR(V72/((1-Anyag_Beallitasok!$B$4)*(1+Anyag_Beallitasok!$B$2)),"")</x:f>
        <x:v>604.7619047619046</x:v>
      </x:c>
      <x:c r="Z72" s="203" t="n">
        <x:f>IFERROR(ROUNDUP(MAX(W72,X72)/Anyag_Beallitasok!$B$6,0)*Anyag_Beallitasok!$B$6,"")</x:f>
        <x:v>500</x:v>
      </x:c>
      <x:c r="AA72" s="204" t="n">
        <x:f>Anyag_Beallitasok!$B$2</x:f>
        <x:v>0.05</x:v>
      </x:c>
      <x:c r="AB72" s="203" t="n">
        <x:f>IFERROR(Z72*(1+AA72),"")</x:f>
        <x:v>525</x:v>
      </x:c>
      <x:c r="AC72" s="204" t="n">
        <x:f>IFERROR(1-V72/H72,"")</x:f>
        <x:v>0.09285714285714297</x:v>
      </x:c>
      <x:c r="AD72" s="204" t="n">
        <x:f>IFERROR(1-V72/AB72,"")</x:f>
        <x:v>0.3952380952380954</x:v>
      </x:c>
      <x:c r="AE72" s="19" t="str">
        <x:f>IF(AC72&lt;Anyag_Beallitasok!$B$3,"NEM ÉRI EL A 35%-OT",IF(AC72&lt;Anyag_Beallitasok!$B$4,"MINIMUM 35–49,9%",IF(AC72&lt;Anyag_Beallitasok!$B$5,"IDEÁLIS 50–59,9%","KIEMELKEDŐ ≥60%")))</x:f>
        <x:v>NEM ÉRI EL A 35%-OT</x:v>
      </x:c>
      <x:c r="AF72" s="204" t="n">
        <x:f>IFERROR(AB72/H72-1,"")</x:f>
        <x:v>0.5</x:v>
      </x:c>
      <x:c r="AG72" s="19" t="str">
        <x:f>IF(AND(P72="IGEN",O72&gt;0),IF(AF72&gt;Anyag_Beallitasok!$B$10,"0%-OS SZÁMLA + ÖNADÓZÁS; FELÁR SZÜKSÉGES","0%-OS SZÁMLA + ÖNADÓZÁS"),IF(AF72&gt;Anyag_Beallitasok!$B$10,"FELÁR SZÜKSÉGES A 35%-HOZ",IF(AC72&lt;Anyag_Beallitasok!$B$3,"PIACI ÁRON NEM TARTHATÓ A 35%","OK")))</x:f>
        <x:v>FELÁR SZÜKSÉGES A 35%-HOZ</x:v>
      </x:c>
      <x:c r="AH72" s="207" t="n">
        <x:v>0</x:v>
      </x:c>
      <x:c r="AI72" s="207" t="n">
        <x:v>0</x:v>
      </x:c>
      <x:c r="AJ72" s="207" t="n">
        <x:v>1200</x:v>
      </x:c>
      <x:c r="AK72" s="208"/>
      <x:c r="AL72" s="203" t="str">
        <x:f>IF(AK72="","",V72*AK72)</x:f>
      </x:c>
      <x:c r="AM72" s="203" t="str">
        <x:f>IF(AK72="","",AB72*AK72)</x:f>
      </x:c>
      <x:c r="AN72" s="204" t="str">
        <x:f>IFERROR(1-AL72/AM72,"")</x:f>
      </x:c>
      <x:c r="AO72" s="19" t="str">
        <x:v>https://www.gladiator-gepkolcsonzo.hu/</x:v>
      </x:c>
      <x:c r="AP72" s="19" t="str">
        <x:v>Mérnöki piaci becslés</x:v>
      </x:c>
      <x:c r="AQ72" s="19" t="str"/>
    </x:row>
    <x:row r="73">
      <x:c r="A73" s="19" t="str">
        <x:v>ANY-0072</x:v>
      </x:c>
      <x:c r="B73" s="19" t="str">
        <x:v>05 Előregyártott beton</x:v>
      </x:c>
      <x:c r="C73" s="19" t="str">
        <x:v>Liapor / Leier rendszeranyagok</x:v>
      </x:c>
      <x:c r="D73" s="19" t="str">
        <x:v>Liapor / Leier</x:v>
      </x:c>
      <x:c r="E73" s="19" t="str">
        <x:v>Emelőhurok / beemelő szerelvény</x:v>
      </x:c>
      <x:c r="F73" s="19" t="str">
        <x:v>gyártói rendszer</x:v>
      </x:c>
      <x:c r="G73" s="19" t="str">
        <x:v>db</x:v>
      </x:c>
      <x:c r="H73" s="203" t="n">
        <x:v>9500</x:v>
      </x:c>
      <x:c r="I73" s="204" t="n">
        <x:v>0.27</x:v>
      </x:c>
      <x:c r="J73" s="203" t="n">
        <x:f>IFERROR(H73/(1+I73),"")</x:f>
        <x:v>7480.314960629921</x:v>
      </x:c>
      <x:c r="K73" s="205" t="n">
        <x:v>0.1</x:v>
      </x:c>
      <x:c r="L73" s="203" t="n">
        <x:f>IFERROR(J73*(1-K73),"")</x:f>
        <x:v>6732.283464566929</x:v>
      </x:c>
      <x:c r="M73" s="19" t="str">
        <x:v>27% normál belföldi</x:v>
      </x:c>
      <x:c r="N73" s="204" t="n">
        <x:v>0.27</x:v>
      </x:c>
      <x:c r="O73" s="204" t="n">
        <x:v>0</x:v>
      </x:c>
      <x:c r="P73" s="19" t="str">
        <x:v>NEM</x:v>
      </x:c>
      <x:c r="Q73" s="203" t="n">
        <x:f>IFERROR(L73*(1+N73),"")</x:f>
        <x:v>8550</x:v>
      </x:c>
      <x:c r="R73" s="205" t="n">
        <x:v>0.02</x:v>
      </x:c>
      <x:c r="S73" s="203" t="n">
        <x:f>IFERROR(Q73*(1+R73),"")</x:f>
        <x:v>8721</x:v>
      </x:c>
      <x:c r="T73" s="206" t="n">
        <x:v>200</x:v>
      </x:c>
      <x:c r="U73" s="206" t="n">
        <x:v>0</x:v>
      </x:c>
      <x:c r="V73" s="203" t="n">
        <x:f>IFERROR(S73+T73+U73,"")</x:f>
        <x:v>8921</x:v>
      </x:c>
      <x:c r="W73" s="203" t="n">
        <x:f>IFERROR(H73/(1+Anyag_Beallitasok!$B$2)*Anyag_Beallitasok!$B$9,"")</x:f>
        <x:v>9047.619047619048</x:v>
      </x:c>
      <x:c r="X73" s="203" t="n">
        <x:f>IFERROR(V73/((1-Anyag_Beallitasok!$B$3)*(1+Anyag_Beallitasok!$B$2)),"")</x:f>
        <x:v>13071.062271062268</x:v>
      </x:c>
      <x:c r="Y73" s="203" t="n">
        <x:f>IFERROR(V73/((1-Anyag_Beallitasok!$B$4)*(1+Anyag_Beallitasok!$B$2)),"")</x:f>
        <x:v>16992.38095238095</x:v>
      </x:c>
      <x:c r="Z73" s="203" t="n">
        <x:f>IFERROR(ROUNDUP(MAX(W73,X73)/Anyag_Beallitasok!$B$6,0)*Anyag_Beallitasok!$B$6,"")</x:f>
        <x:v>13100</x:v>
      </x:c>
      <x:c r="AA73" s="204" t="n">
        <x:f>Anyag_Beallitasok!$B$2</x:f>
        <x:v>0.05</x:v>
      </x:c>
      <x:c r="AB73" s="203" t="n">
        <x:f>IFERROR(Z73*(1+AA73),"")</x:f>
        <x:v>13755</x:v>
      </x:c>
      <x:c r="AC73" s="204" t="n">
        <x:f>IFERROR(1-V73/H73,"")</x:f>
        <x:v>0.06094736842105264</x:v>
      </x:c>
      <x:c r="AD73" s="204" t="n">
        <x:f>IFERROR(1-V73/AB73,"")</x:f>
        <x:v>0.35143584151217744</x:v>
      </x:c>
      <x:c r="AE73" s="19" t="str">
        <x:f>IF(AC73&lt;Anyag_Beallitasok!$B$3,"NEM ÉRI EL A 35%-OT",IF(AC73&lt;Anyag_Beallitasok!$B$4,"MINIMUM 35–49,9%",IF(AC73&lt;Anyag_Beallitasok!$B$5,"IDEÁLIS 50–59,9%","KIEMELKEDŐ ≥60%")))</x:f>
        <x:v>NEM ÉRI EL A 35%-OT</x:v>
      </x:c>
      <x:c r="AF73" s="204" t="n">
        <x:f>IFERROR(AB73/H73-1,"")</x:f>
        <x:v>0.44789473684210535</x:v>
      </x:c>
      <x:c r="AG73" s="19" t="str">
        <x:f>IF(AND(P73="IGEN",O73&gt;0),IF(AF73&gt;Anyag_Beallitasok!$B$10,"0%-OS SZÁMLA + ÖNADÓZÁS; FELÁR SZÜKSÉGES","0%-OS SZÁMLA + ÖNADÓZÁS"),IF(AF73&gt;Anyag_Beallitasok!$B$10,"FELÁR SZÜKSÉGES A 35%-HOZ",IF(AC73&lt;Anyag_Beallitasok!$B$3,"PIACI ÁRON NEM TARTHATÓ A 35%","OK")))</x:f>
        <x:v>FELÁR SZÜKSÉGES A 35%-HOZ</x:v>
      </x:c>
      <x:c r="AH73" s="207" t="n">
        <x:v>0</x:v>
      </x:c>
      <x:c r="AI73" s="207" t="n">
        <x:v>0</x:v>
      </x:c>
      <x:c r="AJ73" s="207" t="n">
        <x:v>24</x:v>
      </x:c>
      <x:c r="AK73" s="208"/>
      <x:c r="AL73" s="203" t="str">
        <x:f>IF(AK73="","",V73*AK73)</x:f>
      </x:c>
      <x:c r="AM73" s="203" t="str">
        <x:f>IF(AK73="","",AB73*AK73)</x:f>
      </x:c>
      <x:c r="AN73" s="204" t="str">
        <x:f>IFERROR(1-AL73/AM73,"")</x:f>
      </x:c>
      <x:c r="AO73" s="19" t="str">
        <x:v>https://www.leier.hu/uploads/files/Arlista-magasepites-2026-6981a1daebe63.pdf</x:v>
      </x:c>
      <x:c r="AP73" s="19" t="str">
        <x:v>Projektfüggő gyártói ár</x:v>
      </x:c>
      <x:c r="AQ73" s="19" t="str">
        <x:v>Gyakran visszaváltható vagy bérelt.</x:v>
      </x:c>
    </x:row>
    <x:row r="74">
      <x:c r="A74" s="19" t="str">
        <x:v>ANY-0073</x:v>
      </x:c>
      <x:c r="B74" s="19" t="str">
        <x:v>05 Előregyártott beton</x:v>
      </x:c>
      <x:c r="C74" s="19" t="str">
        <x:v>Liapor / Leier rendszeranyagok</x:v>
      </x:c>
      <x:c r="D74" s="19" t="str">
        <x:v>Liapor / Leier</x:v>
      </x:c>
      <x:c r="E74" s="19" t="str">
        <x:v>Vegyi dübel panelrögzítéshez</x:v>
      </x:c>
      <x:c r="F74" s="19" t="str">
        <x:v>ETA minősített patron</x:v>
      </x:c>
      <x:c r="G74" s="19" t="str">
        <x:v>db</x:v>
      </x:c>
      <x:c r="H74" s="203" t="n">
        <x:v>6500</x:v>
      </x:c>
      <x:c r="I74" s="204" t="n">
        <x:v>0.27</x:v>
      </x:c>
      <x:c r="J74" s="203" t="n">
        <x:f>IFERROR(H74/(1+I74),"")</x:f>
        <x:v>5118.110236220472</x:v>
      </x:c>
      <x:c r="K74" s="205" t="n">
        <x:v>0.2</x:v>
      </x:c>
      <x:c r="L74" s="203" t="n">
        <x:f>IFERROR(J74*(1-K74),"")</x:f>
        <x:v>4094.488188976378</x:v>
      </x:c>
      <x:c r="M74" s="19" t="str">
        <x:v>27% normál belföldi</x:v>
      </x:c>
      <x:c r="N74" s="204" t="n">
        <x:v>0.27</x:v>
      </x:c>
      <x:c r="O74" s="204" t="n">
        <x:v>0</x:v>
      </x:c>
      <x:c r="P74" s="19" t="str">
        <x:v>NEM</x:v>
      </x:c>
      <x:c r="Q74" s="203" t="n">
        <x:f>IFERROR(L74*(1+N74),"")</x:f>
        <x:v>5200</x:v>
      </x:c>
      <x:c r="R74" s="205" t="n">
        <x:v>0.05</x:v>
      </x:c>
      <x:c r="S74" s="203" t="n">
        <x:f>IFERROR(Q74*(1+R74),"")</x:f>
        <x:v>5460</x:v>
      </x:c>
      <x:c r="T74" s="206" t="n">
        <x:v>100</x:v>
      </x:c>
      <x:c r="U74" s="206" t="n">
        <x:v>0</x:v>
      </x:c>
      <x:c r="V74" s="203" t="n">
        <x:f>IFERROR(S74+T74+U74,"")</x:f>
        <x:v>5560</x:v>
      </x:c>
      <x:c r="W74" s="203" t="n">
        <x:f>IFERROR(H74/(1+Anyag_Beallitasok!$B$2)*Anyag_Beallitasok!$B$9,"")</x:f>
        <x:v>6190.47619047619</x:v>
      </x:c>
      <x:c r="X74" s="203" t="n">
        <x:f>IFERROR(V74/((1-Anyag_Beallitasok!$B$3)*(1+Anyag_Beallitasok!$B$2)),"")</x:f>
        <x:v>8146.520146520145</x:v>
      </x:c>
      <x:c r="Y74" s="203" t="n">
        <x:f>IFERROR(V74/((1-Anyag_Beallitasok!$B$4)*(1+Anyag_Beallitasok!$B$2)),"")</x:f>
        <x:v>10590.47619047619</x:v>
      </x:c>
      <x:c r="Z74" s="203" t="n">
        <x:f>IFERROR(ROUNDUP(MAX(W74,X74)/Anyag_Beallitasok!$B$6,0)*Anyag_Beallitasok!$B$6,"")</x:f>
        <x:v>8150</x:v>
      </x:c>
      <x:c r="AA74" s="204" t="n">
        <x:f>Anyag_Beallitasok!$B$2</x:f>
        <x:v>0.05</x:v>
      </x:c>
      <x:c r="AB74" s="203" t="n">
        <x:f>IFERROR(Z74*(1+AA74),"")</x:f>
        <x:v>8557.5</x:v>
      </x:c>
      <x:c r="AC74" s="204" t="n">
        <x:f>IFERROR(1-V74/H74,"")</x:f>
        <x:v>0.1446153846153846</x:v>
      </x:c>
      <x:c r="AD74" s="204" t="n">
        <x:f>IFERROR(1-V74/AB74,"")</x:f>
        <x:v>0.3502775343266141</x:v>
      </x:c>
      <x:c r="AE74" s="19" t="str">
        <x:f>IF(AC74&lt;Anyag_Beallitasok!$B$3,"NEM ÉRI EL A 35%-OT",IF(AC74&lt;Anyag_Beallitasok!$B$4,"MINIMUM 35–49,9%",IF(AC74&lt;Anyag_Beallitasok!$B$5,"IDEÁLIS 50–59,9%","KIEMELKEDŐ ≥60%")))</x:f>
        <x:v>NEM ÉRI EL A 35%-OT</x:v>
      </x:c>
      <x:c r="AF74" s="204" t="n">
        <x:f>IFERROR(AB74/H74-1,"")</x:f>
        <x:v>0.31653846153846144</x:v>
      </x:c>
      <x:c r="AG74" s="19" t="str">
        <x:f>IF(AND(P74="IGEN",O74&gt;0),IF(AF74&gt;Anyag_Beallitasok!$B$10,"0%-OS SZÁMLA + ÖNADÓZÁS; FELÁR SZÜKSÉGES","0%-OS SZÁMLA + ÖNADÓZÁS"),IF(AF74&gt;Anyag_Beallitasok!$B$10,"FELÁR SZÜKSÉGES A 35%-HOZ",IF(AC74&lt;Anyag_Beallitasok!$B$3,"PIACI ÁRON NEM TARTHATÓ A 35%","OK")))</x:f>
        <x:v>FELÁR SZÜKSÉGES A 35%-HOZ</x:v>
      </x:c>
      <x:c r="AH74" s="207" t="n">
        <x:v>0</x:v>
      </x:c>
      <x:c r="AI74" s="207" t="n">
        <x:v>0</x:v>
      </x:c>
      <x:c r="AJ74" s="207" t="n">
        <x:v>60</x:v>
      </x:c>
      <x:c r="AK74" s="208"/>
      <x:c r="AL74" s="203" t="str">
        <x:f>IF(AK74="","",V74*AK74)</x:f>
      </x:c>
      <x:c r="AM74" s="203" t="str">
        <x:f>IF(AK74="","",AB74*AK74)</x:f>
      </x:c>
      <x:c r="AN74" s="204" t="str">
        <x:f>IFERROR(1-AL74/AM74,"")</x:f>
      </x:c>
      <x:c r="AO74" s="19" t="str">
        <x:v>https://www.winklertuzep.hu/arlista-web/Sz%C3%A1raz%C3%A9p%C3%ADt%C3%A9s</x:v>
      </x:c>
      <x:c r="AP74" s="19" t="str">
        <x:v>Mérnöki piaci becslés</x:v>
      </x:c>
      <x:c r="AQ74" s="19" t="str"/>
    </x:row>
    <x:row r="75">
      <x:c r="A75" s="19" t="str">
        <x:v>ANY-0074</x:v>
      </x:c>
      <x:c r="B75" s="19" t="str">
        <x:v>05 Előregyártott beton</x:v>
      </x:c>
      <x:c r="C75" s="19" t="str">
        <x:v>Liapor / Leier rendszeranyagok</x:v>
      </x:c>
      <x:c r="D75" s="19" t="str">
        <x:v>Liapor / Leier</x:v>
      </x:c>
      <x:c r="E75" s="19" t="str">
        <x:v>Paneljavító habarcs</x:v>
      </x:c>
      <x:c r="F75" s="19" t="str">
        <x:v>betonszürke</x:v>
      </x:c>
      <x:c r="G75" s="19" t="str">
        <x:v>25 kg zsák</x:v>
      </x:c>
      <x:c r="H75" s="203" t="n">
        <x:v>9500</x:v>
      </x:c>
      <x:c r="I75" s="204" t="n">
        <x:v>0.27</x:v>
      </x:c>
      <x:c r="J75" s="203" t="n">
        <x:f>IFERROR(H75/(1+I75),"")</x:f>
        <x:v>7480.314960629921</x:v>
      </x:c>
      <x:c r="K75" s="205" t="n">
        <x:v>0.15</x:v>
      </x:c>
      <x:c r="L75" s="203" t="n">
        <x:f>IFERROR(J75*(1-K75),"")</x:f>
        <x:v>6358.267716535433</x:v>
      </x:c>
      <x:c r="M75" s="19" t="str">
        <x:v>27% normál belföldi</x:v>
      </x:c>
      <x:c r="N75" s="204" t="n">
        <x:v>0.27</x:v>
      </x:c>
      <x:c r="O75" s="204" t="n">
        <x:v>0</x:v>
      </x:c>
      <x:c r="P75" s="19" t="str">
        <x:v>NEM</x:v>
      </x:c>
      <x:c r="Q75" s="203" t="n">
        <x:f>IFERROR(L75*(1+N75),"")</x:f>
        <x:v>8074.999999999999</x:v>
      </x:c>
      <x:c r="R75" s="205" t="n">
        <x:v>0.08</x:v>
      </x:c>
      <x:c r="S75" s="203" t="n">
        <x:f>IFERROR(Q75*(1+R75),"")</x:f>
        <x:v>8721</x:v>
      </x:c>
      <x:c r="T75" s="206" t="n">
        <x:v>150</x:v>
      </x:c>
      <x:c r="U75" s="206" t="n">
        <x:v>0</x:v>
      </x:c>
      <x:c r="V75" s="203" t="n">
        <x:f>IFERROR(S75+T75+U75,"")</x:f>
        <x:v>8871</x:v>
      </x:c>
      <x:c r="W75" s="203" t="n">
        <x:f>IFERROR(H75/(1+Anyag_Beallitasok!$B$2)*Anyag_Beallitasok!$B$9,"")</x:f>
        <x:v>9047.619047619048</x:v>
      </x:c>
      <x:c r="X75" s="203" t="n">
        <x:f>IFERROR(V75/((1-Anyag_Beallitasok!$B$3)*(1+Anyag_Beallitasok!$B$2)),"")</x:f>
        <x:v>12997.802197802195</x:v>
      </x:c>
      <x:c r="Y75" s="203" t="n">
        <x:f>IFERROR(V75/((1-Anyag_Beallitasok!$B$4)*(1+Anyag_Beallitasok!$B$2)),"")</x:f>
        <x:v>16897.142857142855</x:v>
      </x:c>
      <x:c r="Z75" s="203" t="n">
        <x:f>IFERROR(ROUNDUP(MAX(W75,X75)/Anyag_Beallitasok!$B$6,0)*Anyag_Beallitasok!$B$6,"")</x:f>
        <x:v>13000</x:v>
      </x:c>
      <x:c r="AA75" s="204" t="n">
        <x:f>Anyag_Beallitasok!$B$2</x:f>
        <x:v>0.05</x:v>
      </x:c>
      <x:c r="AB75" s="203" t="n">
        <x:f>IFERROR(Z75*(1+AA75),"")</x:f>
        <x:v>13650</x:v>
      </x:c>
      <x:c r="AC75" s="204" t="n">
        <x:f>IFERROR(1-V75/H75,"")</x:f>
        <x:v>0.0662105263157895</x:v>
      </x:c>
      <x:c r="AD75" s="204" t="n">
        <x:f>IFERROR(1-V75/AB75,"")</x:f>
        <x:v>0.35010989010989013</x:v>
      </x:c>
      <x:c r="AE75" s="19" t="str">
        <x:f>IF(AC75&lt;Anyag_Beallitasok!$B$3,"NEM ÉRI EL A 35%-OT",IF(AC75&lt;Anyag_Beallitasok!$B$4,"MINIMUM 35–49,9%",IF(AC75&lt;Anyag_Beallitasok!$B$5,"IDEÁLIS 50–59,9%","KIEMELKEDŐ ≥60%")))</x:f>
        <x:v>NEM ÉRI EL A 35%-OT</x:v>
      </x:c>
      <x:c r="AF75" s="204" t="n">
        <x:f>IFERROR(AB75/H75-1,"")</x:f>
        <x:v>0.4368421052631579</x:v>
      </x:c>
      <x:c r="AG75" s="19" t="str">
        <x:f>IF(AND(P75="IGEN",O75&gt;0),IF(AF75&gt;Anyag_Beallitasok!$B$10,"0%-OS SZÁMLA + ÖNADÓZÁS; FELÁR SZÜKSÉGES","0%-OS SZÁMLA + ÖNADÓZÁS"),IF(AF75&gt;Anyag_Beallitasok!$B$10,"FELÁR SZÜKSÉGES A 35%-HOZ",IF(AC75&lt;Anyag_Beallitasok!$B$3,"PIACI ÁRON NEM TARTHATÓ A 35%","OK")))</x:f>
        <x:v>FELÁR SZÜKSÉGES A 35%-HOZ</x:v>
      </x:c>
      <x:c r="AH75" s="207" t="n">
        <x:v>0</x:v>
      </x:c>
      <x:c r="AI75" s="207" t="n">
        <x:v>0</x:v>
      </x:c>
      <x:c r="AJ75" s="207" t="n">
        <x:v>30</x:v>
      </x:c>
      <x:c r="AK75" s="208"/>
      <x:c r="AL75" s="203" t="str">
        <x:f>IF(AK75="","",V75*AK75)</x:f>
      </x:c>
      <x:c r="AM75" s="203" t="str">
        <x:f>IF(AK75="","",AB75*AK75)</x:f>
      </x:c>
      <x:c r="AN75" s="204" t="str">
        <x:f>IFERROR(1-AL75/AM75,"")</x:f>
      </x:c>
      <x:c r="AO75" s="19" t="str">
        <x:v>https://www.winklertuzep.hu/arlista-web/porterm%C3%A9kek</x:v>
      </x:c>
      <x:c r="AP75" s="19" t="str">
        <x:v>Mérnöki piaci becslés</x:v>
      </x:c>
      <x:c r="AQ75" s="19" t="str"/>
    </x:row>
    <x:row r="76">
      <x:c r="A76" s="19" t="str">
        <x:v>ANY-0075</x:v>
      </x:c>
      <x:c r="B76" s="19" t="str">
        <x:v>06 Könnyűszerkezet</x:v>
      </x:c>
      <x:c r="C76" s="19" t="str">
        <x:v>Faváz és könnyűacél anyagok</x:v>
      </x:c>
      <x:c r="D76" s="19" t="str">
        <x:v>Faváz / könnyűacél</x:v>
      </x:c>
      <x:c r="E76" s="19" t="str">
        <x:v>Szerkezeti fűrészáru C24</x:v>
      </x:c>
      <x:c r="F76" s="19" t="str">
        <x:v>szárított, gyalult</x:v>
      </x:c>
      <x:c r="G76" s="19" t="str">
        <x:v>m³</x:v>
      </x:c>
      <x:c r="H76" s="203" t="n">
        <x:v>189900</x:v>
      </x:c>
      <x:c r="I76" s="204" t="n">
        <x:v>0.27</x:v>
      </x:c>
      <x:c r="J76" s="203" t="n">
        <x:f>IFERROR(H76/(1+I76),"")</x:f>
        <x:v>149527.5590551181</x:v>
      </x:c>
      <x:c r="K76" s="205" t="n">
        <x:v>0.1</x:v>
      </x:c>
      <x:c r="L76" s="203" t="n">
        <x:f>IFERROR(J76*(1-K76),"")</x:f>
        <x:v>134574.80314960628</x:v>
      </x:c>
      <x:c r="M76" s="19" t="str">
        <x:v>27% normál belföldi</x:v>
      </x:c>
      <x:c r="N76" s="204" t="n">
        <x:v>0.27</x:v>
      </x:c>
      <x:c r="O76" s="204" t="n">
        <x:v>0</x:v>
      </x:c>
      <x:c r="P76" s="19" t="str">
        <x:v>NEM</x:v>
      </x:c>
      <x:c r="Q76" s="203" t="n">
        <x:f>IFERROR(L76*(1+N76),"")</x:f>
        <x:v>170909.99999999997</x:v>
      </x:c>
      <x:c r="R76" s="205" t="n">
        <x:v>0.12</x:v>
      </x:c>
      <x:c r="S76" s="203" t="n">
        <x:f>IFERROR(Q76*(1+R76),"")</x:f>
        <x:v>191419.19999999998</x:v>
      </x:c>
      <x:c r="T76" s="206" t="n">
        <x:v>15000</x:v>
      </x:c>
      <x:c r="U76" s="206" t="n">
        <x:v>0</x:v>
      </x:c>
      <x:c r="V76" s="203" t="n">
        <x:f>IFERROR(S76+T76+U76,"")</x:f>
        <x:v>206419.19999999998</x:v>
      </x:c>
      <x:c r="W76" s="203" t="n">
        <x:f>IFERROR(H76/(1+Anyag_Beallitasok!$B$2)*Anyag_Beallitasok!$B$9,"")</x:f>
        <x:v>180857.14285714284</x:v>
      </x:c>
      <x:c r="X76" s="203" t="n">
        <x:f>IFERROR(V76/((1-Anyag_Beallitasok!$B$3)*(1+Anyag_Beallitasok!$B$2)),"")</x:f>
        <x:v>302445.7142857142</x:v>
      </x:c>
      <x:c r="Y76" s="203" t="n">
        <x:f>IFERROR(V76/((1-Anyag_Beallitasok!$B$4)*(1+Anyag_Beallitasok!$B$2)),"")</x:f>
        <x:v>393179.4285714285</x:v>
      </x:c>
      <x:c r="Z76" s="203" t="n">
        <x:f>IFERROR(ROUNDUP(MAX(W76,X76)/Anyag_Beallitasok!$B$6,0)*Anyag_Beallitasok!$B$6,"")</x:f>
        <x:v>302450</x:v>
      </x:c>
      <x:c r="AA76" s="204" t="n">
        <x:f>Anyag_Beallitasok!$B$2</x:f>
        <x:v>0.05</x:v>
      </x:c>
      <x:c r="AB76" s="203" t="n">
        <x:f>IFERROR(Z76*(1+AA76),"")</x:f>
        <x:v>317572.5</x:v>
      </x:c>
      <x:c r="AC76" s="204" t="n">
        <x:f>IFERROR(1-V76/H76,"")</x:f>
        <x:v>-0.08698894154818326</x:v>
      </x:c>
      <x:c r="AD76" s="204" t="n">
        <x:f>IFERROR(1-V76/AB76,"")</x:f>
        <x:v>0.35000921049524125</x:v>
      </x:c>
      <x:c r="AE76" s="19" t="str">
        <x:f>IF(AC76&lt;Anyag_Beallitasok!$B$3,"NEM ÉRI EL A 35%-OT",IF(AC76&lt;Anyag_Beallitasok!$B$4,"MINIMUM 35–49,9%",IF(AC76&lt;Anyag_Beallitasok!$B$5,"IDEÁLIS 50–59,9%","KIEMELKEDŐ ≥60%")))</x:f>
        <x:v>NEM ÉRI EL A 35%-OT</x:v>
      </x:c>
      <x:c r="AF76" s="204" t="n">
        <x:f>IFERROR(AB76/H76-1,"")</x:f>
        <x:v>0.6723143759873618</x:v>
      </x:c>
      <x:c r="AG76" s="19" t="str">
        <x:f>IF(AND(P76="IGEN",O76&gt;0),IF(AF76&gt;Anyag_Beallitasok!$B$10,"0%-OS SZÁMLA + ÖNADÓZÁS; FELÁR SZÜKSÉGES","0%-OS SZÁMLA + ÖNADÓZÁS"),IF(AF76&gt;Anyag_Beallitasok!$B$10,"FELÁR SZÜKSÉGES A 35%-HOZ",IF(AC76&lt;Anyag_Beallitasok!$B$3,"PIACI ÁRON NEM TARTHATÓ A 35%","OK")))</x:f>
        <x:v>FELÁR SZÜKSÉGES A 35%-HOZ</x:v>
      </x:c>
      <x:c r="AH76" s="207" t="n">
        <x:v>0</x:v>
      </x:c>
      <x:c r="AI76" s="207" t="n">
        <x:v>17</x:v>
      </x:c>
      <x:c r="AJ76" s="207" t="n">
        <x:v>0</x:v>
      </x:c>
      <x:c r="AK76" s="208"/>
      <x:c r="AL76" s="203" t="str">
        <x:f>IF(AK76="","",V76*AK76)</x:f>
      </x:c>
      <x:c r="AM76" s="203" t="str">
        <x:f>IF(AK76="","",AB76*AK76)</x:f>
      </x:c>
      <x:c r="AN76" s="204" t="str">
        <x:f>IFERROR(1-AL76/AM76,"")</x:f>
      </x:c>
      <x:c r="AO76" s="19" t="str">
        <x:v>https://fadepofatelep.hu/arlista/</x:v>
      </x:c>
      <x:c r="AP76" s="19" t="str">
        <x:v>Közvetlen 2026 telepi ár</x:v>
      </x:c>
      <x:c r="AQ76" s="19" t="str"/>
    </x:row>
    <x:row r="77">
      <x:c r="A77" s="19" t="str">
        <x:v>ANY-0076</x:v>
      </x:c>
      <x:c r="B77" s="19" t="str">
        <x:v>06 Könnyűszerkezet</x:v>
      </x:c>
      <x:c r="C77" s="19" t="str">
        <x:v>Faváz és könnyűacél anyagok</x:v>
      </x:c>
      <x:c r="D77" s="19" t="str">
        <x:v>Faváz / könnyűacél</x:v>
      </x:c>
      <x:c r="E77" s="19" t="str">
        <x:v>KVH szerkezeti fa</x:v>
      </x:c>
      <x:c r="F77" s="19" t="str">
        <x:v>hossztoldott C24</x:v>
      </x:c>
      <x:c r="G77" s="19" t="str">
        <x:v>m³</x:v>
      </x:c>
      <x:c r="H77" s="203" t="n">
        <x:v>320000</x:v>
      </x:c>
      <x:c r="I77" s="204" t="n">
        <x:v>0.27</x:v>
      </x:c>
      <x:c r="J77" s="203" t="n">
        <x:f>IFERROR(H77/(1+I77),"")</x:f>
        <x:v>251968.50393700786</x:v>
      </x:c>
      <x:c r="K77" s="205" t="n">
        <x:v>0.12</x:v>
      </x:c>
      <x:c r="L77" s="203" t="n">
        <x:f>IFERROR(J77*(1-K77),"")</x:f>
        <x:v>221732.28346456692</x:v>
      </x:c>
      <x:c r="M77" s="19" t="str">
        <x:v>27% normál belföldi</x:v>
      </x:c>
      <x:c r="N77" s="204" t="n">
        <x:v>0.27</x:v>
      </x:c>
      <x:c r="O77" s="204" t="n">
        <x:v>0</x:v>
      </x:c>
      <x:c r="P77" s="19" t="str">
        <x:v>NEM</x:v>
      </x:c>
      <x:c r="Q77" s="203" t="n">
        <x:f>IFERROR(L77*(1+N77),"")</x:f>
        <x:v>281600</x:v>
      </x:c>
      <x:c r="R77" s="205" t="n">
        <x:v>0.08</x:v>
      </x:c>
      <x:c r="S77" s="203" t="n">
        <x:f>IFERROR(Q77*(1+R77),"")</x:f>
        <x:v>304128</x:v>
      </x:c>
      <x:c r="T77" s="206" t="n">
        <x:v>18000</x:v>
      </x:c>
      <x:c r="U77" s="206" t="n">
        <x:v>0</x:v>
      </x:c>
      <x:c r="V77" s="203" t="n">
        <x:f>IFERROR(S77+T77+U77,"")</x:f>
        <x:v>322128</x:v>
      </x:c>
      <x:c r="W77" s="203" t="n">
        <x:f>IFERROR(H77/(1+Anyag_Beallitasok!$B$2)*Anyag_Beallitasok!$B$9,"")</x:f>
        <x:v>304761.90476190473</x:v>
      </x:c>
      <x:c r="X77" s="203" t="n">
        <x:f>IFERROR(V77/((1-Anyag_Beallitasok!$B$3)*(1+Anyag_Beallitasok!$B$2)),"")</x:f>
        <x:v>471982.4175824175</x:v>
      </x:c>
      <x:c r="Y77" s="203" t="n">
        <x:f>IFERROR(V77/((1-Anyag_Beallitasok!$B$4)*(1+Anyag_Beallitasok!$B$2)),"")</x:f>
        <x:v>613577.1428571428</x:v>
      </x:c>
      <x:c r="Z77" s="203" t="n">
        <x:f>IFERROR(ROUNDUP(MAX(W77,X77)/Anyag_Beallitasok!$B$6,0)*Anyag_Beallitasok!$B$6,"")</x:f>
        <x:v>472000</x:v>
      </x:c>
      <x:c r="AA77" s="204" t="n">
        <x:f>Anyag_Beallitasok!$B$2</x:f>
        <x:v>0.05</x:v>
      </x:c>
      <x:c r="AB77" s="203" t="n">
        <x:f>IFERROR(Z77*(1+AA77),"")</x:f>
        <x:v>495600</x:v>
      </x:c>
      <x:c r="AC77" s="204" t="n">
        <x:f>IFERROR(1-V77/H77,"")</x:f>
        <x:v>-0.006650000000000045</x:v>
      </x:c>
      <x:c r="AD77" s="204" t="n">
        <x:f>IFERROR(1-V77/AB77,"")</x:f>
        <x:v>0.3500242130750605</x:v>
      </x:c>
      <x:c r="AE77" s="19" t="str">
        <x:f>IF(AC77&lt;Anyag_Beallitasok!$B$3,"NEM ÉRI EL A 35%-OT",IF(AC77&lt;Anyag_Beallitasok!$B$4,"MINIMUM 35–49,9%",IF(AC77&lt;Anyag_Beallitasok!$B$5,"IDEÁLIS 50–59,9%","KIEMELKEDŐ ≥60%")))</x:f>
        <x:v>NEM ÉRI EL A 35%-OT</x:v>
      </x:c>
      <x:c r="AF77" s="204" t="n">
        <x:f>IFERROR(AB77/H77-1,"")</x:f>
        <x:v>0.5487500000000001</x:v>
      </x:c>
      <x:c r="AG77" s="19" t="str">
        <x:f>IF(AND(P77="IGEN",O77&gt;0),IF(AF77&gt;Anyag_Beallitasok!$B$10,"0%-OS SZÁMLA + ÖNADÓZÁS; FELÁR SZÜKSÉGES","0%-OS SZÁMLA + ÖNADÓZÁS"),IF(AF77&gt;Anyag_Beallitasok!$B$10,"FELÁR SZÜKSÉGES A 35%-HOZ",IF(AC77&lt;Anyag_Beallitasok!$B$3,"PIACI ÁRON NEM TARTHATÓ A 35%","OK")))</x:f>
        <x:v>FELÁR SZÜKSÉGES A 35%-HOZ</x:v>
      </x:c>
      <x:c r="AH77" s="207" t="n">
        <x:v>0</x:v>
      </x:c>
      <x:c r="AI77" s="207" t="n">
        <x:v>0</x:v>
      </x:c>
      <x:c r="AJ77" s="207" t="n">
        <x:v>0</x:v>
      </x:c>
      <x:c r="AK77" s="208"/>
      <x:c r="AL77" s="203" t="str">
        <x:f>IF(AK77="","",V77*AK77)</x:f>
      </x:c>
      <x:c r="AM77" s="203" t="str">
        <x:f>IF(AK77="","",AB77*AK77)</x:f>
      </x:c>
      <x:c r="AN77" s="204" t="str">
        <x:f>IFERROR(1-AL77/AM77,"")</x:f>
      </x:c>
      <x:c r="AO77" s="19" t="str">
        <x:v>https://szekelyfatelep.hu/fatelep-budapest-xvi-arak-fa-ar/</x:v>
      </x:c>
      <x:c r="AP77" s="19" t="str">
        <x:v>2026 piaci becslés</x:v>
      </x:c>
      <x:c r="AQ77" s="19" t="str"/>
    </x:row>
    <x:row r="78">
      <x:c r="A78" s="19" t="str">
        <x:v>ANY-0077</x:v>
      </x:c>
      <x:c r="B78" s="19" t="str">
        <x:v>06 Könnyűszerkezet</x:v>
      </x:c>
      <x:c r="C78" s="19" t="str">
        <x:v>Faváz és könnyűacél anyagok</x:v>
      </x:c>
      <x:c r="D78" s="19" t="str">
        <x:v>Faváz / könnyűacél</x:v>
      </x:c>
      <x:c r="E78" s="19" t="str">
        <x:v>Faanyagvédő impregnáló</x:v>
      </x:c>
      <x:c r="F78" s="19" t="str">
        <x:v>koncentrátum</x:v>
      </x:c>
      <x:c r="G78" s="19" t="str">
        <x:v>kg</x:v>
      </x:c>
      <x:c r="H78" s="203" t="n">
        <x:v>3800</x:v>
      </x:c>
      <x:c r="I78" s="204" t="n">
        <x:v>0.27</x:v>
      </x:c>
      <x:c r="J78" s="203" t="n">
        <x:f>IFERROR(H78/(1+I78),"")</x:f>
        <x:v>2992.1259842519685</x:v>
      </x:c>
      <x:c r="K78" s="205" t="n">
        <x:v>0.15</x:v>
      </x:c>
      <x:c r="L78" s="203" t="n">
        <x:f>IFERROR(J78*(1-K78),"")</x:f>
        <x:v>2543.307086614173</x:v>
      </x:c>
      <x:c r="M78" s="19" t="str">
        <x:v>27% normál belföldi</x:v>
      </x:c>
      <x:c r="N78" s="204" t="n">
        <x:v>0.27</x:v>
      </x:c>
      <x:c r="O78" s="204" t="n">
        <x:v>0</x:v>
      </x:c>
      <x:c r="P78" s="19" t="str">
        <x:v>NEM</x:v>
      </x:c>
      <x:c r="Q78" s="203" t="n">
        <x:f>IFERROR(L78*(1+N78),"")</x:f>
        <x:v>3229.9999999999995</x:v>
      </x:c>
      <x:c r="R78" s="205" t="n">
        <x:v>0.08</x:v>
      </x:c>
      <x:c r="S78" s="203" t="n">
        <x:f>IFERROR(Q78*(1+R78),"")</x:f>
        <x:v>3488.3999999999996</x:v>
      </x:c>
      <x:c r="T78" s="206" t="n">
        <x:v>80</x:v>
      </x:c>
      <x:c r="U78" s="206" t="n">
        <x:v>0</x:v>
      </x:c>
      <x:c r="V78" s="203" t="n">
        <x:f>IFERROR(S78+T78+U78,"")</x:f>
        <x:v>3568.3999999999996</x:v>
      </x:c>
      <x:c r="W78" s="203" t="n">
        <x:f>IFERROR(H78/(1+Anyag_Beallitasok!$B$2)*Anyag_Beallitasok!$B$9,"")</x:f>
        <x:v>3619.047619047619</x:v>
      </x:c>
      <x:c r="X78" s="203" t="n">
        <x:f>IFERROR(V78/((1-Anyag_Beallitasok!$B$3)*(1+Anyag_Beallitasok!$B$2)),"")</x:f>
        <x:v>5228.424908424907</x:v>
      </x:c>
      <x:c r="Y78" s="203" t="n">
        <x:f>IFERROR(V78/((1-Anyag_Beallitasok!$B$4)*(1+Anyag_Beallitasok!$B$2)),"")</x:f>
        <x:v>6796.95238095238</x:v>
      </x:c>
      <x:c r="Z78" s="203" t="n">
        <x:f>IFERROR(ROUNDUP(MAX(W78,X78)/Anyag_Beallitasok!$B$6,0)*Anyag_Beallitasok!$B$6,"")</x:f>
        <x:v>5250</x:v>
      </x:c>
      <x:c r="AA78" s="204" t="n">
        <x:f>Anyag_Beallitasok!$B$2</x:f>
        <x:v>0.05</x:v>
      </x:c>
      <x:c r="AB78" s="203" t="n">
        <x:f>IFERROR(Z78*(1+AA78),"")</x:f>
        <x:v>5512.5</x:v>
      </x:c>
      <x:c r="AC78" s="204" t="n">
        <x:f>IFERROR(1-V78/H78,"")</x:f>
        <x:v>0.06094736842105275</x:v>
      </x:c>
      <x:c r="AD78" s="204" t="n">
        <x:f>IFERROR(1-V78/AB78,"")</x:f>
        <x:v>0.352671201814059</x:v>
      </x:c>
      <x:c r="AE78" s="19" t="str">
        <x:f>IF(AC78&lt;Anyag_Beallitasok!$B$3,"NEM ÉRI EL A 35%-OT",IF(AC78&lt;Anyag_Beallitasok!$B$4,"MINIMUM 35–49,9%",IF(AC78&lt;Anyag_Beallitasok!$B$5,"IDEÁLIS 50–59,9%","KIEMELKEDŐ ≥60%")))</x:f>
        <x:v>NEM ÉRI EL A 35%-OT</x:v>
      </x:c>
      <x:c r="AF78" s="204" t="n">
        <x:f>IFERROR(AB78/H78-1,"")</x:f>
        <x:v>0.45065789473684204</x:v>
      </x:c>
      <x:c r="AG78" s="19" t="str">
        <x:f>IF(AND(P78="IGEN",O78&gt;0),IF(AF78&gt;Anyag_Beallitasok!$B$10,"0%-OS SZÁMLA + ÖNADÓZÁS; FELÁR SZÜKSÉGES","0%-OS SZÁMLA + ÖNADÓZÁS"),IF(AF78&gt;Anyag_Beallitasok!$B$10,"FELÁR SZÜKSÉGES A 35%-HOZ",IF(AC78&lt;Anyag_Beallitasok!$B$3,"PIACI ÁRON NEM TARTHATÓ A 35%","OK")))</x:f>
        <x:v>FELÁR SZÜKSÉGES A 35%-HOZ</x:v>
      </x:c>
      <x:c r="AH78" s="207" t="n">
        <x:v>0</x:v>
      </x:c>
      <x:c r="AI78" s="207" t="n">
        <x:v>120</x:v>
      </x:c>
      <x:c r="AJ78" s="207" t="n">
        <x:v>0</x:v>
      </x:c>
      <x:c r="AK78" s="208"/>
      <x:c r="AL78" s="203" t="str">
        <x:f>IF(AK78="","",V78*AK78)</x:f>
      </x:c>
      <x:c r="AM78" s="203" t="str">
        <x:f>IF(AK78="","",AB78*AK78)</x:f>
      </x:c>
      <x:c r="AN78" s="204" t="str">
        <x:f>IFERROR(1-AL78/AM78,"")</x:f>
      </x:c>
      <x:c r="AO78" s="19" t="str">
        <x:v>https://fadepofatelep.hu/arlista/</x:v>
      </x:c>
      <x:c r="AP78" s="19" t="str">
        <x:v>Telepi árlistából levezetett</x:v>
      </x:c>
      <x:c r="AQ78" s="19" t="str"/>
    </x:row>
    <x:row r="79">
      <x:c r="A79" s="19" t="str">
        <x:v>ANY-0078</x:v>
      </x:c>
      <x:c r="B79" s="19" t="str">
        <x:v>06 Könnyűszerkezet</x:v>
      </x:c>
      <x:c r="C79" s="19" t="str">
        <x:v>Faváz és könnyűacél anyagok</x:v>
      </x:c>
      <x:c r="D79" s="19" t="str">
        <x:v>Faváz / könnyűacél</x:v>
      </x:c>
      <x:c r="E79" s="19" t="str">
        <x:v>OSB/3 lap 12 mm</x:v>
      </x:c>
      <x:c r="F79" s="19" t="str">
        <x:v>2500×1250</x:v>
      </x:c>
      <x:c r="G79" s="19" t="str">
        <x:v>m²</x:v>
      </x:c>
      <x:c r="H79" s="203" t="n">
        <x:v>3600</x:v>
      </x:c>
      <x:c r="I79" s="204" t="n">
        <x:v>0.27</x:v>
      </x:c>
      <x:c r="J79" s="203" t="n">
        <x:f>IFERROR(H79/(1+I79),"")</x:f>
        <x:v>2834.6456692913384</x:v>
      </x:c>
      <x:c r="K79" s="205" t="n">
        <x:v>0.15</x:v>
      </x:c>
      <x:c r="L79" s="203" t="n">
        <x:f>IFERROR(J79*(1-K79),"")</x:f>
        <x:v>2409.4488188976375</x:v>
      </x:c>
      <x:c r="M79" s="19" t="str">
        <x:v>27% normál belföldi</x:v>
      </x:c>
      <x:c r="N79" s="204" t="n">
        <x:v>0.27</x:v>
      </x:c>
      <x:c r="O79" s="204" t="n">
        <x:v>0</x:v>
      </x:c>
      <x:c r="P79" s="19" t="str">
        <x:v>NEM</x:v>
      </x:c>
      <x:c r="Q79" s="203" t="n">
        <x:f>IFERROR(L79*(1+N79),"")</x:f>
        <x:v>3059.9999999999995</x:v>
      </x:c>
      <x:c r="R79" s="205" t="n">
        <x:v>0.08</x:v>
      </x:c>
      <x:c r="S79" s="203" t="n">
        <x:f>IFERROR(Q79*(1+R79),"")</x:f>
        <x:v>3304.7999999999997</x:v>
      </x:c>
      <x:c r="T79" s="206" t="n">
        <x:v>120</x:v>
      </x:c>
      <x:c r="U79" s="206" t="n">
        <x:v>0</x:v>
      </x:c>
      <x:c r="V79" s="203" t="n">
        <x:f>IFERROR(S79+T79+U79,"")</x:f>
        <x:v>3424.7999999999997</x:v>
      </x:c>
      <x:c r="W79" s="203" t="n">
        <x:f>IFERROR(H79/(1+Anyag_Beallitasok!$B$2)*Anyag_Beallitasok!$B$9,"")</x:f>
        <x:v>3428.5714285714284</x:v>
      </x:c>
      <x:c r="X79" s="203" t="n">
        <x:f>IFERROR(V79/((1-Anyag_Beallitasok!$B$3)*(1+Anyag_Beallitasok!$B$2)),"")</x:f>
        <x:v>5018.021978021977</x:v>
      </x:c>
      <x:c r="Y79" s="203" t="n">
        <x:f>IFERROR(V79/((1-Anyag_Beallitasok!$B$4)*(1+Anyag_Beallitasok!$B$2)),"")</x:f>
        <x:v>6523.428571428571</x:v>
      </x:c>
      <x:c r="Z79" s="203" t="n">
        <x:f>IFERROR(ROUNDUP(MAX(W79,X79)/Anyag_Beallitasok!$B$6,0)*Anyag_Beallitasok!$B$6,"")</x:f>
        <x:v>5050</x:v>
      </x:c>
      <x:c r="AA79" s="204" t="n">
        <x:f>Anyag_Beallitasok!$B$2</x:f>
        <x:v>0.05</x:v>
      </x:c>
      <x:c r="AB79" s="203" t="n">
        <x:f>IFERROR(Z79*(1+AA79),"")</x:f>
        <x:v>5302.5</x:v>
      </x:c>
      <x:c r="AC79" s="204" t="n">
        <x:f>IFERROR(1-V79/H79,"")</x:f>
        <x:v>0.04866666666666675</x:v>
      </x:c>
      <x:c r="AD79" s="204" t="n">
        <x:f>IFERROR(1-V79/AB79,"")</x:f>
        <x:v>0.3541159830268742</x:v>
      </x:c>
      <x:c r="AE79" s="19" t="str">
        <x:f>IF(AC79&lt;Anyag_Beallitasok!$B$3,"NEM ÉRI EL A 35%-OT",IF(AC79&lt;Anyag_Beallitasok!$B$4,"MINIMUM 35–49,9%",IF(AC79&lt;Anyag_Beallitasok!$B$5,"IDEÁLIS 50–59,9%","KIEMELKEDŐ ≥60%")))</x:f>
        <x:v>NEM ÉRI EL A 35%-OT</x:v>
      </x:c>
      <x:c r="AF79" s="204" t="n">
        <x:f>IFERROR(AB79/H79-1,"")</x:f>
        <x:v>0.47291666666666665</x:v>
      </x:c>
      <x:c r="AG79" s="19" t="str">
        <x:f>IF(AND(P79="IGEN",O79&gt;0),IF(AF79&gt;Anyag_Beallitasok!$B$10,"0%-OS SZÁMLA + ÖNADÓZÁS; FELÁR SZÜKSÉGES","0%-OS SZÁMLA + ÖNADÓZÁS"),IF(AF79&gt;Anyag_Beallitasok!$B$10,"FELÁR SZÜKSÉGES A 35%-HOZ",IF(AC79&lt;Anyag_Beallitasok!$B$3,"PIACI ÁRON NEM TARTHATÓ A 35%","OK")))</x:f>
        <x:v>FELÁR SZÜKSÉGES A 35%-HOZ</x:v>
      </x:c>
      <x:c r="AH79" s="207" t="n">
        <x:v>0</x:v>
      </x:c>
      <x:c r="AI79" s="207" t="n">
        <x:v>310</x:v>
      </x:c>
      <x:c r="AJ79" s="207" t="n">
        <x:v>0</x:v>
      </x:c>
      <x:c r="AK79" s="208"/>
      <x:c r="AL79" s="203" t="str">
        <x:f>IF(AK79="","",V79*AK79)</x:f>
      </x:c>
      <x:c r="AM79" s="203" t="str">
        <x:f>IF(AK79="","",AB79*AK79)</x:f>
      </x:c>
      <x:c r="AN79" s="204" t="str">
        <x:f>IFERROR(1-AL79/AM79,"")</x:f>
      </x:c>
      <x:c r="AO79" s="19" t="str">
        <x:v>https://www.winklertuzep.hu/arlista-web/Sz%C3%A1raz%C3%A9p%C3%ADt%C3%A9s</x:v>
      </x:c>
      <x:c r="AP79" s="19" t="str">
        <x:v>2026 piaci becslés</x:v>
      </x:c>
      <x:c r="AQ79" s="19" t="str"/>
    </x:row>
    <x:row r="80">
      <x:c r="A80" s="19" t="str">
        <x:v>ANY-0079</x:v>
      </x:c>
      <x:c r="B80" s="19" t="str">
        <x:v>06 Könnyűszerkezet</x:v>
      </x:c>
      <x:c r="C80" s="19" t="str">
        <x:v>Faváz és könnyűacél anyagok</x:v>
      </x:c>
      <x:c r="D80" s="19" t="str">
        <x:v>Faváz / könnyűacél</x:v>
      </x:c>
      <x:c r="E80" s="19" t="str">
        <x:v>OSB/3 lap 15 mm</x:v>
      </x:c>
      <x:c r="F80" s="19" t="str">
        <x:v>2500×1250</x:v>
      </x:c>
      <x:c r="G80" s="19" t="str">
        <x:v>m²</x:v>
      </x:c>
      <x:c r="H80" s="203" t="n">
        <x:v>4300</x:v>
      </x:c>
      <x:c r="I80" s="204" t="n">
        <x:v>0.27</x:v>
      </x:c>
      <x:c r="J80" s="203" t="n">
        <x:f>IFERROR(H80/(1+I80),"")</x:f>
        <x:v>3385.8267716535433</x:v>
      </x:c>
      <x:c r="K80" s="205" t="n">
        <x:v>0.15</x:v>
      </x:c>
      <x:c r="L80" s="203" t="n">
        <x:f>IFERROR(J80*(1-K80),"")</x:f>
        <x:v>2877.952755905512</x:v>
      </x:c>
      <x:c r="M80" s="19" t="str">
        <x:v>27% normál belföldi</x:v>
      </x:c>
      <x:c r="N80" s="204" t="n">
        <x:v>0.27</x:v>
      </x:c>
      <x:c r="O80" s="204" t="n">
        <x:v>0</x:v>
      </x:c>
      <x:c r="P80" s="19" t="str">
        <x:v>NEM</x:v>
      </x:c>
      <x:c r="Q80" s="203" t="n">
        <x:f>IFERROR(L80*(1+N80),"")</x:f>
        <x:v>3655</x:v>
      </x:c>
      <x:c r="R80" s="205" t="n">
        <x:v>0.08</x:v>
      </x:c>
      <x:c r="S80" s="203" t="n">
        <x:f>IFERROR(Q80*(1+R80),"")</x:f>
        <x:v>3947.4</x:v>
      </x:c>
      <x:c r="T80" s="206" t="n">
        <x:v>130</x:v>
      </x:c>
      <x:c r="U80" s="206" t="n">
        <x:v>0</x:v>
      </x:c>
      <x:c r="V80" s="203" t="n">
        <x:f>IFERROR(S80+T80+U80,"")</x:f>
        <x:v>4077.4</x:v>
      </x:c>
      <x:c r="W80" s="203" t="n">
        <x:f>IFERROR(H80/(1+Anyag_Beallitasok!$B$2)*Anyag_Beallitasok!$B$9,"")</x:f>
        <x:v>4095.238095238095</x:v>
      </x:c>
      <x:c r="X80" s="203" t="n">
        <x:f>IFERROR(V80/((1-Anyag_Beallitasok!$B$3)*(1+Anyag_Beallitasok!$B$2)),"")</x:f>
        <x:v>5974.212454212454</x:v>
      </x:c>
      <x:c r="Y80" s="203" t="n">
        <x:f>IFERROR(V80/((1-Anyag_Beallitasok!$B$4)*(1+Anyag_Beallitasok!$B$2)),"")</x:f>
        <x:v>7766.47619047619</x:v>
      </x:c>
      <x:c r="Z80" s="203" t="n">
        <x:f>IFERROR(ROUNDUP(MAX(W80,X80)/Anyag_Beallitasok!$B$6,0)*Anyag_Beallitasok!$B$6,"")</x:f>
        <x:v>6000</x:v>
      </x:c>
      <x:c r="AA80" s="204" t="n">
        <x:f>Anyag_Beallitasok!$B$2</x:f>
        <x:v>0.05</x:v>
      </x:c>
      <x:c r="AB80" s="203" t="n">
        <x:f>IFERROR(Z80*(1+AA80),"")</x:f>
        <x:v>6300</x:v>
      </x:c>
      <x:c r="AC80" s="204" t="n">
        <x:f>IFERROR(1-V80/H80,"")</x:f>
        <x:v>0.05176744186046511</x:v>
      </x:c>
      <x:c r="AD80" s="204" t="n">
        <x:f>IFERROR(1-V80/AB80,"")</x:f>
        <x:v>0.35279365079365077</x:v>
      </x:c>
      <x:c r="AE80" s="19" t="str">
        <x:f>IF(AC80&lt;Anyag_Beallitasok!$B$3,"NEM ÉRI EL A 35%-OT",IF(AC80&lt;Anyag_Beallitasok!$B$4,"MINIMUM 35–49,9%",IF(AC80&lt;Anyag_Beallitasok!$B$5,"IDEÁLIS 50–59,9%","KIEMELKEDŐ ≥60%")))</x:f>
        <x:v>NEM ÉRI EL A 35%-OT</x:v>
      </x:c>
      <x:c r="AF80" s="204" t="n">
        <x:f>IFERROR(AB80/H80-1,"")</x:f>
        <x:v>0.4651162790697674</x:v>
      </x:c>
      <x:c r="AG80" s="19" t="str">
        <x:f>IF(AND(P80="IGEN",O80&gt;0),IF(AF80&gt;Anyag_Beallitasok!$B$10,"0%-OS SZÁMLA + ÖNADÓZÁS; FELÁR SZÜKSÉGES","0%-OS SZÁMLA + ÖNADÓZÁS"),IF(AF80&gt;Anyag_Beallitasok!$B$10,"FELÁR SZÜKSÉGES A 35%-HOZ",IF(AC80&lt;Anyag_Beallitasok!$B$3,"PIACI ÁRON NEM TARTHATÓ A 35%","OK")))</x:f>
        <x:v>FELÁR SZÜKSÉGES A 35%-HOZ</x:v>
      </x:c>
      <x:c r="AH80" s="207" t="n">
        <x:v>0</x:v>
      </x:c>
      <x:c r="AI80" s="207" t="n">
        <x:v>150</x:v>
      </x:c>
      <x:c r="AJ80" s="207" t="n">
        <x:v>0</x:v>
      </x:c>
      <x:c r="AK80" s="208"/>
      <x:c r="AL80" s="203" t="str">
        <x:f>IF(AK80="","",V80*AK80)</x:f>
      </x:c>
      <x:c r="AM80" s="203" t="str">
        <x:f>IF(AK80="","",AB80*AK80)</x:f>
      </x:c>
      <x:c r="AN80" s="204" t="str">
        <x:f>IFERROR(1-AL80/AM80,"")</x:f>
      </x:c>
      <x:c r="AO80" s="19" t="str">
        <x:v>https://www.winklertuzep.hu/arlista-web/Sz%C3%A1raz%C3%A9p%C3%ADt%C3%A9s</x:v>
      </x:c>
      <x:c r="AP80" s="19" t="str">
        <x:v>2026 piaci becslés</x:v>
      </x:c>
      <x:c r="AQ80" s="19" t="str"/>
    </x:row>
    <x:row r="81">
      <x:c r="A81" s="19" t="str">
        <x:v>ANY-0080</x:v>
      </x:c>
      <x:c r="B81" s="19" t="str">
        <x:v>06 Könnyűszerkezet</x:v>
      </x:c>
      <x:c r="C81" s="19" t="str">
        <x:v>Faváz és könnyűacél anyagok</x:v>
      </x:c>
      <x:c r="D81" s="19" t="str">
        <x:v>Faváz / könnyűacél</x:v>
      </x:c>
      <x:c r="E81" s="19" t="str">
        <x:v>OSB/3 lap 22 mm</x:v>
      </x:c>
      <x:c r="F81" s="19" t="str">
        <x:v>járófelülethez</x:v>
      </x:c>
      <x:c r="G81" s="19" t="str">
        <x:v>m²</x:v>
      </x:c>
      <x:c r="H81" s="203" t="n">
        <x:v>6200</x:v>
      </x:c>
      <x:c r="I81" s="204" t="n">
        <x:v>0.27</x:v>
      </x:c>
      <x:c r="J81" s="203" t="n">
        <x:f>IFERROR(H81/(1+I81),"")</x:f>
        <x:v>4881.889763779527</x:v>
      </x:c>
      <x:c r="K81" s="205" t="n">
        <x:v>0.15</x:v>
      </x:c>
      <x:c r="L81" s="203" t="n">
        <x:f>IFERROR(J81*(1-K81),"")</x:f>
        <x:v>4149.606299212598</x:v>
      </x:c>
      <x:c r="M81" s="19" t="str">
        <x:v>27% normál belföldi</x:v>
      </x:c>
      <x:c r="N81" s="204" t="n">
        <x:v>0.27</x:v>
      </x:c>
      <x:c r="O81" s="204" t="n">
        <x:v>0</x:v>
      </x:c>
      <x:c r="P81" s="19" t="str">
        <x:v>NEM</x:v>
      </x:c>
      <x:c r="Q81" s="203" t="n">
        <x:f>IFERROR(L81*(1+N81),"")</x:f>
        <x:v>5270</x:v>
      </x:c>
      <x:c r="R81" s="205" t="n">
        <x:v>0.08</x:v>
      </x:c>
      <x:c r="S81" s="203" t="n">
        <x:f>IFERROR(Q81*(1+R81),"")</x:f>
        <x:v>5691.6</x:v>
      </x:c>
      <x:c r="T81" s="206" t="n">
        <x:v>150</x:v>
      </x:c>
      <x:c r="U81" s="206" t="n">
        <x:v>0</x:v>
      </x:c>
      <x:c r="V81" s="203" t="n">
        <x:f>IFERROR(S81+T81+U81,"")</x:f>
        <x:v>5841.6</x:v>
      </x:c>
      <x:c r="W81" s="203" t="n">
        <x:f>IFERROR(H81/(1+Anyag_Beallitasok!$B$2)*Anyag_Beallitasok!$B$9,"")</x:f>
        <x:v>5904.761904761905</x:v>
      </x:c>
      <x:c r="X81" s="203" t="n">
        <x:f>IFERROR(V81/((1-Anyag_Beallitasok!$B$3)*(1+Anyag_Beallitasok!$B$2)),"")</x:f>
        <x:v>8559.12087912088</x:v>
      </x:c>
      <x:c r="Y81" s="203" t="n">
        <x:f>IFERROR(V81/((1-Anyag_Beallitasok!$B$4)*(1+Anyag_Beallitasok!$B$2)),"")</x:f>
        <x:v>11126.857142857143</x:v>
      </x:c>
      <x:c r="Z81" s="203" t="n">
        <x:f>IFERROR(ROUNDUP(MAX(W81,X81)/Anyag_Beallitasok!$B$6,0)*Anyag_Beallitasok!$B$6,"")</x:f>
        <x:v>8600</x:v>
      </x:c>
      <x:c r="AA81" s="204" t="n">
        <x:f>Anyag_Beallitasok!$B$2</x:f>
        <x:v>0.05</x:v>
      </x:c>
      <x:c r="AB81" s="203" t="n">
        <x:f>IFERROR(Z81*(1+AA81),"")</x:f>
        <x:v>9030</x:v>
      </x:c>
      <x:c r="AC81" s="204" t="n">
        <x:f>IFERROR(1-V81/H81,"")</x:f>
        <x:v>0.05780645161290321</x:v>
      </x:c>
      <x:c r="AD81" s="204" t="n">
        <x:f>IFERROR(1-V81/AB81,"")</x:f>
        <x:v>0.3530897009966777</x:v>
      </x:c>
      <x:c r="AE81" s="19" t="str">
        <x:f>IF(AC81&lt;Anyag_Beallitasok!$B$3,"NEM ÉRI EL A 35%-OT",IF(AC81&lt;Anyag_Beallitasok!$B$4,"MINIMUM 35–49,9%",IF(AC81&lt;Anyag_Beallitasok!$B$5,"IDEÁLIS 50–59,9%","KIEMELKEDŐ ≥60%")))</x:f>
        <x:v>NEM ÉRI EL A 35%-OT</x:v>
      </x:c>
      <x:c r="AF81" s="204" t="n">
        <x:f>IFERROR(AB81/H81-1,"")</x:f>
        <x:v>0.4564516129032259</x:v>
      </x:c>
      <x:c r="AG81" s="19" t="str">
        <x:f>IF(AND(P81="IGEN",O81&gt;0),IF(AF81&gt;Anyag_Beallitasok!$B$10,"0%-OS SZÁMLA + ÖNADÓZÁS; FELÁR SZÜKSÉGES","0%-OS SZÁMLA + ÖNADÓZÁS"),IF(AF81&gt;Anyag_Beallitasok!$B$10,"FELÁR SZÜKSÉGES A 35%-HOZ",IF(AC81&lt;Anyag_Beallitasok!$B$3,"PIACI ÁRON NEM TARTHATÓ A 35%","OK")))</x:f>
        <x:v>FELÁR SZÜKSÉGES A 35%-HOZ</x:v>
      </x:c>
      <x:c r="AH81" s="207" t="n">
        <x:v>0</x:v>
      </x:c>
      <x:c r="AI81" s="207" t="n">
        <x:v>145</x:v>
      </x:c>
      <x:c r="AJ81" s="207" t="n">
        <x:v>0</x:v>
      </x:c>
      <x:c r="AK81" s="208"/>
      <x:c r="AL81" s="203" t="str">
        <x:f>IF(AK81="","",V81*AK81)</x:f>
      </x:c>
      <x:c r="AM81" s="203" t="str">
        <x:f>IF(AK81="","",AB81*AK81)</x:f>
      </x:c>
      <x:c r="AN81" s="204" t="str">
        <x:f>IFERROR(1-AL81/AM81,"")</x:f>
      </x:c>
      <x:c r="AO81" s="19" t="str">
        <x:v>https://www.winklertuzep.hu/arlista-web/Sz%C3%A1raz%C3%A9p%C3%ADt%C3%A9s</x:v>
      </x:c>
      <x:c r="AP81" s="19" t="str">
        <x:v>2026 piaci becslés</x:v>
      </x:c>
      <x:c r="AQ81" s="19" t="str"/>
    </x:row>
    <x:row r="82">
      <x:c r="A82" s="19" t="str">
        <x:v>ANY-0081</x:v>
      </x:c>
      <x:c r="B82" s="19" t="str">
        <x:v>06 Könnyűszerkezet</x:v>
      </x:c>
      <x:c r="C82" s="19" t="str">
        <x:v>Faváz és könnyűacél anyagok</x:v>
      </x:c>
      <x:c r="D82" s="19" t="str">
        <x:v>Faváz / könnyűacél</x:v>
      </x:c>
      <x:c r="E82" s="19" t="str">
        <x:v>Cementkötésű lap 12 mm</x:v>
      </x:c>
      <x:c r="F82" s="19" t="str">
        <x:v>külső burkolat</x:v>
      </x:c>
      <x:c r="G82" s="19" t="str">
        <x:v>m²</x:v>
      </x:c>
      <x:c r="H82" s="203" t="n">
        <x:v>7800</x:v>
      </x:c>
      <x:c r="I82" s="204" t="n">
        <x:v>0.27</x:v>
      </x:c>
      <x:c r="J82" s="203" t="n">
        <x:f>IFERROR(H82/(1+I82),"")</x:f>
        <x:v>6141.7322834645665</x:v>
      </x:c>
      <x:c r="K82" s="205" t="n">
        <x:v>0.18</x:v>
      </x:c>
      <x:c r="L82" s="203" t="n">
        <x:f>IFERROR(J82*(1-K82),"")</x:f>
        <x:v>5036.220472440945</x:v>
      </x:c>
      <x:c r="M82" s="19" t="str">
        <x:v>27% normál belföldi</x:v>
      </x:c>
      <x:c r="N82" s="204" t="n">
        <x:v>0.27</x:v>
      </x:c>
      <x:c r="O82" s="204" t="n">
        <x:v>0</x:v>
      </x:c>
      <x:c r="P82" s="19" t="str">
        <x:v>NEM</x:v>
      </x:c>
      <x:c r="Q82" s="203" t="n">
        <x:f>IFERROR(L82*(1+N82),"")</x:f>
        <x:v>6396</x:v>
      </x:c>
      <x:c r="R82" s="205" t="n">
        <x:v>0.08</x:v>
      </x:c>
      <x:c r="S82" s="203" t="n">
        <x:f>IFERROR(Q82*(1+R82),"")</x:f>
        <x:v>6907.68</x:v>
      </x:c>
      <x:c r="T82" s="206" t="n">
        <x:v>180</x:v>
      </x:c>
      <x:c r="U82" s="206" t="n">
        <x:v>0</x:v>
      </x:c>
      <x:c r="V82" s="203" t="n">
        <x:f>IFERROR(S82+T82+U82,"")</x:f>
        <x:v>7087.68</x:v>
      </x:c>
      <x:c r="W82" s="203" t="n">
        <x:f>IFERROR(H82/(1+Anyag_Beallitasok!$B$2)*Anyag_Beallitasok!$B$9,"")</x:f>
        <x:v>7428.571428571428</x:v>
      </x:c>
      <x:c r="X82" s="203" t="n">
        <x:f>IFERROR(V82/((1-Anyag_Beallitasok!$B$3)*(1+Anyag_Beallitasok!$B$2)),"")</x:f>
        <x:v>10384.879120879119</x:v>
      </x:c>
      <x:c r="Y82" s="203" t="n">
        <x:f>IFERROR(V82/((1-Anyag_Beallitasok!$B$4)*(1+Anyag_Beallitasok!$B$2)),"")</x:f>
        <x:v>13500.342857142858</x:v>
      </x:c>
      <x:c r="Z82" s="203" t="n">
        <x:f>IFERROR(ROUNDUP(MAX(W82,X82)/Anyag_Beallitasok!$B$6,0)*Anyag_Beallitasok!$B$6,"")</x:f>
        <x:v>10400</x:v>
      </x:c>
      <x:c r="AA82" s="204" t="n">
        <x:f>Anyag_Beallitasok!$B$2</x:f>
        <x:v>0.05</x:v>
      </x:c>
      <x:c r="AB82" s="203" t="n">
        <x:f>IFERROR(Z82*(1+AA82),"")</x:f>
        <x:v>10920</x:v>
      </x:c>
      <x:c r="AC82" s="204" t="n">
        <x:f>IFERROR(1-V82/H82,"")</x:f>
        <x:v>0.09132307692307684</x:v>
      </x:c>
      <x:c r="AD82" s="204" t="n">
        <x:f>IFERROR(1-V82/AB82,"")</x:f>
        <x:v>0.3509450549450549</x:v>
      </x:c>
      <x:c r="AE82" s="19" t="str">
        <x:f>IF(AC82&lt;Anyag_Beallitasok!$B$3,"NEM ÉRI EL A 35%-OT",IF(AC82&lt;Anyag_Beallitasok!$B$4,"MINIMUM 35–49,9%",IF(AC82&lt;Anyag_Beallitasok!$B$5,"IDEÁLIS 50–59,9%","KIEMELKEDŐ ≥60%")))</x:f>
        <x:v>NEM ÉRI EL A 35%-OT</x:v>
      </x:c>
      <x:c r="AF82" s="204" t="n">
        <x:f>IFERROR(AB82/H82-1,"")</x:f>
        <x:v>0.3999999999999999</x:v>
      </x:c>
      <x:c r="AG82" s="19" t="str">
        <x:f>IF(AND(P82="IGEN",O82&gt;0),IF(AF82&gt;Anyag_Beallitasok!$B$10,"0%-OS SZÁMLA + ÖNADÓZÁS; FELÁR SZÜKSÉGES","0%-OS SZÁMLA + ÖNADÓZÁS"),IF(AF82&gt;Anyag_Beallitasok!$B$10,"FELÁR SZÜKSÉGES A 35%-HOZ",IF(AC82&lt;Anyag_Beallitasok!$B$3,"PIACI ÁRON NEM TARTHATÓ A 35%","OK")))</x:f>
        <x:v>FELÁR SZÜKSÉGES A 35%-HOZ</x:v>
      </x:c>
      <x:c r="AH82" s="207" t="n">
        <x:v>0</x:v>
      </x:c>
      <x:c r="AI82" s="207" t="n">
        <x:v>180</x:v>
      </x:c>
      <x:c r="AJ82" s="207" t="n">
        <x:v>0</x:v>
      </x:c>
      <x:c r="AK82" s="208"/>
      <x:c r="AL82" s="203" t="str">
        <x:f>IF(AK82="","",V82*AK82)</x:f>
      </x:c>
      <x:c r="AM82" s="203" t="str">
        <x:f>IF(AK82="","",AB82*AK82)</x:f>
      </x:c>
      <x:c r="AN82" s="204" t="str">
        <x:f>IFERROR(1-AL82/AM82,"")</x:f>
      </x:c>
      <x:c r="AO82" s="19" t="str">
        <x:v>https://www.winklertuzep.hu/arlista-web/Sz%C3%A1raz%C3%A9p%C3%ADt%C3%A9s</x:v>
      </x:c>
      <x:c r="AP82" s="19" t="str">
        <x:v>2026 piaci becslés</x:v>
      </x:c>
      <x:c r="AQ82" s="19" t="str"/>
    </x:row>
    <x:row r="83">
      <x:c r="A83" s="19" t="str">
        <x:v>ANY-0082</x:v>
      </x:c>
      <x:c r="B83" s="19" t="str">
        <x:v>06 Könnyűszerkezet</x:v>
      </x:c>
      <x:c r="C83" s="19" t="str">
        <x:v>Faváz és könnyűacél anyagok</x:v>
      </x:c>
      <x:c r="D83" s="19" t="str">
        <x:v>Faváz / könnyűacél</x:v>
      </x:c>
      <x:c r="E83" s="19" t="str">
        <x:v>Páraáteresztő szélzáró fólia</x:v>
      </x:c>
      <x:c r="F83" s="19" t="str">
        <x:v>homlokzati</x:v>
      </x:c>
      <x:c r="G83" s="19" t="str">
        <x:v>m²</x:v>
      </x:c>
      <x:c r="H83" s="203" t="n">
        <x:v>780</x:v>
      </x:c>
      <x:c r="I83" s="204" t="n">
        <x:v>0.27</x:v>
      </x:c>
      <x:c r="J83" s="203" t="n">
        <x:f>IFERROR(H83/(1+I83),"")</x:f>
        <x:v>614.1732283464567</x:v>
      </x:c>
      <x:c r="K83" s="205" t="n">
        <x:v>0.18</x:v>
      </x:c>
      <x:c r="L83" s="203" t="n">
        <x:f>IFERROR(J83*(1-K83),"")</x:f>
        <x:v>503.6220472440945</x:v>
      </x:c>
      <x:c r="M83" s="19" t="str">
        <x:v>27% normál belföldi</x:v>
      </x:c>
      <x:c r="N83" s="204" t="n">
        <x:v>0.27</x:v>
      </x:c>
      <x:c r="O83" s="204" t="n">
        <x:v>0</x:v>
      </x:c>
      <x:c r="P83" s="19" t="str">
        <x:v>NEM</x:v>
      </x:c>
      <x:c r="Q83" s="203" t="n">
        <x:f>IFERROR(L83*(1+N83),"")</x:f>
        <x:v>639.6</x:v>
      </x:c>
      <x:c r="R83" s="205" t="n">
        <x:v>0.12</x:v>
      </x:c>
      <x:c r="S83" s="203" t="n">
        <x:f>IFERROR(Q83*(1+R83),"")</x:f>
        <x:v>716.3520000000001</x:v>
      </x:c>
      <x:c r="T83" s="206" t="n">
        <x:v>25</x:v>
      </x:c>
      <x:c r="U83" s="206" t="n">
        <x:v>0</x:v>
      </x:c>
      <x:c r="V83" s="203" t="n">
        <x:f>IFERROR(S83+T83+U83,"")</x:f>
        <x:v>741.3520000000001</x:v>
      </x:c>
      <x:c r="W83" s="203" t="n">
        <x:f>IFERROR(H83/(1+Anyag_Beallitasok!$B$2)*Anyag_Beallitasok!$B$9,"")</x:f>
        <x:v>742.8571428571428</x:v>
      </x:c>
      <x:c r="X83" s="203" t="n">
        <x:f>IFERROR(V83/((1-Anyag_Beallitasok!$B$3)*(1+Anyag_Beallitasok!$B$2)),"")</x:f>
        <x:v>1086.2300366300367</x:v>
      </x:c>
      <x:c r="Y83" s="203" t="n">
        <x:f>IFERROR(V83/((1-Anyag_Beallitasok!$B$4)*(1+Anyag_Beallitasok!$B$2)),"")</x:f>
        <x:v>1412.0990476190477</x:v>
      </x:c>
      <x:c r="Z83" s="203" t="n">
        <x:f>IFERROR(ROUNDUP(MAX(W83,X83)/Anyag_Beallitasok!$B$6,0)*Anyag_Beallitasok!$B$6,"")</x:f>
        <x:v>1100</x:v>
      </x:c>
      <x:c r="AA83" s="204" t="n">
        <x:f>Anyag_Beallitasok!$B$2</x:f>
        <x:v>0.05</x:v>
      </x:c>
      <x:c r="AB83" s="203" t="n">
        <x:f>IFERROR(Z83*(1+AA83),"")</x:f>
        <x:v>1155</x:v>
      </x:c>
      <x:c r="AC83" s="204" t="n">
        <x:f>IFERROR(1-V83/H83,"")</x:f>
        <x:v>0.049548717948717846</x:v>
      </x:c>
      <x:c r="AD83" s="204" t="n">
        <x:f>IFERROR(1-V83/AB83,"")</x:f>
        <x:v>0.3581367965367964</x:v>
      </x:c>
      <x:c r="AE83" s="19" t="str">
        <x:f>IF(AC83&lt;Anyag_Beallitasok!$B$3,"NEM ÉRI EL A 35%-OT",IF(AC83&lt;Anyag_Beallitasok!$B$4,"MINIMUM 35–49,9%",IF(AC83&lt;Anyag_Beallitasok!$B$5,"IDEÁLIS 50–59,9%","KIEMELKEDŐ ≥60%")))</x:f>
        <x:v>NEM ÉRI EL A 35%-OT</x:v>
      </x:c>
      <x:c r="AF83" s="204" t="n">
        <x:f>IFERROR(AB83/H83-1,"")</x:f>
        <x:v>0.48076923076923084</x:v>
      </x:c>
      <x:c r="AG83" s="19" t="str">
        <x:f>IF(AND(P83="IGEN",O83&gt;0),IF(AF83&gt;Anyag_Beallitasok!$B$10,"0%-OS SZÁMLA + ÖNADÓZÁS; FELÁR SZÜKSÉGES","0%-OS SZÁMLA + ÖNADÓZÁS"),IF(AF83&gt;Anyag_Beallitasok!$B$10,"FELÁR SZÜKSÉGES A 35%-HOZ",IF(AC83&lt;Anyag_Beallitasok!$B$3,"PIACI ÁRON NEM TARTHATÓ A 35%","OK")))</x:f>
        <x:v>FELÁR SZÜKSÉGES A 35%-HOZ</x:v>
      </x:c>
      <x:c r="AH83" s="207" t="n">
        <x:v>0</x:v>
      </x:c>
      <x:c r="AI83" s="207" t="n">
        <x:v>220</x:v>
      </x:c>
      <x:c r="AJ83" s="207" t="n">
        <x:v>0</x:v>
      </x:c>
      <x:c r="AK83" s="208"/>
      <x:c r="AL83" s="203" t="str">
        <x:f>IF(AK83="","",V83*AK83)</x:f>
      </x:c>
      <x:c r="AM83" s="203" t="str">
        <x:f>IF(AK83="","",AB83*AK83)</x:f>
      </x:c>
      <x:c r="AN83" s="204" t="str">
        <x:f>IFERROR(1-AL83/AM83,"")</x:f>
      </x:c>
      <x:c r="AO83" s="19" t="str">
        <x:v>https://www.hoszigetelesplaza.hu/eps-80-homlokzati-hoszigetelo-lemez-15-cm-vastag</x:v>
      </x:c>
      <x:c r="AP83" s="19" t="str">
        <x:v>Mérnöki piaci becslés</x:v>
      </x:c>
      <x:c r="AQ83" s="19" t="str"/>
    </x:row>
    <x:row r="84">
      <x:c r="A84" s="19" t="str">
        <x:v>ANY-0083</x:v>
      </x:c>
      <x:c r="B84" s="19" t="str">
        <x:v>06 Könnyűszerkezet</x:v>
      </x:c>
      <x:c r="C84" s="19" t="str">
        <x:v>Faváz és könnyűacél anyagok</x:v>
      </x:c>
      <x:c r="D84" s="19" t="str">
        <x:v>Faváz / könnyűacél</x:v>
      </x:c>
      <x:c r="E84" s="19" t="str">
        <x:v>Intelligens párafékező fólia</x:v>
      </x:c>
      <x:c r="F84" s="19" t="str">
        <x:v>belső légzárás</x:v>
      </x:c>
      <x:c r="G84" s="19" t="str">
        <x:v>m²</x:v>
      </x:c>
      <x:c r="H84" s="203" t="n">
        <x:v>1450</x:v>
      </x:c>
      <x:c r="I84" s="204" t="n">
        <x:v>0.27</x:v>
      </x:c>
      <x:c r="J84" s="203" t="n">
        <x:f>IFERROR(H84/(1+I84),"")</x:f>
        <x:v>1141.732283464567</x:v>
      </x:c>
      <x:c r="K84" s="205" t="n">
        <x:v>0.18</x:v>
      </x:c>
      <x:c r="L84" s="203" t="n">
        <x:f>IFERROR(J84*(1-K84),"")</x:f>
        <x:v>936.2204724409451</x:v>
      </x:c>
      <x:c r="M84" s="19" t="str">
        <x:v>27% normál belföldi</x:v>
      </x:c>
      <x:c r="N84" s="204" t="n">
        <x:v>0.27</x:v>
      </x:c>
      <x:c r="O84" s="204" t="n">
        <x:v>0</x:v>
      </x:c>
      <x:c r="P84" s="19" t="str">
        <x:v>NEM</x:v>
      </x:c>
      <x:c r="Q84" s="203" t="n">
        <x:f>IFERROR(L84*(1+N84),"")</x:f>
        <x:v>1189.0000000000002</x:v>
      </x:c>
      <x:c r="R84" s="205" t="n">
        <x:v>0.12</x:v>
      </x:c>
      <x:c r="S84" s="203" t="n">
        <x:f>IFERROR(Q84*(1+R84),"")</x:f>
        <x:v>1331.6800000000003</x:v>
      </x:c>
      <x:c r="T84" s="206" t="n">
        <x:v>35</x:v>
      </x:c>
      <x:c r="U84" s="206" t="n">
        <x:v>0</x:v>
      </x:c>
      <x:c r="V84" s="203" t="n">
        <x:f>IFERROR(S84+T84+U84,"")</x:f>
        <x:v>1366.6800000000003</x:v>
      </x:c>
      <x:c r="W84" s="203" t="n">
        <x:f>IFERROR(H84/(1+Anyag_Beallitasok!$B$2)*Anyag_Beallitasok!$B$9,"")</x:f>
        <x:v>1380.952380952381</x:v>
      </x:c>
      <x:c r="X84" s="203" t="n">
        <x:f>IFERROR(V84/((1-Anyag_Beallitasok!$B$3)*(1+Anyag_Beallitasok!$B$2)),"")</x:f>
        <x:v>2002.4615384615386</x:v>
      </x:c>
      <x:c r="Y84" s="203" t="n">
        <x:f>IFERROR(V84/((1-Anyag_Beallitasok!$B$4)*(1+Anyag_Beallitasok!$B$2)),"")</x:f>
        <x:v>2603.2000000000003</x:v>
      </x:c>
      <x:c r="Z84" s="203" t="n">
        <x:f>IFERROR(ROUNDUP(MAX(W84,X84)/Anyag_Beallitasok!$B$6,0)*Anyag_Beallitasok!$B$6,"")</x:f>
        <x:v>2050</x:v>
      </x:c>
      <x:c r="AA84" s="204" t="n">
        <x:f>Anyag_Beallitasok!$B$2</x:f>
        <x:v>0.05</x:v>
      </x:c>
      <x:c r="AB84" s="203" t="n">
        <x:f>IFERROR(Z84*(1+AA84),"")</x:f>
        <x:v>2152.5</x:v>
      </x:c>
      <x:c r="AC84" s="204" t="n">
        <x:f>IFERROR(1-V84/H84,"")</x:f>
        <x:v>0.05746206896551709</x:v>
      </x:c>
      <x:c r="AD84" s="204" t="n">
        <x:f>IFERROR(1-V84/AB84,"")</x:f>
        <x:v>0.3650731707317072</x:v>
      </x:c>
      <x:c r="AE84" s="19" t="str">
        <x:f>IF(AC84&lt;Anyag_Beallitasok!$B$3,"NEM ÉRI EL A 35%-OT",IF(AC84&lt;Anyag_Beallitasok!$B$4,"MINIMUM 35–49,9%",IF(AC84&lt;Anyag_Beallitasok!$B$5,"IDEÁLIS 50–59,9%","KIEMELKEDŐ ≥60%")))</x:f>
        <x:v>NEM ÉRI EL A 35%-OT</x:v>
      </x:c>
      <x:c r="AF84" s="204" t="n">
        <x:f>IFERROR(AB84/H84-1,"")</x:f>
        <x:v>0.4844827586206897</x:v>
      </x:c>
      <x:c r="AG84" s="19" t="str">
        <x:f>IF(AND(P84="IGEN",O84&gt;0),IF(AF84&gt;Anyag_Beallitasok!$B$10,"0%-OS SZÁMLA + ÖNADÓZÁS; FELÁR SZÜKSÉGES","0%-OS SZÁMLA + ÖNADÓZÁS"),IF(AF84&gt;Anyag_Beallitasok!$B$10,"FELÁR SZÜKSÉGES A 35%-HOZ",IF(AC84&lt;Anyag_Beallitasok!$B$3,"PIACI ÁRON NEM TARTHATÓ A 35%","OK")))</x:f>
        <x:v>FELÁR SZÜKSÉGES A 35%-HOZ</x:v>
      </x:c>
      <x:c r="AH84" s="207" t="n">
        <x:v>0</x:v>
      </x:c>
      <x:c r="AI84" s="207" t="n">
        <x:v>250</x:v>
      </x:c>
      <x:c r="AJ84" s="207" t="n">
        <x:v>0</x:v>
      </x:c>
      <x:c r="AK84" s="208"/>
      <x:c r="AL84" s="203" t="str">
        <x:f>IF(AK84="","",V84*AK84)</x:f>
      </x:c>
      <x:c r="AM84" s="203" t="str">
        <x:f>IF(AK84="","",AB84*AK84)</x:f>
      </x:c>
      <x:c r="AN84" s="204" t="str">
        <x:f>IFERROR(1-AL84/AM84,"")</x:f>
      </x:c>
      <x:c r="AO84" s="19" t="str">
        <x:v>https://www.hoszigetelesplaza.hu/eps-80-homlokzati-hoszigetelo-lemez-15-cm-vastag</x:v>
      </x:c>
      <x:c r="AP84" s="19" t="str">
        <x:v>Mérnöki piaci becslés</x:v>
      </x:c>
      <x:c r="AQ84" s="19" t="str"/>
    </x:row>
    <x:row r="85">
      <x:c r="A85" s="19" t="str">
        <x:v>ANY-0084</x:v>
      </x:c>
      <x:c r="B85" s="19" t="str">
        <x:v>06 Könnyűszerkezet</x:v>
      </x:c>
      <x:c r="C85" s="19" t="str">
        <x:v>Faváz és könnyűacél anyagok</x:v>
      </x:c>
      <x:c r="D85" s="19" t="str">
        <x:v>Faváz / könnyűacél</x:v>
      </x:c>
      <x:c r="E85" s="19" t="str">
        <x:v>Fóliaragasztó szalag</x:v>
      </x:c>
      <x:c r="F85" s="19" t="str">
        <x:v>60 mm</x:v>
      </x:c>
      <x:c r="G85" s="19" t="str">
        <x:v>fm</x:v>
      </x:c>
      <x:c r="H85" s="203" t="n">
        <x:v>260</x:v>
      </x:c>
      <x:c r="I85" s="204" t="n">
        <x:v>0.27</x:v>
      </x:c>
      <x:c r="J85" s="203" t="n">
        <x:f>IFERROR(H85/(1+I85),"")</x:f>
        <x:v>204.7244094488189</x:v>
      </x:c>
      <x:c r="K85" s="205" t="n">
        <x:v>0.2</x:v>
      </x:c>
      <x:c r="L85" s="203" t="n">
        <x:f>IFERROR(J85*(1-K85),"")</x:f>
        <x:v>163.77952755905514</x:v>
      </x:c>
      <x:c r="M85" s="19" t="str">
        <x:v>27% normál belföldi</x:v>
      </x:c>
      <x:c r="N85" s="204" t="n">
        <x:v>0.27</x:v>
      </x:c>
      <x:c r="O85" s="204" t="n">
        <x:v>0</x:v>
      </x:c>
      <x:c r="P85" s="19" t="str">
        <x:v>NEM</x:v>
      </x:c>
      <x:c r="Q85" s="203" t="n">
        <x:f>IFERROR(L85*(1+N85),"")</x:f>
        <x:v>208.00000000000003</x:v>
      </x:c>
      <x:c r="R85" s="205" t="n">
        <x:v>0.15</x:v>
      </x:c>
      <x:c r="S85" s="203" t="n">
        <x:f>IFERROR(Q85*(1+R85),"")</x:f>
        <x:v>239.20000000000002</x:v>
      </x:c>
      <x:c r="T85" s="206" t="n">
        <x:v>8</x:v>
      </x:c>
      <x:c r="U85" s="206" t="n">
        <x:v>0</x:v>
      </x:c>
      <x:c r="V85" s="203" t="n">
        <x:f>IFERROR(S85+T85+U85,"")</x:f>
        <x:v>247.20000000000002</x:v>
      </x:c>
      <x:c r="W85" s="203" t="n">
        <x:f>IFERROR(H85/(1+Anyag_Beallitasok!$B$2)*Anyag_Beallitasok!$B$9,"")</x:f>
        <x:v>247.61904761904762</x:v>
      </x:c>
      <x:c r="X85" s="203" t="n">
        <x:f>IFERROR(V85/((1-Anyag_Beallitasok!$B$3)*(1+Anyag_Beallitasok!$B$2)),"")</x:f>
        <x:v>362.19780219780216</x:v>
      </x:c>
      <x:c r="Y85" s="203" t="n">
        <x:f>IFERROR(V85/((1-Anyag_Beallitasok!$B$4)*(1+Anyag_Beallitasok!$B$2)),"")</x:f>
        <x:v>470.8571428571429</x:v>
      </x:c>
      <x:c r="Z85" s="203" t="n">
        <x:f>IFERROR(ROUNDUP(MAX(W85,X85)/Anyag_Beallitasok!$B$6,0)*Anyag_Beallitasok!$B$6,"")</x:f>
        <x:v>400</x:v>
      </x:c>
      <x:c r="AA85" s="204" t="n">
        <x:f>Anyag_Beallitasok!$B$2</x:f>
        <x:v>0.05</x:v>
      </x:c>
      <x:c r="AB85" s="203" t="n">
        <x:f>IFERROR(Z85*(1+AA85),"")</x:f>
        <x:v>420</x:v>
      </x:c>
      <x:c r="AC85" s="204" t="n">
        <x:f>IFERROR(1-V85/H85,"")</x:f>
        <x:v>0.04923076923076919</x:v>
      </x:c>
      <x:c r="AD85" s="204" t="n">
        <x:f>IFERROR(1-V85/AB85,"")</x:f>
        <x:v>0.41142857142857137</x:v>
      </x:c>
      <x:c r="AE85" s="19" t="str">
        <x:f>IF(AC85&lt;Anyag_Beallitasok!$B$3,"NEM ÉRI EL A 35%-OT",IF(AC85&lt;Anyag_Beallitasok!$B$4,"MINIMUM 35–49,9%",IF(AC85&lt;Anyag_Beallitasok!$B$5,"IDEÁLIS 50–59,9%","KIEMELKEDŐ ≥60%")))</x:f>
        <x:v>NEM ÉRI EL A 35%-OT</x:v>
      </x:c>
      <x:c r="AF85" s="204" t="n">
        <x:f>IFERROR(AB85/H85-1,"")</x:f>
        <x:v>0.6153846153846154</x:v>
      </x:c>
      <x:c r="AG85" s="19" t="str">
        <x:f>IF(AND(P85="IGEN",O85&gt;0),IF(AF85&gt;Anyag_Beallitasok!$B$10,"0%-OS SZÁMLA + ÖNADÓZÁS; FELÁR SZÜKSÉGES","0%-OS SZÁMLA + ÖNADÓZÁS"),IF(AF85&gt;Anyag_Beallitasok!$B$10,"FELÁR SZÜKSÉGES A 35%-HOZ",IF(AC85&lt;Anyag_Beallitasok!$B$3,"PIACI ÁRON NEM TARTHATÓ A 35%","OK")))</x:f>
        <x:v>FELÁR SZÜKSÉGES A 35%-HOZ</x:v>
      </x:c>
      <x:c r="AH85" s="207" t="n">
        <x:v>0</x:v>
      </x:c>
      <x:c r="AI85" s="207" t="n">
        <x:v>1200</x:v>
      </x:c>
      <x:c r="AJ85" s="207" t="n">
        <x:v>0</x:v>
      </x:c>
      <x:c r="AK85" s="208"/>
      <x:c r="AL85" s="203" t="str">
        <x:f>IF(AK85="","",V85*AK85)</x:f>
      </x:c>
      <x:c r="AM85" s="203" t="str">
        <x:f>IF(AK85="","",AB85*AK85)</x:f>
      </x:c>
      <x:c r="AN85" s="204" t="str">
        <x:f>IFERROR(1-AL85/AM85,"")</x:f>
      </x:c>
      <x:c r="AO85" s="19" t="str">
        <x:v>https://www.winklertuzep.hu/arlista-web/Sz%C3%A1raz%C3%A9p%C3%ADt%C3%A9s</x:v>
      </x:c>
      <x:c r="AP85" s="19" t="str">
        <x:v>Mérnöki piaci becslés</x:v>
      </x:c>
      <x:c r="AQ85" s="19" t="str"/>
    </x:row>
    <x:row r="86">
      <x:c r="A86" s="19" t="str">
        <x:v>ANY-0085</x:v>
      </x:c>
      <x:c r="B86" s="19" t="str">
        <x:v>06 Könnyűszerkezet</x:v>
      </x:c>
      <x:c r="C86" s="19" t="str">
        <x:v>Faváz és könnyűacél anyagok</x:v>
      </x:c>
      <x:c r="D86" s="19" t="str">
        <x:v>Faváz / könnyűacél</x:v>
      </x:c>
      <x:c r="E86" s="19" t="str">
        <x:v>Akril légzáró ragasztó</x:v>
      </x:c>
      <x:c r="F86" s="19" t="str">
        <x:v>kartus</x:v>
      </x:c>
      <x:c r="G86" s="19" t="str">
        <x:v>db</x:v>
      </x:c>
      <x:c r="H86" s="203" t="n">
        <x:v>3600</x:v>
      </x:c>
      <x:c r="I86" s="204" t="n">
        <x:v>0.27</x:v>
      </x:c>
      <x:c r="J86" s="203" t="n">
        <x:f>IFERROR(H86/(1+I86),"")</x:f>
        <x:v>2834.6456692913384</x:v>
      </x:c>
      <x:c r="K86" s="205" t="n">
        <x:v>0.2</x:v>
      </x:c>
      <x:c r="L86" s="203" t="n">
        <x:f>IFERROR(J86*(1-K86),"")</x:f>
        <x:v>2267.716535433071</x:v>
      </x:c>
      <x:c r="M86" s="19" t="str">
        <x:v>27% normál belföldi</x:v>
      </x:c>
      <x:c r="N86" s="204" t="n">
        <x:v>0.27</x:v>
      </x:c>
      <x:c r="O86" s="204" t="n">
        <x:v>0</x:v>
      </x:c>
      <x:c r="P86" s="19" t="str">
        <x:v>NEM</x:v>
      </x:c>
      <x:c r="Q86" s="203" t="n">
        <x:f>IFERROR(L86*(1+N86),"")</x:f>
        <x:v>2880</x:v>
      </x:c>
      <x:c r="R86" s="205" t="n">
        <x:v>0.1</x:v>
      </x:c>
      <x:c r="S86" s="203" t="n">
        <x:f>IFERROR(Q86*(1+R86),"")</x:f>
        <x:v>3168.0000000000005</x:v>
      </x:c>
      <x:c r="T86" s="206" t="n">
        <x:v>80</x:v>
      </x:c>
      <x:c r="U86" s="206" t="n">
        <x:v>0</x:v>
      </x:c>
      <x:c r="V86" s="203" t="n">
        <x:f>IFERROR(S86+T86+U86,"")</x:f>
        <x:v>3248.0000000000005</x:v>
      </x:c>
      <x:c r="W86" s="203" t="n">
        <x:f>IFERROR(H86/(1+Anyag_Beallitasok!$B$2)*Anyag_Beallitasok!$B$9,"")</x:f>
        <x:v>3428.5714285714284</x:v>
      </x:c>
      <x:c r="X86" s="203" t="n">
        <x:f>IFERROR(V86/((1-Anyag_Beallitasok!$B$3)*(1+Anyag_Beallitasok!$B$2)),"")</x:f>
        <x:v>4758.974358974359</x:v>
      </x:c>
      <x:c r="Y86" s="203" t="n">
        <x:f>IFERROR(V86/((1-Anyag_Beallitasok!$B$4)*(1+Anyag_Beallitasok!$B$2)),"")</x:f>
        <x:v>6186.666666666667</x:v>
      </x:c>
      <x:c r="Z86" s="203" t="n">
        <x:f>IFERROR(ROUNDUP(MAX(W86,X86)/Anyag_Beallitasok!$B$6,0)*Anyag_Beallitasok!$B$6,"")</x:f>
        <x:v>4800</x:v>
      </x:c>
      <x:c r="AA86" s="204" t="n">
        <x:f>Anyag_Beallitasok!$B$2</x:f>
        <x:v>0.05</x:v>
      </x:c>
      <x:c r="AB86" s="203" t="n">
        <x:f>IFERROR(Z86*(1+AA86),"")</x:f>
        <x:v>5040</x:v>
      </x:c>
      <x:c r="AC86" s="204" t="n">
        <x:f>IFERROR(1-V86/H86,"")</x:f>
        <x:v>0.09777777777777763</x:v>
      </x:c>
      <x:c r="AD86" s="204" t="n">
        <x:f>IFERROR(1-V86/AB86,"")</x:f>
        <x:v>0.3555555555555555</x:v>
      </x:c>
      <x:c r="AE86" s="19" t="str">
        <x:f>IF(AC86&lt;Anyag_Beallitasok!$B$3,"NEM ÉRI EL A 35%-OT",IF(AC86&lt;Anyag_Beallitasok!$B$4,"MINIMUM 35–49,9%",IF(AC86&lt;Anyag_Beallitasok!$B$5,"IDEÁLIS 50–59,9%","KIEMELKEDŐ ≥60%")))</x:f>
        <x:v>NEM ÉRI EL A 35%-OT</x:v>
      </x:c>
      <x:c r="AF86" s="204" t="n">
        <x:f>IFERROR(AB86/H86-1,"")</x:f>
        <x:v>0.3999999999999999</x:v>
      </x:c>
      <x:c r="AG86" s="19" t="str">
        <x:f>IF(AND(P86="IGEN",O86&gt;0),IF(AF86&gt;Anyag_Beallitasok!$B$10,"0%-OS SZÁMLA + ÖNADÓZÁS; FELÁR SZÜKSÉGES","0%-OS SZÁMLA + ÖNADÓZÁS"),IF(AF86&gt;Anyag_Beallitasok!$B$10,"FELÁR SZÜKSÉGES A 35%-HOZ",IF(AC86&lt;Anyag_Beallitasok!$B$3,"PIACI ÁRON NEM TARTHATÓ A 35%","OK")))</x:f>
        <x:v>FELÁR SZÜKSÉGES A 35%-HOZ</x:v>
      </x:c>
      <x:c r="AH86" s="207" t="n">
        <x:v>0</x:v>
      </x:c>
      <x:c r="AI86" s="207" t="n">
        <x:v>80</x:v>
      </x:c>
      <x:c r="AJ86" s="207" t="n">
        <x:v>0</x:v>
      </x:c>
      <x:c r="AK86" s="208"/>
      <x:c r="AL86" s="203" t="str">
        <x:f>IF(AK86="","",V86*AK86)</x:f>
      </x:c>
      <x:c r="AM86" s="203" t="str">
        <x:f>IF(AK86="","",AB86*AK86)</x:f>
      </x:c>
      <x:c r="AN86" s="204" t="str">
        <x:f>IFERROR(1-AL86/AM86,"")</x:f>
      </x:c>
      <x:c r="AO86" s="19" t="str">
        <x:v>https://www.winklertuzep.hu/arlista-web/Sz%C3%A1raz%C3%A9p%C3%ADt%C3%A9s</x:v>
      </x:c>
      <x:c r="AP86" s="19" t="str">
        <x:v>Mérnöki piaci becslés</x:v>
      </x:c>
      <x:c r="AQ86" s="19" t="str"/>
    </x:row>
    <x:row r="87">
      <x:c r="A87" s="19" t="str">
        <x:v>ANY-0086</x:v>
      </x:c>
      <x:c r="B87" s="19" t="str">
        <x:v>06 Könnyűszerkezet</x:v>
      </x:c>
      <x:c r="C87" s="19" t="str">
        <x:v>Faváz és könnyűacél anyagok</x:v>
      </x:c>
      <x:c r="D87" s="19" t="str">
        <x:v>Faváz / könnyűacél</x:v>
      </x:c>
      <x:c r="E87" s="19" t="str">
        <x:v>Szerkezeti facsavar 8×160</x:v>
      </x:c>
      <x:c r="F87" s="19" t="str">
        <x:v>ETA minősített</x:v>
      </x:c>
      <x:c r="G87" s="19" t="str">
        <x:v>db</x:v>
      </x:c>
      <x:c r="H87" s="203" t="n">
        <x:v>240</x:v>
      </x:c>
      <x:c r="I87" s="204" t="n">
        <x:v>0.27</x:v>
      </x:c>
      <x:c r="J87" s="203" t="n">
        <x:f>IFERROR(H87/(1+I87),"")</x:f>
        <x:v>188.9763779527559</x:v>
      </x:c>
      <x:c r="K87" s="205" t="n">
        <x:v>0.2</x:v>
      </x:c>
      <x:c r="L87" s="203" t="n">
        <x:f>IFERROR(J87*(1-K87),"")</x:f>
        <x:v>151.18110236220474</x:v>
      </x:c>
      <x:c r="M87" s="19" t="str">
        <x:v>27% normál belföldi</x:v>
      </x:c>
      <x:c r="N87" s="204" t="n">
        <x:v>0.27</x:v>
      </x:c>
      <x:c r="O87" s="204" t="n">
        <x:v>0</x:v>
      </x:c>
      <x:c r="P87" s="19" t="str">
        <x:v>NEM</x:v>
      </x:c>
      <x:c r="Q87" s="203" t="n">
        <x:f>IFERROR(L87*(1+N87),"")</x:f>
        <x:v>192.00000000000003</x:v>
      </x:c>
      <x:c r="R87" s="205" t="n">
        <x:v>0.08</x:v>
      </x:c>
      <x:c r="S87" s="203" t="n">
        <x:f>IFERROR(Q87*(1+R87),"")</x:f>
        <x:v>207.36000000000004</x:v>
      </x:c>
      <x:c r="T87" s="206" t="n">
        <x:v>5</x:v>
      </x:c>
      <x:c r="U87" s="206" t="n">
        <x:v>0</x:v>
      </x:c>
      <x:c r="V87" s="203" t="n">
        <x:f>IFERROR(S87+T87+U87,"")</x:f>
        <x:v>212.36000000000004</x:v>
      </x:c>
      <x:c r="W87" s="203" t="n">
        <x:f>IFERROR(H87/(1+Anyag_Beallitasok!$B$2)*Anyag_Beallitasok!$B$9,"")</x:f>
        <x:v>228.57142857142856</x:v>
      </x:c>
      <x:c r="X87" s="203" t="n">
        <x:f>IFERROR(V87/((1-Anyag_Beallitasok!$B$3)*(1+Anyag_Beallitasok!$B$2)),"")</x:f>
        <x:v>311.1501831501832</x:v>
      </x:c>
      <x:c r="Y87" s="203" t="n">
        <x:f>IFERROR(V87/((1-Anyag_Beallitasok!$B$4)*(1+Anyag_Beallitasok!$B$2)),"")</x:f>
        <x:v>404.49523809523816</x:v>
      </x:c>
      <x:c r="Z87" s="203" t="n">
        <x:f>IFERROR(ROUNDUP(MAX(W87,X87)/Anyag_Beallitasok!$B$6,0)*Anyag_Beallitasok!$B$6,"")</x:f>
        <x:v>350</x:v>
      </x:c>
      <x:c r="AA87" s="204" t="n">
        <x:f>Anyag_Beallitasok!$B$2</x:f>
        <x:v>0.05</x:v>
      </x:c>
      <x:c r="AB87" s="203" t="n">
        <x:f>IFERROR(Z87*(1+AA87),"")</x:f>
        <x:v>367.5</x:v>
      </x:c>
      <x:c r="AC87" s="204" t="n">
        <x:f>IFERROR(1-V87/H87,"")</x:f>
        <x:v>0.11516666666666653</x:v>
      </x:c>
      <x:c r="AD87" s="204" t="n">
        <x:f>IFERROR(1-V87/AB87,"")</x:f>
        <x:v>0.4221496598639455</x:v>
      </x:c>
      <x:c r="AE87" s="19" t="str">
        <x:f>IF(AC87&lt;Anyag_Beallitasok!$B$3,"NEM ÉRI EL A 35%-OT",IF(AC87&lt;Anyag_Beallitasok!$B$4,"MINIMUM 35–49,9%",IF(AC87&lt;Anyag_Beallitasok!$B$5,"IDEÁLIS 50–59,9%","KIEMELKEDŐ ≥60%")))</x:f>
        <x:v>NEM ÉRI EL A 35%-OT</x:v>
      </x:c>
      <x:c r="AF87" s="204" t="n">
        <x:f>IFERROR(AB87/H87-1,"")</x:f>
        <x:v>0.53125</x:v>
      </x:c>
      <x:c r="AG87" s="19" t="str">
        <x:f>IF(AND(P87="IGEN",O87&gt;0),IF(AF87&gt;Anyag_Beallitasok!$B$10,"0%-OS SZÁMLA + ÖNADÓZÁS; FELÁR SZÜKSÉGES","0%-OS SZÁMLA + ÖNADÓZÁS"),IF(AF87&gt;Anyag_Beallitasok!$B$10,"FELÁR SZÜKSÉGES A 35%-HOZ",IF(AC87&lt;Anyag_Beallitasok!$B$3,"PIACI ÁRON NEM TARTHATÓ A 35%","OK")))</x:f>
        <x:v>FELÁR SZÜKSÉGES A 35%-HOZ</x:v>
      </x:c>
      <x:c r="AH87" s="207" t="n">
        <x:v>0</x:v>
      </x:c>
      <x:c r="AI87" s="207" t="n">
        <x:v>1500</x:v>
      </x:c>
      <x:c r="AJ87" s="207" t="n">
        <x:v>0</x:v>
      </x:c>
      <x:c r="AK87" s="208"/>
      <x:c r="AL87" s="203" t="str">
        <x:f>IF(AK87="","",V87*AK87)</x:f>
      </x:c>
      <x:c r="AM87" s="203" t="str">
        <x:f>IF(AK87="","",AB87*AK87)</x:f>
      </x:c>
      <x:c r="AN87" s="204" t="str">
        <x:f>IFERROR(1-AL87/AM87,"")</x:f>
      </x:c>
      <x:c r="AO87" s="19" t="str">
        <x:v>https://www.winklertuzep.hu/arlista-web/Sz%C3%A1raz%C3%A9p%C3%ADt%C3%A9s</x:v>
      </x:c>
      <x:c r="AP87" s="19" t="str">
        <x:v>Mérnöki piaci becslés</x:v>
      </x:c>
      <x:c r="AQ87" s="19" t="str"/>
    </x:row>
    <x:row r="88">
      <x:c r="A88" s="19" t="str">
        <x:v>ANY-0087</x:v>
      </x:c>
      <x:c r="B88" s="19" t="str">
        <x:v>06 Könnyűszerkezet</x:v>
      </x:c>
      <x:c r="C88" s="19" t="str">
        <x:v>Faváz és könnyűacél anyagok</x:v>
      </x:c>
      <x:c r="D88" s="19" t="str">
        <x:v>Faváz / könnyűacél</x:v>
      </x:c>
      <x:c r="E88" s="19" t="str">
        <x:v>Szerkezeti facsavar 8×240</x:v>
      </x:c>
      <x:c r="F88" s="19" t="str">
        <x:v>ETA minősített</x:v>
      </x:c>
      <x:c r="G88" s="19" t="str">
        <x:v>db</x:v>
      </x:c>
      <x:c r="H88" s="203" t="n">
        <x:v>420</x:v>
      </x:c>
      <x:c r="I88" s="204" t="n">
        <x:v>0.27</x:v>
      </x:c>
      <x:c r="J88" s="203" t="n">
        <x:f>IFERROR(H88/(1+I88),"")</x:f>
        <x:v>330.70866141732284</x:v>
      </x:c>
      <x:c r="K88" s="205" t="n">
        <x:v>0.2</x:v>
      </x:c>
      <x:c r="L88" s="203" t="n">
        <x:f>IFERROR(J88*(1-K88),"")</x:f>
        <x:v>264.5669291338583</x:v>
      </x:c>
      <x:c r="M88" s="19" t="str">
        <x:v>27% normál belföldi</x:v>
      </x:c>
      <x:c r="N88" s="204" t="n">
        <x:v>0.27</x:v>
      </x:c>
      <x:c r="O88" s="204" t="n">
        <x:v>0</x:v>
      </x:c>
      <x:c r="P88" s="19" t="str">
        <x:v>NEM</x:v>
      </x:c>
      <x:c r="Q88" s="203" t="n">
        <x:f>IFERROR(L88*(1+N88),"")</x:f>
        <x:v>336.00000000000006</x:v>
      </x:c>
      <x:c r="R88" s="205" t="n">
        <x:v>0.08</x:v>
      </x:c>
      <x:c r="S88" s="203" t="n">
        <x:f>IFERROR(Q88*(1+R88),"")</x:f>
        <x:v>362.8800000000001</x:v>
      </x:c>
      <x:c r="T88" s="206" t="n">
        <x:v>6</x:v>
      </x:c>
      <x:c r="U88" s="206" t="n">
        <x:v>0</x:v>
      </x:c>
      <x:c r="V88" s="203" t="n">
        <x:f>IFERROR(S88+T88+U88,"")</x:f>
        <x:v>368.8800000000001</x:v>
      </x:c>
      <x:c r="W88" s="203" t="n">
        <x:f>IFERROR(H88/(1+Anyag_Beallitasok!$B$2)*Anyag_Beallitasok!$B$9,"")</x:f>
        <x:v>400</x:v>
      </x:c>
      <x:c r="X88" s="203" t="n">
        <x:f>IFERROR(V88/((1-Anyag_Beallitasok!$B$3)*(1+Anyag_Beallitasok!$B$2)),"")</x:f>
        <x:v>540.4835164835166</x:v>
      </x:c>
      <x:c r="Y88" s="203" t="n">
        <x:f>IFERROR(V88/((1-Anyag_Beallitasok!$B$4)*(1+Anyag_Beallitasok!$B$2)),"")</x:f>
        <x:v>702.6285714285716</x:v>
      </x:c>
      <x:c r="Z88" s="203" t="n">
        <x:f>IFERROR(ROUNDUP(MAX(W88,X88)/Anyag_Beallitasok!$B$6,0)*Anyag_Beallitasok!$B$6,"")</x:f>
        <x:v>550</x:v>
      </x:c>
      <x:c r="AA88" s="204" t="n">
        <x:f>Anyag_Beallitasok!$B$2</x:f>
        <x:v>0.05</x:v>
      </x:c>
      <x:c r="AB88" s="203" t="n">
        <x:f>IFERROR(Z88*(1+AA88),"")</x:f>
        <x:v>577.5</x:v>
      </x:c>
      <x:c r="AC88" s="204" t="n">
        <x:f>IFERROR(1-V88/H88,"")</x:f>
        <x:v>0.12171428571428544</x:v>
      </x:c>
      <x:c r="AD88" s="204" t="n">
        <x:f>IFERROR(1-V88/AB88,"")</x:f>
        <x:v>0.36124675324675304</x:v>
      </x:c>
      <x:c r="AE88" s="19" t="str">
        <x:f>IF(AC88&lt;Anyag_Beallitasok!$B$3,"NEM ÉRI EL A 35%-OT",IF(AC88&lt;Anyag_Beallitasok!$B$4,"MINIMUM 35–49,9%",IF(AC88&lt;Anyag_Beallitasok!$B$5,"IDEÁLIS 50–59,9%","KIEMELKEDŐ ≥60%")))</x:f>
        <x:v>NEM ÉRI EL A 35%-OT</x:v>
      </x:c>
      <x:c r="AF88" s="204" t="n">
        <x:f>IFERROR(AB88/H88-1,"")</x:f>
        <x:v>0.375</x:v>
      </x:c>
      <x:c r="AG88" s="19" t="str">
        <x:f>IF(AND(P88="IGEN",O88&gt;0),IF(AF88&gt;Anyag_Beallitasok!$B$10,"0%-OS SZÁMLA + ÖNADÓZÁS; FELÁR SZÜKSÉGES","0%-OS SZÁMLA + ÖNADÓZÁS"),IF(AF88&gt;Anyag_Beallitasok!$B$10,"FELÁR SZÜKSÉGES A 35%-HOZ",IF(AC88&lt;Anyag_Beallitasok!$B$3,"PIACI ÁRON NEM TARTHATÓ A 35%","OK")))</x:f>
        <x:v>FELÁR SZÜKSÉGES A 35%-HOZ</x:v>
      </x:c>
      <x:c r="AH88" s="207" t="n">
        <x:v>0</x:v>
      </x:c>
      <x:c r="AI88" s="207" t="n">
        <x:v>500</x:v>
      </x:c>
      <x:c r="AJ88" s="207" t="n">
        <x:v>0</x:v>
      </x:c>
      <x:c r="AK88" s="208"/>
      <x:c r="AL88" s="203" t="str">
        <x:f>IF(AK88="","",V88*AK88)</x:f>
      </x:c>
      <x:c r="AM88" s="203" t="str">
        <x:f>IF(AK88="","",AB88*AK88)</x:f>
      </x:c>
      <x:c r="AN88" s="204" t="str">
        <x:f>IFERROR(1-AL88/AM88,"")</x:f>
      </x:c>
      <x:c r="AO88" s="19" t="str">
        <x:v>https://www.winklertuzep.hu/arlista-web/Sz%C3%A1raz%C3%A9p%C3%ADt%C3%A9s</x:v>
      </x:c>
      <x:c r="AP88" s="19" t="str">
        <x:v>Mérnöki piaci becslés</x:v>
      </x:c>
      <x:c r="AQ88" s="19" t="str"/>
    </x:row>
    <x:row r="89">
      <x:c r="A89" s="19" t="str">
        <x:v>ANY-0088</x:v>
      </x:c>
      <x:c r="B89" s="19" t="str">
        <x:v>06 Könnyűszerkezet</x:v>
      </x:c>
      <x:c r="C89" s="19" t="str">
        <x:v>Faváz és könnyűacél anyagok</x:v>
      </x:c>
      <x:c r="D89" s="19" t="str">
        <x:v>Faváz / könnyűacél</x:v>
      </x:c>
      <x:c r="E89" s="19" t="str">
        <x:v>Gerendakötő saroklemez</x:v>
      </x:c>
      <x:c r="F89" s="19" t="str">
        <x:v>horganyzott</x:v>
      </x:c>
      <x:c r="G89" s="19" t="str">
        <x:v>db</x:v>
      </x:c>
      <x:c r="H89" s="203" t="n">
        <x:v>650</x:v>
      </x:c>
      <x:c r="I89" s="204" t="n">
        <x:v>0.27</x:v>
      </x:c>
      <x:c r="J89" s="203" t="n">
        <x:f>IFERROR(H89/(1+I89),"")</x:f>
        <x:v>511.81102362204723</x:v>
      </x:c>
      <x:c r="K89" s="205" t="n">
        <x:v>0.18</x:v>
      </x:c>
      <x:c r="L89" s="203" t="n">
        <x:f>IFERROR(J89*(1-K89),"")</x:f>
        <x:v>419.68503937007875</x:v>
      </x:c>
      <x:c r="M89" s="19" t="str">
        <x:v>27% normál belföldi</x:v>
      </x:c>
      <x:c r="N89" s="204" t="n">
        <x:v>0.27</x:v>
      </x:c>
      <x:c r="O89" s="204" t="n">
        <x:v>0</x:v>
      </x:c>
      <x:c r="P89" s="19" t="str">
        <x:v>NEM</x:v>
      </x:c>
      <x:c r="Q89" s="203" t="n">
        <x:f>IFERROR(L89*(1+N89),"")</x:f>
        <x:v>533</x:v>
      </x:c>
      <x:c r="R89" s="205" t="n">
        <x:v>0.08</x:v>
      </x:c>
      <x:c r="S89" s="203" t="n">
        <x:f>IFERROR(Q89*(1+R89),"")</x:f>
        <x:v>575.64</x:v>
      </x:c>
      <x:c r="T89" s="206" t="n">
        <x:v>10</x:v>
      </x:c>
      <x:c r="U89" s="206" t="n">
        <x:v>0</x:v>
      </x:c>
      <x:c r="V89" s="203" t="n">
        <x:f>IFERROR(S89+T89+U89,"")</x:f>
        <x:v>585.64</x:v>
      </x:c>
      <x:c r="W89" s="203" t="n">
        <x:f>IFERROR(H89/(1+Anyag_Beallitasok!$B$2)*Anyag_Beallitasok!$B$9,"")</x:f>
        <x:v>619.047619047619</x:v>
      </x:c>
      <x:c r="X89" s="203" t="n">
        <x:f>IFERROR(V89/((1-Anyag_Beallitasok!$B$3)*(1+Anyag_Beallitasok!$B$2)),"")</x:f>
        <x:v>858.0805860805859</x:v>
      </x:c>
      <x:c r="Y89" s="203" t="n">
        <x:f>IFERROR(V89/((1-Anyag_Beallitasok!$B$4)*(1+Anyag_Beallitasok!$B$2)),"")</x:f>
        <x:v>1115.5047619047618</x:v>
      </x:c>
      <x:c r="Z89" s="203" t="n">
        <x:f>IFERROR(ROUNDUP(MAX(W89,X89)/Anyag_Beallitasok!$B$6,0)*Anyag_Beallitasok!$B$6,"")</x:f>
        <x:v>900</x:v>
      </x:c>
      <x:c r="AA89" s="204" t="n">
        <x:f>Anyag_Beallitasok!$B$2</x:f>
        <x:v>0.05</x:v>
      </x:c>
      <x:c r="AB89" s="203" t="n">
        <x:f>IFERROR(Z89*(1+AA89),"")</x:f>
        <x:v>945</x:v>
      </x:c>
      <x:c r="AC89" s="204" t="n">
        <x:f>IFERROR(1-V89/H89,"")</x:f>
        <x:v>0.09901538461538462</x:v>
      </x:c>
      <x:c r="AD89" s="204" t="n">
        <x:f>IFERROR(1-V89/AB89,"")</x:f>
        <x:v>0.3802751322751323</x:v>
      </x:c>
      <x:c r="AE89" s="19" t="str">
        <x:f>IF(AC89&lt;Anyag_Beallitasok!$B$3,"NEM ÉRI EL A 35%-OT",IF(AC89&lt;Anyag_Beallitasok!$B$4,"MINIMUM 35–49,9%",IF(AC89&lt;Anyag_Beallitasok!$B$5,"IDEÁLIS 50–59,9%","KIEMELKEDŐ ≥60%")))</x:f>
        <x:v>NEM ÉRI EL A 35%-OT</x:v>
      </x:c>
      <x:c r="AF89" s="204" t="n">
        <x:f>IFERROR(AB89/H89-1,"")</x:f>
        <x:v>0.4538461538461538</x:v>
      </x:c>
      <x:c r="AG89" s="19" t="str">
        <x:f>IF(AND(P89="IGEN",O89&gt;0),IF(AF89&gt;Anyag_Beallitasok!$B$10,"0%-OS SZÁMLA + ÖNADÓZÁS; FELÁR SZÜKSÉGES","0%-OS SZÁMLA + ÖNADÓZÁS"),IF(AF89&gt;Anyag_Beallitasok!$B$10,"FELÁR SZÜKSÉGES A 35%-HOZ",IF(AC89&lt;Anyag_Beallitasok!$B$3,"PIACI ÁRON NEM TARTHATÓ A 35%","OK")))</x:f>
        <x:v>FELÁR SZÜKSÉGES A 35%-HOZ</x:v>
      </x:c>
      <x:c r="AH89" s="207" t="n">
        <x:v>0</x:v>
      </x:c>
      <x:c r="AI89" s="207" t="n">
        <x:v>350</x:v>
      </x:c>
      <x:c r="AJ89" s="207" t="n">
        <x:v>0</x:v>
      </x:c>
      <x:c r="AK89" s="208"/>
      <x:c r="AL89" s="203" t="str">
        <x:f>IF(AK89="","",V89*AK89)</x:f>
      </x:c>
      <x:c r="AM89" s="203" t="str">
        <x:f>IF(AK89="","",AB89*AK89)</x:f>
      </x:c>
      <x:c r="AN89" s="204" t="str">
        <x:f>IFERROR(1-AL89/AM89,"")</x:f>
      </x:c>
      <x:c r="AO89" s="19" t="str">
        <x:v>https://www.winklertuzep.hu/arlista-web/vasak</x:v>
      </x:c>
      <x:c r="AP89" s="19" t="str">
        <x:v>Mérnöki piaci becslés</x:v>
      </x:c>
      <x:c r="AQ89" s="19" t="str"/>
    </x:row>
    <x:row r="90">
      <x:c r="A90" s="19" t="str">
        <x:v>ANY-0089</x:v>
      </x:c>
      <x:c r="B90" s="19" t="str">
        <x:v>06 Könnyűszerkezet</x:v>
      </x:c>
      <x:c r="C90" s="19" t="str">
        <x:v>Faváz és könnyűacél anyagok</x:v>
      </x:c>
      <x:c r="D90" s="19" t="str">
        <x:v>Faváz / könnyűacél</x:v>
      </x:c>
      <x:c r="E90" s="19" t="str">
        <x:v>Talpszelemen EPDM szalag</x:v>
      </x:c>
      <x:c r="F90" s="19" t="str">
        <x:v>100–150 mm</x:v>
      </x:c>
      <x:c r="G90" s="19" t="str">
        <x:v>fm</x:v>
      </x:c>
      <x:c r="H90" s="203" t="n">
        <x:v>500</x:v>
      </x:c>
      <x:c r="I90" s="204" t="n">
        <x:v>0.27</x:v>
      </x:c>
      <x:c r="J90" s="203" t="n">
        <x:f>IFERROR(H90/(1+I90),"")</x:f>
        <x:v>393.7007874015748</x:v>
      </x:c>
      <x:c r="K90" s="205" t="n">
        <x:v>0.18</x:v>
      </x:c>
      <x:c r="L90" s="203" t="n">
        <x:f>IFERROR(J90*(1-K90),"")</x:f>
        <x:v>322.8346456692914</x:v>
      </x:c>
      <x:c r="M90" s="19" t="str">
        <x:v>27% normál belföldi</x:v>
      </x:c>
      <x:c r="N90" s="204" t="n">
        <x:v>0.27</x:v>
      </x:c>
      <x:c r="O90" s="204" t="n">
        <x:v>0</x:v>
      </x:c>
      <x:c r="P90" s="19" t="str">
        <x:v>NEM</x:v>
      </x:c>
      <x:c r="Q90" s="203" t="n">
        <x:f>IFERROR(L90*(1+N90),"")</x:f>
        <x:v>410.00000000000006</x:v>
      </x:c>
      <x:c r="R90" s="205" t="n">
        <x:v>0.1</x:v>
      </x:c>
      <x:c r="S90" s="203" t="n">
        <x:f>IFERROR(Q90*(1+R90),"")</x:f>
        <x:v>451.0000000000001</x:v>
      </x:c>
      <x:c r="T90" s="206" t="n">
        <x:v>15</x:v>
      </x:c>
      <x:c r="U90" s="206" t="n">
        <x:v>0</x:v>
      </x:c>
      <x:c r="V90" s="203" t="n">
        <x:f>IFERROR(S90+T90+U90,"")</x:f>
        <x:v>466.0000000000001</x:v>
      </x:c>
      <x:c r="W90" s="203" t="n">
        <x:f>IFERROR(H90/(1+Anyag_Beallitasok!$B$2)*Anyag_Beallitasok!$B$9,"")</x:f>
        <x:v>476.19047619047615</x:v>
      </x:c>
      <x:c r="X90" s="203" t="n">
        <x:f>IFERROR(V90/((1-Anyag_Beallitasok!$B$3)*(1+Anyag_Beallitasok!$B$2)),"")</x:f>
        <x:v>682.7838827838829</x:v>
      </x:c>
      <x:c r="Y90" s="203" t="n">
        <x:f>IFERROR(V90/((1-Anyag_Beallitasok!$B$4)*(1+Anyag_Beallitasok!$B$2)),"")</x:f>
        <x:v>887.6190476190478</x:v>
      </x:c>
      <x:c r="Z90" s="203" t="n">
        <x:f>IFERROR(ROUNDUP(MAX(W90,X90)/Anyag_Beallitasok!$B$6,0)*Anyag_Beallitasok!$B$6,"")</x:f>
        <x:v>700</x:v>
      </x:c>
      <x:c r="AA90" s="204" t="n">
        <x:f>Anyag_Beallitasok!$B$2</x:f>
        <x:v>0.05</x:v>
      </x:c>
      <x:c r="AB90" s="203" t="n">
        <x:f>IFERROR(Z90*(1+AA90),"")</x:f>
        <x:v>735</x:v>
      </x:c>
      <x:c r="AC90" s="204" t="n">
        <x:f>IFERROR(1-V90/H90,"")</x:f>
        <x:v>0.06799999999999973</x:v>
      </x:c>
      <x:c r="AD90" s="204" t="n">
        <x:f>IFERROR(1-V90/AB90,"")</x:f>
        <x:v>0.365986394557823</x:v>
      </x:c>
      <x:c r="AE90" s="19" t="str">
        <x:f>IF(AC90&lt;Anyag_Beallitasok!$B$3,"NEM ÉRI EL A 35%-OT",IF(AC90&lt;Anyag_Beallitasok!$B$4,"MINIMUM 35–49,9%",IF(AC90&lt;Anyag_Beallitasok!$B$5,"IDEÁLIS 50–59,9%","KIEMELKEDŐ ≥60%")))</x:f>
        <x:v>NEM ÉRI EL A 35%-OT</x:v>
      </x:c>
      <x:c r="AF90" s="204" t="n">
        <x:f>IFERROR(AB90/H90-1,"")</x:f>
        <x:v>0.47</x:v>
      </x:c>
      <x:c r="AG90" s="19" t="str">
        <x:f>IF(AND(P90="IGEN",O90&gt;0),IF(AF90&gt;Anyag_Beallitasok!$B$10,"0%-OS SZÁMLA + ÖNADÓZÁS; FELÁR SZÜKSÉGES","0%-OS SZÁMLA + ÖNADÓZÁS"),IF(AF90&gt;Anyag_Beallitasok!$B$10,"FELÁR SZÜKSÉGES A 35%-HOZ",IF(AC90&lt;Anyag_Beallitasok!$B$3,"PIACI ÁRON NEM TARTHATÓ A 35%","OK")))</x:f>
        <x:v>FELÁR SZÜKSÉGES A 35%-HOZ</x:v>
      </x:c>
      <x:c r="AH90" s="207" t="n">
        <x:v>0</x:v>
      </x:c>
      <x:c r="AI90" s="207" t="n">
        <x:v>70</x:v>
      </x:c>
      <x:c r="AJ90" s="207" t="n">
        <x:v>0</x:v>
      </x:c>
      <x:c r="AK90" s="208"/>
      <x:c r="AL90" s="203" t="str">
        <x:f>IF(AK90="","",V90*AK90)</x:f>
      </x:c>
      <x:c r="AM90" s="203" t="str">
        <x:f>IF(AK90="","",AB90*AK90)</x:f>
      </x:c>
      <x:c r="AN90" s="204" t="str">
        <x:f>IFERROR(1-AL90/AM90,"")</x:f>
      </x:c>
      <x:c r="AO90" s="19" t="str">
        <x:v>https://www.hoszigetelesplaza.hu/eps-80-homlokzati-hoszigetelo-lemez-15-cm-vastag</x:v>
      </x:c>
      <x:c r="AP90" s="19" t="str">
        <x:v>Mérnöki piaci becslés</x:v>
      </x:c>
      <x:c r="AQ90" s="19" t="str"/>
    </x:row>
    <x:row r="91">
      <x:c r="A91" s="19" t="str">
        <x:v>ANY-0090</x:v>
      </x:c>
      <x:c r="B91" s="19" t="str">
        <x:v>06 Könnyűszerkezet</x:v>
      </x:c>
      <x:c r="C91" s="19" t="str">
        <x:v>Faváz és könnyűacél anyagok</x:v>
      </x:c>
      <x:c r="D91" s="19" t="str">
        <x:v>Faváz / könnyűacél</x:v>
      </x:c>
      <x:c r="E91" s="19" t="str">
        <x:v>Könnyűacél C/U profil szerkezeti</x:v>
      </x:c>
      <x:c r="F91" s="19" t="str">
        <x:v>horganyzott, gyártott</x:v>
      </x:c>
      <x:c r="G91" s="19" t="str">
        <x:v>kg</x:v>
      </x:c>
      <x:c r="H91" s="203" t="n">
        <x:v>950</x:v>
      </x:c>
      <x:c r="I91" s="204" t="n">
        <x:v>0.27</x:v>
      </x:c>
      <x:c r="J91" s="203" t="n">
        <x:f>IFERROR(H91/(1+I91),"")</x:f>
        <x:v>748.0314960629921</x:v>
      </x:c>
      <x:c r="K91" s="205" t="n">
        <x:v>0.12</x:v>
      </x:c>
      <x:c r="L91" s="203" t="n">
        <x:f>IFERROR(J91*(1-K91),"")</x:f>
        <x:v>658.2677165354331</x:v>
      </x:c>
      <x:c r="M91" s="19" t="str">
        <x:v>0% számla – belföldi fordított adózás; 27% önadózás</x:v>
      </x:c>
      <x:c r="N91" s="204" t="n">
        <x:v>0</x:v>
      </x:c>
      <x:c r="O91" s="204" t="n">
        <x:v>0.27</x:v>
      </x:c>
      <x:c r="P91" s="19" t="str">
        <x:v>IGEN</x:v>
      </x:c>
      <x:c r="Q91" s="203" t="n">
        <x:f>IFERROR(L91*(1+N91),"")</x:f>
        <x:v>658.2677165354331</x:v>
      </x:c>
      <x:c r="R91" s="205" t="n">
        <x:v>0.05</x:v>
      </x:c>
      <x:c r="S91" s="203" t="n">
        <x:f>IFERROR(Q91*(1+R91),"")</x:f>
        <x:v>691.1811023622048</x:v>
      </x:c>
      <x:c r="T91" s="206" t="n">
        <x:v>45</x:v>
      </x:c>
      <x:c r="U91" s="206" t="n">
        <x:v>0</x:v>
      </x:c>
      <x:c r="V91" s="203" t="n">
        <x:f>IFERROR(S91+T91+U91,"")</x:f>
        <x:v>736.1811023622048</x:v>
      </x:c>
      <x:c r="W91" s="203" t="n">
        <x:f>IFERROR(H91/(1+Anyag_Beallitasok!$B$2)*Anyag_Beallitasok!$B$9,"")</x:f>
        <x:v>904.7619047619047</x:v>
      </x:c>
      <x:c r="X91" s="203" t="n">
        <x:f>IFERROR(V91/((1-Anyag_Beallitasok!$B$3)*(1+Anyag_Beallitasok!$B$2)),"")</x:f>
        <x:v>1078.653629834732</x:v>
      </x:c>
      <x:c r="Y91" s="203" t="n">
        <x:f>IFERROR(V91/((1-Anyag_Beallitasok!$B$4)*(1+Anyag_Beallitasok!$B$2)),"")</x:f>
        <x:v>1402.249718785152</x:v>
      </x:c>
      <x:c r="Z91" s="203" t="n">
        <x:f>IFERROR(ROUNDUP(MAX(W91,X91)/Anyag_Beallitasok!$B$6,0)*Anyag_Beallitasok!$B$6,"")</x:f>
        <x:v>1100</x:v>
      </x:c>
      <x:c r="AA91" s="204" t="n">
        <x:f>Anyag_Beallitasok!$B$2</x:f>
        <x:v>0.05</x:v>
      </x:c>
      <x:c r="AB91" s="203" t="n">
        <x:f>IFERROR(Z91*(1+AA91),"")</x:f>
        <x:v>1155</x:v>
      </x:c>
      <x:c r="AC91" s="204" t="n">
        <x:f>IFERROR(1-V91/H91,"")</x:f>
        <x:v>0.22507252382925813</x:v>
      </x:c>
      <x:c r="AD91" s="204" t="n">
        <x:f>IFERROR(1-V91/AB91,"")</x:f>
        <x:v>0.3626137641885673</x:v>
      </x:c>
      <x:c r="AE91" s="19" t="str">
        <x:f>IF(AC91&lt;Anyag_Beallitasok!$B$3,"NEM ÉRI EL A 35%-OT",IF(AC91&lt;Anyag_Beallitasok!$B$4,"MINIMUM 35–49,9%",IF(AC91&lt;Anyag_Beallitasok!$B$5,"IDEÁLIS 50–59,9%","KIEMELKEDŐ ≥60%")))</x:f>
        <x:v>NEM ÉRI EL A 35%-OT</x:v>
      </x:c>
      <x:c r="AF91" s="204" t="n">
        <x:f>IFERROR(AB91/H91-1,"")</x:f>
        <x:v>0.21578947368421053</x:v>
      </x:c>
      <x:c r="AG91" s="19" t="str">
        <x:f>IF(AND(P91="IGEN",O91&gt;0),IF(AF91&gt;Anyag_Beallitasok!$B$10,"0%-OS SZÁMLA + ÖNADÓZÁS; FELÁR SZÜKSÉGES","0%-OS SZÁMLA + ÖNADÓZÁS"),IF(AF91&gt;Anyag_Beallitasok!$B$10,"FELÁR SZÜKSÉGES A 35%-HOZ",IF(AC91&lt;Anyag_Beallitasok!$B$3,"PIACI ÁRON NEM TARTHATÓ A 35%","OK")))</x:f>
        <x:v>0%-OS SZÁMLA + ÖNADÓZÁS; FELÁR SZÜKSÉGES</x:v>
      </x:c>
      <x:c r="AH91" s="207" t="n">
        <x:v>0</x:v>
      </x:c>
      <x:c r="AI91" s="207" t="n">
        <x:v>0</x:v>
      </x:c>
      <x:c r="AJ91" s="207" t="n">
        <x:v>0</x:v>
      </x:c>
      <x:c r="AK91" s="208"/>
      <x:c r="AL91" s="203" t="str">
        <x:f>IF(AK91="","",V91*AK91)</x:f>
      </x:c>
      <x:c r="AM91" s="203" t="str">
        <x:f>IF(AK91="","",AB91*AK91)</x:f>
      </x:c>
      <x:c r="AN91" s="204" t="str">
        <x:f>IFERROR(1-AL91/AM91,"")</x:f>
      </x:c>
      <x:c r="AO91" s="19" t="str">
        <x:v>https://www.winklertuzep.hu/arlista-web/vasak</x:v>
      </x:c>
      <x:c r="AP91" s="19" t="str">
        <x:v>Acélár + gyártási felár</x:v>
      </x:c>
      <x:c r="AQ91" s="19" t="str">
        <x:v>Fordított adózás VTSZ-függő.</x:v>
      </x:c>
    </x:row>
    <x:row r="92">
      <x:c r="A92" s="19" t="str">
        <x:v>ANY-0091</x:v>
      </x:c>
      <x:c r="B92" s="19" t="str">
        <x:v>06 Könnyűszerkezet</x:v>
      </x:c>
      <x:c r="C92" s="19" t="str">
        <x:v>Faváz és könnyűacél anyagok</x:v>
      </x:c>
      <x:c r="D92" s="19" t="str">
        <x:v>Faváz / könnyűacél</x:v>
      </x:c>
      <x:c r="E92" s="19" t="str">
        <x:v>Könnyűacél csomóponti önfúró csavar</x:v>
      </x:c>
      <x:c r="F92" s="19" t="str">
        <x:v>szerkezeti</x:v>
      </x:c>
      <x:c r="G92" s="19" t="str">
        <x:v>db</x:v>
      </x:c>
      <x:c r="H92" s="203" t="n">
        <x:v>85</x:v>
      </x:c>
      <x:c r="I92" s="204" t="n">
        <x:v>0.27</x:v>
      </x:c>
      <x:c r="J92" s="203" t="n">
        <x:f>IFERROR(H92/(1+I92),"")</x:f>
        <x:v>66.92913385826772</x:v>
      </x:c>
      <x:c r="K92" s="205" t="n">
        <x:v>0.2</x:v>
      </x:c>
      <x:c r="L92" s="203" t="n">
        <x:f>IFERROR(J92*(1-K92),"")</x:f>
        <x:v>53.54330708661418</x:v>
      </x:c>
      <x:c r="M92" s="19" t="str">
        <x:v>27% normál belföldi</x:v>
      </x:c>
      <x:c r="N92" s="204" t="n">
        <x:v>0.27</x:v>
      </x:c>
      <x:c r="O92" s="204" t="n">
        <x:v>0</x:v>
      </x:c>
      <x:c r="P92" s="19" t="str">
        <x:v>NEM</x:v>
      </x:c>
      <x:c r="Q92" s="203" t="n">
        <x:f>IFERROR(L92*(1+N92),"")</x:f>
        <x:v>68</x:v>
      </x:c>
      <x:c r="R92" s="205" t="n">
        <x:v>0.08</x:v>
      </x:c>
      <x:c r="S92" s="203" t="n">
        <x:f>IFERROR(Q92*(1+R92),"")</x:f>
        <x:v>73.44</x:v>
      </x:c>
      <x:c r="T92" s="206" t="n">
        <x:v>3</x:v>
      </x:c>
      <x:c r="U92" s="206" t="n">
        <x:v>0</x:v>
      </x:c>
      <x:c r="V92" s="203" t="n">
        <x:f>IFERROR(S92+T92+U92,"")</x:f>
        <x:v>76.44</x:v>
      </x:c>
      <x:c r="W92" s="203" t="n">
        <x:f>IFERROR(H92/(1+Anyag_Beallitasok!$B$2)*Anyag_Beallitasok!$B$9,"")</x:f>
        <x:v>80.95238095238095</x:v>
      </x:c>
      <x:c r="X92" s="203" t="n">
        <x:f>IFERROR(V92/((1-Anyag_Beallitasok!$B$3)*(1+Anyag_Beallitasok!$B$2)),"")</x:f>
        <x:v>111.99999999999999</x:v>
      </x:c>
      <x:c r="Y92" s="203" t="n">
        <x:f>IFERROR(V92/((1-Anyag_Beallitasok!$B$4)*(1+Anyag_Beallitasok!$B$2)),"")</x:f>
        <x:v>145.6</x:v>
      </x:c>
      <x:c r="Z92" s="203" t="n">
        <x:f>IFERROR(ROUNDUP(MAX(W92,X92)/Anyag_Beallitasok!$B$6,0)*Anyag_Beallitasok!$B$6,"")</x:f>
        <x:v>150</x:v>
      </x:c>
      <x:c r="AA92" s="204" t="n">
        <x:f>Anyag_Beallitasok!$B$2</x:f>
        <x:v>0.05</x:v>
      </x:c>
      <x:c r="AB92" s="203" t="n">
        <x:f>IFERROR(Z92*(1+AA92),"")</x:f>
        <x:v>157.5</x:v>
      </x:c>
      <x:c r="AC92" s="204" t="n">
        <x:f>IFERROR(1-V92/H92,"")</x:f>
        <x:v>0.1007058823529412</x:v>
      </x:c>
      <x:c r="AD92" s="204" t="n">
        <x:f>IFERROR(1-V92/AB92,"")</x:f>
        <x:v>0.5146666666666666</x:v>
      </x:c>
      <x:c r="AE92" s="19" t="str">
        <x:f>IF(AC92&lt;Anyag_Beallitasok!$B$3,"NEM ÉRI EL A 35%-OT",IF(AC92&lt;Anyag_Beallitasok!$B$4,"MINIMUM 35–49,9%",IF(AC92&lt;Anyag_Beallitasok!$B$5,"IDEÁLIS 50–59,9%","KIEMELKEDŐ ≥60%")))</x:f>
        <x:v>NEM ÉRI EL A 35%-OT</x:v>
      </x:c>
      <x:c r="AF92" s="204" t="n">
        <x:f>IFERROR(AB92/H92-1,"")</x:f>
        <x:v>0.8529411764705883</x:v>
      </x:c>
      <x:c r="AG92" s="19" t="str">
        <x:f>IF(AND(P92="IGEN",O92&gt;0),IF(AF92&gt;Anyag_Beallitasok!$B$10,"0%-OS SZÁMLA + ÖNADÓZÁS; FELÁR SZÜKSÉGES","0%-OS SZÁMLA + ÖNADÓZÁS"),IF(AF92&gt;Anyag_Beallitasok!$B$10,"FELÁR SZÜKSÉGES A 35%-HOZ",IF(AC92&lt;Anyag_Beallitasok!$B$3,"PIACI ÁRON NEM TARTHATÓ A 35%","OK")))</x:f>
        <x:v>FELÁR SZÜKSÉGES A 35%-HOZ</x:v>
      </x:c>
      <x:c r="AH92" s="207" t="n">
        <x:v>0</x:v>
      </x:c>
      <x:c r="AI92" s="207" t="n">
        <x:v>0</x:v>
      </x:c>
      <x:c r="AJ92" s="207" t="n">
        <x:v>0</x:v>
      </x:c>
      <x:c r="AK92" s="208"/>
      <x:c r="AL92" s="203" t="str">
        <x:f>IF(AK92="","",V92*AK92)</x:f>
      </x:c>
      <x:c r="AM92" s="203" t="str">
        <x:f>IF(AK92="","",AB92*AK92)</x:f>
      </x:c>
      <x:c r="AN92" s="204" t="str">
        <x:f>IFERROR(1-AL92/AM92,"")</x:f>
      </x:c>
      <x:c r="AO92" s="19" t="str">
        <x:v>https://www.winklertuzep.hu/arlista-web/vasak</x:v>
      </x:c>
      <x:c r="AP92" s="19" t="str">
        <x:v>Mérnöki piaci becslés</x:v>
      </x:c>
      <x:c r="AQ92" s="19" t="str"/>
    </x:row>
    <x:row r="93">
      <x:c r="A93" s="19" t="str">
        <x:v>ANY-0092</x:v>
      </x:c>
      <x:c r="B93" s="19" t="str">
        <x:v>07 Tető</x:v>
      </x:c>
      <x:c r="C93" s="19" t="str">
        <x:v>Fa, fedés és bádogos anyagok</x:v>
      </x:c>
      <x:c r="D93" s="19" t="str">
        <x:v>Mindegyik</x:v>
      </x:c>
      <x:c r="E93" s="19" t="str">
        <x:v>Terrán Rundo Elegant alapcserép</x:v>
      </x:c>
      <x:c r="F93" s="19" t="str">
        <x:v>10,75–11,90 db/m²</x:v>
      </x:c>
      <x:c r="G93" s="19" t="str">
        <x:v>db</x:v>
      </x:c>
      <x:c r="H93" s="203" t="n">
        <x:v>850</x:v>
      </x:c>
      <x:c r="I93" s="204" t="n">
        <x:v>0.27</x:v>
      </x:c>
      <x:c r="J93" s="203" t="n">
        <x:f>IFERROR(H93/(1+I93),"")</x:f>
        <x:v>669.2913385826772</x:v>
      </x:c>
      <x:c r="K93" s="205" t="n">
        <x:v>0.18</x:v>
      </x:c>
      <x:c r="L93" s="203" t="n">
        <x:f>IFERROR(J93*(1-K93),"")</x:f>
        <x:v>548.8188976377953</x:v>
      </x:c>
      <x:c r="M93" s="19" t="str">
        <x:v>27% normál belföldi</x:v>
      </x:c>
      <x:c r="N93" s="204" t="n">
        <x:v>0.27</x:v>
      </x:c>
      <x:c r="O93" s="204" t="n">
        <x:v>0</x:v>
      </x:c>
      <x:c r="P93" s="19" t="str">
        <x:v>NEM</x:v>
      </x:c>
      <x:c r="Q93" s="203" t="n">
        <x:f>IFERROR(L93*(1+N93),"")</x:f>
        <x:v>697.0000000000001</x:v>
      </x:c>
      <x:c r="R93" s="205" t="n">
        <x:v>0.05</x:v>
      </x:c>
      <x:c r="S93" s="203" t="n">
        <x:f>IFERROR(Q93*(1+R93),"")</x:f>
        <x:v>731.8500000000001</x:v>
      </x:c>
      <x:c r="T93" s="206" t="n">
        <x:v>40</x:v>
      </x:c>
      <x:c r="U93" s="206" t="n">
        <x:v>45</x:v>
      </x:c>
      <x:c r="V93" s="203" t="n">
        <x:f>IFERROR(S93+T93+U93,"")</x:f>
        <x:v>816.8500000000001</x:v>
      </x:c>
      <x:c r="W93" s="203" t="n">
        <x:f>IFERROR(H93/(1+Anyag_Beallitasok!$B$2)*Anyag_Beallitasok!$B$9,"")</x:f>
        <x:v>809.5238095238095</x:v>
      </x:c>
      <x:c r="X93" s="203" t="n">
        <x:f>IFERROR(V93/((1-Anyag_Beallitasok!$B$3)*(1+Anyag_Beallitasok!$B$2)),"")</x:f>
        <x:v>1196.8498168498168</x:v>
      </x:c>
      <x:c r="Y93" s="203" t="n">
        <x:f>IFERROR(V93/((1-Anyag_Beallitasok!$B$4)*(1+Anyag_Beallitasok!$B$2)),"")</x:f>
        <x:v>1555.9047619047622</x:v>
      </x:c>
      <x:c r="Z93" s="203" t="n">
        <x:f>IFERROR(ROUNDUP(MAX(W93,X93)/Anyag_Beallitasok!$B$6,0)*Anyag_Beallitasok!$B$6,"")</x:f>
        <x:v>1200</x:v>
      </x:c>
      <x:c r="AA93" s="204" t="n">
        <x:f>Anyag_Beallitasok!$B$2</x:f>
        <x:v>0.05</x:v>
      </x:c>
      <x:c r="AB93" s="203" t="n">
        <x:f>IFERROR(Z93*(1+AA93),"")</x:f>
        <x:v>1260</x:v>
      </x:c>
      <x:c r="AC93" s="204" t="n">
        <x:f>IFERROR(1-V93/H93,"")</x:f>
        <x:v>0.03899999999999981</x:v>
      </x:c>
      <x:c r="AD93" s="204" t="n">
        <x:f>IFERROR(1-V93/AB93,"")</x:f>
        <x:v>0.35170634920634913</x:v>
      </x:c>
      <x:c r="AE93" s="19" t="str">
        <x:f>IF(AC93&lt;Anyag_Beallitasok!$B$3,"NEM ÉRI EL A 35%-OT",IF(AC93&lt;Anyag_Beallitasok!$B$4,"MINIMUM 35–49,9%",IF(AC93&lt;Anyag_Beallitasok!$B$5,"IDEÁLIS 50–59,9%","KIEMELKEDŐ ≥60%")))</x:f>
        <x:v>NEM ÉRI EL A 35%-OT</x:v>
      </x:c>
      <x:c r="AF93" s="204" t="n">
        <x:f>IFERROR(AB93/H93-1,"")</x:f>
        <x:v>0.48235294117647065</x:v>
      </x:c>
      <x:c r="AG93" s="19" t="str">
        <x:f>IF(AND(P93="IGEN",O93&gt;0),IF(AF93&gt;Anyag_Beallitasok!$B$10,"0%-OS SZÁMLA + ÖNADÓZÁS; FELÁR SZÜKSÉGES","0%-OS SZÁMLA + ÖNADÓZÁS"),IF(AF93&gt;Anyag_Beallitasok!$B$10,"FELÁR SZÜKSÉGES A 35%-HOZ",IF(AC93&lt;Anyag_Beallitasok!$B$3,"PIACI ÁRON NEM TARTHATÓ A 35%","OK")))</x:f>
        <x:v>FELÁR SZÜKSÉGES A 35%-HOZ</x:v>
      </x:c>
      <x:c r="AH93" s="207" t="n">
        <x:v>2200</x:v>
      </x:c>
      <x:c r="AI93" s="207" t="n">
        <x:v>2200</x:v>
      </x:c>
      <x:c r="AJ93" s="207" t="n">
        <x:v>2200</x:v>
      </x:c>
      <x:c r="AK93" s="208"/>
      <x:c r="AL93" s="203" t="str">
        <x:f>IF(AK93="","",V93*AK93)</x:f>
      </x:c>
      <x:c r="AM93" s="203" t="str">
        <x:f>IF(AK93="","",AB93*AK93)</x:f>
      </x:c>
      <x:c r="AN93" s="204" t="str">
        <x:f>IFERROR(1-AL93/AM93,"")</x:f>
      </x:c>
      <x:c r="AO93" s="19" t="str">
        <x:v>https://terranteto.hu/wp-content/uploads/2022/10/Terran-arlista-20260101.pdf</x:v>
      </x:c>
      <x:c r="AP93" s="19" t="str">
        <x:v>Közvetlen 2026 gyártói árlista</x:v>
      </x:c>
      <x:c r="AQ93" s="19" t="str"/>
    </x:row>
    <x:row r="94">
      <x:c r="A94" s="19" t="str">
        <x:v>ANY-0093</x:v>
      </x:c>
      <x:c r="B94" s="19" t="str">
        <x:v>07 Tető</x:v>
      </x:c>
      <x:c r="C94" s="19" t="str">
        <x:v>Fa, fedés és bádogos anyagok</x:v>
      </x:c>
      <x:c r="D94" s="19" t="str">
        <x:v>Mindegyik</x:v>
      </x:c>
      <x:c r="E94" s="19" t="str">
        <x:v>Terrán Rundo Resistor alapcserép</x:v>
      </x:c>
      <x:c r="F94" s="19" t="str">
        <x:v>10,75–11,90 db/m²</x:v>
      </x:c>
      <x:c r="G94" s="19" t="str">
        <x:v>db</x:v>
      </x:c>
      <x:c r="H94" s="203" t="n">
        <x:v>1070</x:v>
      </x:c>
      <x:c r="I94" s="204" t="n">
        <x:v>0.27</x:v>
      </x:c>
      <x:c r="J94" s="203" t="n">
        <x:f>IFERROR(H94/(1+I94),"")</x:f>
        <x:v>842.5196850393701</x:v>
      </x:c>
      <x:c r="K94" s="205" t="n">
        <x:v>0.18</x:v>
      </x:c>
      <x:c r="L94" s="203" t="n">
        <x:f>IFERROR(J94*(1-K94),"")</x:f>
        <x:v>690.8661417322835</x:v>
      </x:c>
      <x:c r="M94" s="19" t="str">
        <x:v>27% normál belföldi</x:v>
      </x:c>
      <x:c r="N94" s="204" t="n">
        <x:v>0.27</x:v>
      </x:c>
      <x:c r="O94" s="204" t="n">
        <x:v>0</x:v>
      </x:c>
      <x:c r="P94" s="19" t="str">
        <x:v>NEM</x:v>
      </x:c>
      <x:c r="Q94" s="203" t="n">
        <x:f>IFERROR(L94*(1+N94),"")</x:f>
        <x:v>877.4000000000001</x:v>
      </x:c>
      <x:c r="R94" s="205" t="n">
        <x:v>0.05</x:v>
      </x:c>
      <x:c r="S94" s="203" t="n">
        <x:f>IFERROR(Q94*(1+R94),"")</x:f>
        <x:v>921.2700000000001</x:v>
      </x:c>
      <x:c r="T94" s="206" t="n">
        <x:v>40</x:v>
      </x:c>
      <x:c r="U94" s="206" t="n">
        <x:v>45</x:v>
      </x:c>
      <x:c r="V94" s="203" t="n">
        <x:f>IFERROR(S94+T94+U94,"")</x:f>
        <x:v>1006.2700000000001</x:v>
      </x:c>
      <x:c r="W94" s="203" t="n">
        <x:f>IFERROR(H94/(1+Anyag_Beallitasok!$B$2)*Anyag_Beallitasok!$B$9,"")</x:f>
        <x:v>1019.047619047619</x:v>
      </x:c>
      <x:c r="X94" s="203" t="n">
        <x:f>IFERROR(V94/((1-Anyag_Beallitasok!$B$3)*(1+Anyag_Beallitasok!$B$2)),"")</x:f>
        <x:v>1474.3882783882782</x:v>
      </x:c>
      <x:c r="Y94" s="203" t="n">
        <x:f>IFERROR(V94/((1-Anyag_Beallitasok!$B$4)*(1+Anyag_Beallitasok!$B$2)),"")</x:f>
        <x:v>1916.704761904762</x:v>
      </x:c>
      <x:c r="Z94" s="203" t="n">
        <x:f>IFERROR(ROUNDUP(MAX(W94,X94)/Anyag_Beallitasok!$B$6,0)*Anyag_Beallitasok!$B$6,"")</x:f>
        <x:v>1500</x:v>
      </x:c>
      <x:c r="AA94" s="204" t="n">
        <x:f>Anyag_Beallitasok!$B$2</x:f>
        <x:v>0.05</x:v>
      </x:c>
      <x:c r="AB94" s="203" t="n">
        <x:f>IFERROR(Z94*(1+AA94),"")</x:f>
        <x:v>1575</x:v>
      </x:c>
      <x:c r="AC94" s="204" t="n">
        <x:f>IFERROR(1-V94/H94,"")</x:f>
        <x:v>0.05956074766355135</x:v>
      </x:c>
      <x:c r="AD94" s="204" t="n">
        <x:f>IFERROR(1-V94/AB94,"")</x:f>
        <x:v>0.3610984126984126</x:v>
      </x:c>
      <x:c r="AE94" s="19" t="str">
        <x:f>IF(AC94&lt;Anyag_Beallitasok!$B$3,"NEM ÉRI EL A 35%-OT",IF(AC94&lt;Anyag_Beallitasok!$B$4,"MINIMUM 35–49,9%",IF(AC94&lt;Anyag_Beallitasok!$B$5,"IDEÁLIS 50–59,9%","KIEMELKEDŐ ≥60%")))</x:f>
        <x:v>NEM ÉRI EL A 35%-OT</x:v>
      </x:c>
      <x:c r="AF94" s="204" t="n">
        <x:f>IFERROR(AB94/H94-1,"")</x:f>
        <x:v>0.47196261682243</x:v>
      </x:c>
      <x:c r="AG94" s="19" t="str">
        <x:f>IF(AND(P94="IGEN",O94&gt;0),IF(AF94&gt;Anyag_Beallitasok!$B$10,"0%-OS SZÁMLA + ÖNADÓZÁS; FELÁR SZÜKSÉGES","0%-OS SZÁMLA + ÖNADÓZÁS"),IF(AF94&gt;Anyag_Beallitasok!$B$10,"FELÁR SZÜKSÉGES A 35%-HOZ",IF(AC94&lt;Anyag_Beallitasok!$B$3,"PIACI ÁRON NEM TARTHATÓ A 35%","OK")))</x:f>
        <x:v>FELÁR SZÜKSÉGES A 35%-HOZ</x:v>
      </x:c>
      <x:c r="AH94" s="207" t="n">
        <x:v>0</x:v>
      </x:c>
      <x:c r="AI94" s="207" t="n">
        <x:v>0</x:v>
      </x:c>
      <x:c r="AJ94" s="207" t="n">
        <x:v>0</x:v>
      </x:c>
      <x:c r="AK94" s="208"/>
      <x:c r="AL94" s="203" t="str">
        <x:f>IF(AK94="","",V94*AK94)</x:f>
      </x:c>
      <x:c r="AM94" s="203" t="str">
        <x:f>IF(AK94="","",AB94*AK94)</x:f>
      </x:c>
      <x:c r="AN94" s="204" t="str">
        <x:f>IFERROR(1-AL94/AM94,"")</x:f>
      </x:c>
      <x:c r="AO94" s="19" t="str">
        <x:v>https://terranteto.hu/wp-content/uploads/2022/10/Terran-arlista-20260101.pdf</x:v>
      </x:c>
      <x:c r="AP94" s="19" t="str">
        <x:v>Közvetlen 2026 gyártói árlista</x:v>
      </x:c>
      <x:c r="AQ94" s="19" t="str">
        <x:v>Prémium alternatíva.</x:v>
      </x:c>
    </x:row>
    <x:row r="95">
      <x:c r="A95" s="19" t="str">
        <x:v>ANY-0094</x:v>
      </x:c>
      <x:c r="B95" s="19" t="str">
        <x:v>07 Tető</x:v>
      </x:c>
      <x:c r="C95" s="19" t="str">
        <x:v>Fa, fedés és bádogos anyagok</x:v>
      </x:c>
      <x:c r="D95" s="19" t="str">
        <x:v>Mindegyik</x:v>
      </x:c>
      <x:c r="E95" s="19" t="str">
        <x:v>Terrán kúpcserép Elegant</x:v>
      </x:c>
      <x:c r="F95" s="19" t="str">
        <x:v>kb. 2,7 db/gerinc fm</x:v>
      </x:c>
      <x:c r="G95" s="19" t="str">
        <x:v>db</x:v>
      </x:c>
      <x:c r="H95" s="203" t="n">
        <x:v>3950</x:v>
      </x:c>
      <x:c r="I95" s="204" t="n">
        <x:v>0.27</x:v>
      </x:c>
      <x:c r="J95" s="203" t="n">
        <x:f>IFERROR(H95/(1+I95),"")</x:f>
        <x:v>3110.236220472441</x:v>
      </x:c>
      <x:c r="K95" s="205" t="n">
        <x:v>0.18</x:v>
      </x:c>
      <x:c r="L95" s="203" t="n">
        <x:f>IFERROR(J95*(1-K95),"")</x:f>
        <x:v>2550.393700787402</x:v>
      </x:c>
      <x:c r="M95" s="19" t="str">
        <x:v>27% normál belföldi</x:v>
      </x:c>
      <x:c r="N95" s="204" t="n">
        <x:v>0.27</x:v>
      </x:c>
      <x:c r="O95" s="204" t="n">
        <x:v>0</x:v>
      </x:c>
      <x:c r="P95" s="19" t="str">
        <x:v>NEM</x:v>
      </x:c>
      <x:c r="Q95" s="203" t="n">
        <x:f>IFERROR(L95*(1+N95),"")</x:f>
        <x:v>3239.0000000000005</x:v>
      </x:c>
      <x:c r="R95" s="205" t="n">
        <x:v>0.05</x:v>
      </x:c>
      <x:c r="S95" s="203" t="n">
        <x:f>IFERROR(Q95*(1+R95),"")</x:f>
        <x:v>3400.9500000000007</x:v>
      </x:c>
      <x:c r="T95" s="206" t="n">
        <x:v>80</x:v>
      </x:c>
      <x:c r="U95" s="206" t="n">
        <x:v>45</x:v>
      </x:c>
      <x:c r="V95" s="203" t="n">
        <x:f>IFERROR(S95+T95+U95,"")</x:f>
        <x:v>3525.9500000000007</x:v>
      </x:c>
      <x:c r="W95" s="203" t="n">
        <x:f>IFERROR(H95/(1+Anyag_Beallitasok!$B$2)*Anyag_Beallitasok!$B$9,"")</x:f>
        <x:v>3761.904761904762</x:v>
      </x:c>
      <x:c r="X95" s="203" t="n">
        <x:f>IFERROR(V95/((1-Anyag_Beallitasok!$B$3)*(1+Anyag_Beallitasok!$B$2)),"")</x:f>
        <x:v>5166.227106227107</x:v>
      </x:c>
      <x:c r="Y95" s="203" t="n">
        <x:f>IFERROR(V95/((1-Anyag_Beallitasok!$B$4)*(1+Anyag_Beallitasok!$B$2)),"")</x:f>
        <x:v>6716.095238095239</x:v>
      </x:c>
      <x:c r="Z95" s="203" t="n">
        <x:f>IFERROR(ROUNDUP(MAX(W95,X95)/Anyag_Beallitasok!$B$6,0)*Anyag_Beallitasok!$B$6,"")</x:f>
        <x:v>5200</x:v>
      </x:c>
      <x:c r="AA95" s="204" t="n">
        <x:f>Anyag_Beallitasok!$B$2</x:f>
        <x:v>0.05</x:v>
      </x:c>
      <x:c r="AB95" s="203" t="n">
        <x:f>IFERROR(Z95*(1+AA95),"")</x:f>
        <x:v>5460</x:v>
      </x:c>
      <x:c r="AC95" s="204" t="n">
        <x:f>IFERROR(1-V95/H95,"")</x:f>
        <x:v>0.10735443037974668</x:v>
      </x:c>
      <x:c r="AD95" s="204" t="n">
        <x:f>IFERROR(1-V95/AB95,"")</x:f>
        <x:v>0.3542216117216116</x:v>
      </x:c>
      <x:c r="AE95" s="19" t="str">
        <x:f>IF(AC95&lt;Anyag_Beallitasok!$B$3,"NEM ÉRI EL A 35%-OT",IF(AC95&lt;Anyag_Beallitasok!$B$4,"MINIMUM 35–49,9%",IF(AC95&lt;Anyag_Beallitasok!$B$5,"IDEÁLIS 50–59,9%","KIEMELKEDŐ ≥60%")))</x:f>
        <x:v>NEM ÉRI EL A 35%-OT</x:v>
      </x:c>
      <x:c r="AF95" s="204" t="n">
        <x:f>IFERROR(AB95/H95-1,"")</x:f>
        <x:v>0.38227848101265827</x:v>
      </x:c>
      <x:c r="AG95" s="19" t="str">
        <x:f>IF(AND(P95="IGEN",O95&gt;0),IF(AF95&gt;Anyag_Beallitasok!$B$10,"0%-OS SZÁMLA + ÖNADÓZÁS; FELÁR SZÜKSÉGES","0%-OS SZÁMLA + ÖNADÓZÁS"),IF(AF95&gt;Anyag_Beallitasok!$B$10,"FELÁR SZÜKSÉGES A 35%-HOZ",IF(AC95&lt;Anyag_Beallitasok!$B$3,"PIACI ÁRON NEM TARTHATÓ A 35%","OK")))</x:f>
        <x:v>FELÁR SZÜKSÉGES A 35%-HOZ</x:v>
      </x:c>
      <x:c r="AH95" s="207" t="n">
        <x:v>70</x:v>
      </x:c>
      <x:c r="AI95" s="207" t="n">
        <x:v>70</x:v>
      </x:c>
      <x:c r="AJ95" s="207" t="n">
        <x:v>70</x:v>
      </x:c>
      <x:c r="AK95" s="208"/>
      <x:c r="AL95" s="203" t="str">
        <x:f>IF(AK95="","",V95*AK95)</x:f>
      </x:c>
      <x:c r="AM95" s="203" t="str">
        <x:f>IF(AK95="","",AB95*AK95)</x:f>
      </x:c>
      <x:c r="AN95" s="204" t="str">
        <x:f>IFERROR(1-AL95/AM95,"")</x:f>
      </x:c>
      <x:c r="AO95" s="19" t="str">
        <x:v>https://terranteto.hu/wp-content/uploads/2022/10/Terran-arlista-20260101.pdf</x:v>
      </x:c>
      <x:c r="AP95" s="19" t="str">
        <x:v>Közvetlen 2026 gyártói árlista</x:v>
      </x:c>
      <x:c r="AQ95" s="19" t="str"/>
    </x:row>
    <x:row r="96">
      <x:c r="A96" s="19" t="str">
        <x:v>ANY-0095</x:v>
      </x:c>
      <x:c r="B96" s="19" t="str">
        <x:v>07 Tető</x:v>
      </x:c>
      <x:c r="C96" s="19" t="str">
        <x:v>Fa, fedés és bádogos anyagok</x:v>
      </x:c>
      <x:c r="D96" s="19" t="str">
        <x:v>Mindegyik</x:v>
      </x:c>
      <x:c r="E96" s="19" t="str">
        <x:v>Terrán szellőzőcserép Elegant</x:v>
      </x:c>
      <x:c r="F96" s="19" t="str">
        <x:v>min. 3 db/szarufaköz</x:v>
      </x:c>
      <x:c r="G96" s="19" t="str">
        <x:v>db</x:v>
      </x:c>
      <x:c r="H96" s="203" t="n">
        <x:v>1750</x:v>
      </x:c>
      <x:c r="I96" s="204" t="n">
        <x:v>0.27</x:v>
      </x:c>
      <x:c r="J96" s="203" t="n">
        <x:f>IFERROR(H96/(1+I96),"")</x:f>
        <x:v>1377.9527559055118</x:v>
      </x:c>
      <x:c r="K96" s="205" t="n">
        <x:v>0.18</x:v>
      </x:c>
      <x:c r="L96" s="203" t="n">
        <x:f>IFERROR(J96*(1-K96),"")</x:f>
        <x:v>1129.9212598425197</x:v>
      </x:c>
      <x:c r="M96" s="19" t="str">
        <x:v>27% normál belföldi</x:v>
      </x:c>
      <x:c r="N96" s="204" t="n">
        <x:v>0.27</x:v>
      </x:c>
      <x:c r="O96" s="204" t="n">
        <x:v>0</x:v>
      </x:c>
      <x:c r="P96" s="19" t="str">
        <x:v>NEM</x:v>
      </x:c>
      <x:c r="Q96" s="203" t="n">
        <x:f>IFERROR(L96*(1+N96),"")</x:f>
        <x:v>1435</x:v>
      </x:c>
      <x:c r="R96" s="205" t="n">
        <x:v>0.05</x:v>
      </x:c>
      <x:c r="S96" s="203" t="n">
        <x:f>IFERROR(Q96*(1+R96),"")</x:f>
        <x:v>1506.75</x:v>
      </x:c>
      <x:c r="T96" s="206" t="n">
        <x:v>50</x:v>
      </x:c>
      <x:c r="U96" s="206" t="n">
        <x:v>45</x:v>
      </x:c>
      <x:c r="V96" s="203" t="n">
        <x:f>IFERROR(S96+T96+U96,"")</x:f>
        <x:v>1601.75</x:v>
      </x:c>
      <x:c r="W96" s="203" t="n">
        <x:f>IFERROR(H96/(1+Anyag_Beallitasok!$B$2)*Anyag_Beallitasok!$B$9,"")</x:f>
        <x:v>1666.6666666666665</x:v>
      </x:c>
      <x:c r="X96" s="203" t="n">
        <x:f>IFERROR(V96/((1-Anyag_Beallitasok!$B$3)*(1+Anyag_Beallitasok!$B$2)),"")</x:f>
        <x:v>2346.8864468864467</x:v>
      </x:c>
      <x:c r="Y96" s="203" t="n">
        <x:f>IFERROR(V96/((1-Anyag_Beallitasok!$B$4)*(1+Anyag_Beallitasok!$B$2)),"")</x:f>
        <x:v>3050.9523809523807</x:v>
      </x:c>
      <x:c r="Z96" s="203" t="n">
        <x:f>IFERROR(ROUNDUP(MAX(W96,X96)/Anyag_Beallitasok!$B$6,0)*Anyag_Beallitasok!$B$6,"")</x:f>
        <x:v>2350</x:v>
      </x:c>
      <x:c r="AA96" s="204" t="n">
        <x:f>Anyag_Beallitasok!$B$2</x:f>
        <x:v>0.05</x:v>
      </x:c>
      <x:c r="AB96" s="203" t="n">
        <x:f>IFERROR(Z96*(1+AA96),"")</x:f>
        <x:v>2467.5</x:v>
      </x:c>
      <x:c r="AC96" s="204" t="n">
        <x:f>IFERROR(1-V96/H96,"")</x:f>
        <x:v>0.08471428571428574</x:v>
      </x:c>
      <x:c r="AD96" s="204" t="n">
        <x:f>IFERROR(1-V96/AB96,"")</x:f>
        <x:v>0.35086119554204664</x:v>
      </x:c>
      <x:c r="AE96" s="19" t="str">
        <x:f>IF(AC96&lt;Anyag_Beallitasok!$B$3,"NEM ÉRI EL A 35%-OT",IF(AC96&lt;Anyag_Beallitasok!$B$4,"MINIMUM 35–49,9%",IF(AC96&lt;Anyag_Beallitasok!$B$5,"IDEÁLIS 50–59,9%","KIEMELKEDŐ ≥60%")))</x:f>
        <x:v>NEM ÉRI EL A 35%-OT</x:v>
      </x:c>
      <x:c r="AF96" s="204" t="n">
        <x:f>IFERROR(AB96/H96-1,"")</x:f>
        <x:v>0.4099999999999999</x:v>
      </x:c>
      <x:c r="AG96" s="19" t="str">
        <x:f>IF(AND(P96="IGEN",O96&gt;0),IF(AF96&gt;Anyag_Beallitasok!$B$10,"0%-OS SZÁMLA + ÖNADÓZÁS; FELÁR SZÜKSÉGES","0%-OS SZÁMLA + ÖNADÓZÁS"),IF(AF96&gt;Anyag_Beallitasok!$B$10,"FELÁR SZÜKSÉGES A 35%-HOZ",IF(AC96&lt;Anyag_Beallitasok!$B$3,"PIACI ÁRON NEM TARTHATÓ A 35%","OK")))</x:f>
        <x:v>FELÁR SZÜKSÉGES A 35%-HOZ</x:v>
      </x:c>
      <x:c r="AH96" s="207" t="n">
        <x:v>30</x:v>
      </x:c>
      <x:c r="AI96" s="207" t="n">
        <x:v>30</x:v>
      </x:c>
      <x:c r="AJ96" s="207" t="n">
        <x:v>30</x:v>
      </x:c>
      <x:c r="AK96" s="208"/>
      <x:c r="AL96" s="203" t="str">
        <x:f>IF(AK96="","",V96*AK96)</x:f>
      </x:c>
      <x:c r="AM96" s="203" t="str">
        <x:f>IF(AK96="","",AB96*AK96)</x:f>
      </x:c>
      <x:c r="AN96" s="204" t="str">
        <x:f>IFERROR(1-AL96/AM96,"")</x:f>
      </x:c>
      <x:c r="AO96" s="19" t="str">
        <x:v>https://terranteto.hu/wp-content/uploads/2022/10/Terran-arlista-20260101.pdf</x:v>
      </x:c>
      <x:c r="AP96" s="19" t="str">
        <x:v>Közvetlen 2026 gyártói árlista</x:v>
      </x:c>
      <x:c r="AQ96" s="19" t="str"/>
    </x:row>
    <x:row r="97">
      <x:c r="A97" s="19" t="str">
        <x:v>ANY-0096</x:v>
      </x:c>
      <x:c r="B97" s="19" t="str">
        <x:v>07 Tető</x:v>
      </x:c>
      <x:c r="C97" s="19" t="str">
        <x:v>Fa, fedés és bádogos anyagok</x:v>
      </x:c>
      <x:c r="D97" s="19" t="str">
        <x:v>Mindegyik</x:v>
      </x:c>
      <x:c r="E97" s="19" t="str">
        <x:v>Tetőfólia páraáteresztő 140 g</x:v>
      </x:c>
      <x:c r="F97" s="19" t="str">
        <x:v>ragasztósáv nélkül</x:v>
      </x:c>
      <x:c r="G97" s="19" t="str">
        <x:v>m²</x:v>
      </x:c>
      <x:c r="H97" s="203" t="n">
        <x:v>850</x:v>
      </x:c>
      <x:c r="I97" s="204" t="n">
        <x:v>0.27</x:v>
      </x:c>
      <x:c r="J97" s="203" t="n">
        <x:f>IFERROR(H97/(1+I97),"")</x:f>
        <x:v>669.2913385826772</x:v>
      </x:c>
      <x:c r="K97" s="205" t="n">
        <x:v>0.18</x:v>
      </x:c>
      <x:c r="L97" s="203" t="n">
        <x:f>IFERROR(J97*(1-K97),"")</x:f>
        <x:v>548.8188976377953</x:v>
      </x:c>
      <x:c r="M97" s="19" t="str">
        <x:v>27% normál belföldi</x:v>
      </x:c>
      <x:c r="N97" s="204" t="n">
        <x:v>0.27</x:v>
      </x:c>
      <x:c r="O97" s="204" t="n">
        <x:v>0</x:v>
      </x:c>
      <x:c r="P97" s="19" t="str">
        <x:v>NEM</x:v>
      </x:c>
      <x:c r="Q97" s="203" t="n">
        <x:f>IFERROR(L97*(1+N97),"")</x:f>
        <x:v>697.0000000000001</x:v>
      </x:c>
      <x:c r="R97" s="205" t="n">
        <x:v>0.12</x:v>
      </x:c>
      <x:c r="S97" s="203" t="n">
        <x:f>IFERROR(Q97*(1+R97),"")</x:f>
        <x:v>780.6400000000002</x:v>
      </x:c>
      <x:c r="T97" s="206" t="n">
        <x:v>30</x:v>
      </x:c>
      <x:c r="U97" s="206" t="n">
        <x:v>0</x:v>
      </x:c>
      <x:c r="V97" s="203" t="n">
        <x:f>IFERROR(S97+T97+U97,"")</x:f>
        <x:v>810.6400000000002</x:v>
      </x:c>
      <x:c r="W97" s="203" t="n">
        <x:f>IFERROR(H97/(1+Anyag_Beallitasok!$B$2)*Anyag_Beallitasok!$B$9,"")</x:f>
        <x:v>809.5238095238095</x:v>
      </x:c>
      <x:c r="X97" s="203" t="n">
        <x:f>IFERROR(V97/((1-Anyag_Beallitasok!$B$3)*(1+Anyag_Beallitasok!$B$2)),"")</x:f>
        <x:v>1187.750915750916</x:v>
      </x:c>
      <x:c r="Y97" s="203" t="n">
        <x:f>IFERROR(V97/((1-Anyag_Beallitasok!$B$4)*(1+Anyag_Beallitasok!$B$2)),"")</x:f>
        <x:v>1544.0761904761907</x:v>
      </x:c>
      <x:c r="Z97" s="203" t="n">
        <x:f>IFERROR(ROUNDUP(MAX(W97,X97)/Anyag_Beallitasok!$B$6,0)*Anyag_Beallitasok!$B$6,"")</x:f>
        <x:v>1200</x:v>
      </x:c>
      <x:c r="AA97" s="204" t="n">
        <x:f>Anyag_Beallitasok!$B$2</x:f>
        <x:v>0.05</x:v>
      </x:c>
      <x:c r="AB97" s="203" t="n">
        <x:f>IFERROR(Z97*(1+AA97),"")</x:f>
        <x:v>1260</x:v>
      </x:c>
      <x:c r="AC97" s="204" t="n">
        <x:f>IFERROR(1-V97/H97,"")</x:f>
        <x:v>0.046305882352940975</x:v>
      </x:c>
      <x:c r="AD97" s="204" t="n">
        <x:f>IFERROR(1-V97/AB97,"")</x:f>
        <x:v>0.3566349206349204</x:v>
      </x:c>
      <x:c r="AE97" s="19" t="str">
        <x:f>IF(AC97&lt;Anyag_Beallitasok!$B$3,"NEM ÉRI EL A 35%-OT",IF(AC97&lt;Anyag_Beallitasok!$B$4,"MINIMUM 35–49,9%",IF(AC97&lt;Anyag_Beallitasok!$B$5,"IDEÁLIS 50–59,9%","KIEMELKEDŐ ≥60%")))</x:f>
        <x:v>NEM ÉRI EL A 35%-OT</x:v>
      </x:c>
      <x:c r="AF97" s="204" t="n">
        <x:f>IFERROR(AB97/H97-1,"")</x:f>
        <x:v>0.48235294117647065</x:v>
      </x:c>
      <x:c r="AG97" s="19" t="str">
        <x:f>IF(AND(P97="IGEN",O97&gt;0),IF(AF97&gt;Anyag_Beallitasok!$B$10,"0%-OS SZÁMLA + ÖNADÓZÁS; FELÁR SZÜKSÉGES","0%-OS SZÁMLA + ÖNADÓZÁS"),IF(AF97&gt;Anyag_Beallitasok!$B$10,"FELÁR SZÜKSÉGES A 35%-HOZ",IF(AC97&lt;Anyag_Beallitasok!$B$3,"PIACI ÁRON NEM TARTHATÓ A 35%","OK")))</x:f>
        <x:v>FELÁR SZÜKSÉGES A 35%-HOZ</x:v>
      </x:c>
      <x:c r="AH97" s="207" t="n">
        <x:v>220</x:v>
      </x:c>
      <x:c r="AI97" s="207" t="n">
        <x:v>220</x:v>
      </x:c>
      <x:c r="AJ97" s="207" t="n">
        <x:v>220</x:v>
      </x:c>
      <x:c r="AK97" s="208"/>
      <x:c r="AL97" s="203" t="str">
        <x:f>IF(AK97="","",V97*AK97)</x:f>
      </x:c>
      <x:c r="AM97" s="203" t="str">
        <x:f>IF(AK97="","",AB97*AK97)</x:f>
      </x:c>
      <x:c r="AN97" s="204" t="str">
        <x:f>IFERROR(1-AL97/AM97,"")</x:f>
      </x:c>
      <x:c r="AO97" s="19" t="str">
        <x:v>https://terranteto.hu/wp-content/uploads/2022/10/Terran-arlista-20260101.pdf</x:v>
      </x:c>
      <x:c r="AP97" s="19" t="str">
        <x:v>Mérnöki piaci becslés</x:v>
      </x:c>
      <x:c r="AQ97" s="19" t="str"/>
    </x:row>
    <x:row r="98">
      <x:c r="A98" s="19" t="str">
        <x:v>ANY-0097</x:v>
      </x:c>
      <x:c r="B98" s="19" t="str">
        <x:v>07 Tető</x:v>
      </x:c>
      <x:c r="C98" s="19" t="str">
        <x:v>Fa, fedés és bádogos anyagok</x:v>
      </x:c>
      <x:c r="D98" s="19" t="str">
        <x:v>Mindegyik</x:v>
      </x:c>
      <x:c r="E98" s="19" t="str">
        <x:v>Tetőfólia páraáteresztő prémium</x:v>
      </x:c>
      <x:c r="F98" s="19" t="str">
        <x:v>ragasztósávval</x:v>
      </x:c>
      <x:c r="G98" s="19" t="str">
        <x:v>m²</x:v>
      </x:c>
      <x:c r="H98" s="203" t="n">
        <x:v>1450</x:v>
      </x:c>
      <x:c r="I98" s="204" t="n">
        <x:v>0.27</x:v>
      </x:c>
      <x:c r="J98" s="203" t="n">
        <x:f>IFERROR(H98/(1+I98),"")</x:f>
        <x:v>1141.732283464567</x:v>
      </x:c>
      <x:c r="K98" s="205" t="n">
        <x:v>0.18</x:v>
      </x:c>
      <x:c r="L98" s="203" t="n">
        <x:f>IFERROR(J98*(1-K98),"")</x:f>
        <x:v>936.2204724409451</x:v>
      </x:c>
      <x:c r="M98" s="19" t="str">
        <x:v>27% normál belföldi</x:v>
      </x:c>
      <x:c r="N98" s="204" t="n">
        <x:v>0.27</x:v>
      </x:c>
      <x:c r="O98" s="204" t="n">
        <x:v>0</x:v>
      </x:c>
      <x:c r="P98" s="19" t="str">
        <x:v>NEM</x:v>
      </x:c>
      <x:c r="Q98" s="203" t="n">
        <x:f>IFERROR(L98*(1+N98),"")</x:f>
        <x:v>1189.0000000000002</x:v>
      </x:c>
      <x:c r="R98" s="205" t="n">
        <x:v>0.12</x:v>
      </x:c>
      <x:c r="S98" s="203" t="n">
        <x:f>IFERROR(Q98*(1+R98),"")</x:f>
        <x:v>1331.6800000000003</x:v>
      </x:c>
      <x:c r="T98" s="206" t="n">
        <x:v>35</x:v>
      </x:c>
      <x:c r="U98" s="206" t="n">
        <x:v>0</x:v>
      </x:c>
      <x:c r="V98" s="203" t="n">
        <x:f>IFERROR(S98+T98+U98,"")</x:f>
        <x:v>1366.6800000000003</x:v>
      </x:c>
      <x:c r="W98" s="203" t="n">
        <x:f>IFERROR(H98/(1+Anyag_Beallitasok!$B$2)*Anyag_Beallitasok!$B$9,"")</x:f>
        <x:v>1380.952380952381</x:v>
      </x:c>
      <x:c r="X98" s="203" t="n">
        <x:f>IFERROR(V98/((1-Anyag_Beallitasok!$B$3)*(1+Anyag_Beallitasok!$B$2)),"")</x:f>
        <x:v>2002.4615384615386</x:v>
      </x:c>
      <x:c r="Y98" s="203" t="n">
        <x:f>IFERROR(V98/((1-Anyag_Beallitasok!$B$4)*(1+Anyag_Beallitasok!$B$2)),"")</x:f>
        <x:v>2603.2000000000003</x:v>
      </x:c>
      <x:c r="Z98" s="203" t="n">
        <x:f>IFERROR(ROUNDUP(MAX(W98,X98)/Anyag_Beallitasok!$B$6,0)*Anyag_Beallitasok!$B$6,"")</x:f>
        <x:v>2050</x:v>
      </x:c>
      <x:c r="AA98" s="204" t="n">
        <x:f>Anyag_Beallitasok!$B$2</x:f>
        <x:v>0.05</x:v>
      </x:c>
      <x:c r="AB98" s="203" t="n">
        <x:f>IFERROR(Z98*(1+AA98),"")</x:f>
        <x:v>2152.5</x:v>
      </x:c>
      <x:c r="AC98" s="204" t="n">
        <x:f>IFERROR(1-V98/H98,"")</x:f>
        <x:v>0.05746206896551709</x:v>
      </x:c>
      <x:c r="AD98" s="204" t="n">
        <x:f>IFERROR(1-V98/AB98,"")</x:f>
        <x:v>0.3650731707317072</x:v>
      </x:c>
      <x:c r="AE98" s="19" t="str">
        <x:f>IF(AC98&lt;Anyag_Beallitasok!$B$3,"NEM ÉRI EL A 35%-OT",IF(AC98&lt;Anyag_Beallitasok!$B$4,"MINIMUM 35–49,9%",IF(AC98&lt;Anyag_Beallitasok!$B$5,"IDEÁLIS 50–59,9%","KIEMELKEDŐ ≥60%")))</x:f>
        <x:v>NEM ÉRI EL A 35%-OT</x:v>
      </x:c>
      <x:c r="AF98" s="204" t="n">
        <x:f>IFERROR(AB98/H98-1,"")</x:f>
        <x:v>0.4844827586206897</x:v>
      </x:c>
      <x:c r="AG98" s="19" t="str">
        <x:f>IF(AND(P98="IGEN",O98&gt;0),IF(AF98&gt;Anyag_Beallitasok!$B$10,"0%-OS SZÁMLA + ÖNADÓZÁS; FELÁR SZÜKSÉGES","0%-OS SZÁMLA + ÖNADÓZÁS"),IF(AF98&gt;Anyag_Beallitasok!$B$10,"FELÁR SZÜKSÉGES A 35%-HOZ",IF(AC98&lt;Anyag_Beallitasok!$B$3,"PIACI ÁRON NEM TARTHATÓ A 35%","OK")))</x:f>
        <x:v>FELÁR SZÜKSÉGES A 35%-HOZ</x:v>
      </x:c>
      <x:c r="AH98" s="207" t="n">
        <x:v>0</x:v>
      </x:c>
      <x:c r="AI98" s="207" t="n">
        <x:v>0</x:v>
      </x:c>
      <x:c r="AJ98" s="207" t="n">
        <x:v>0</x:v>
      </x:c>
      <x:c r="AK98" s="208"/>
      <x:c r="AL98" s="203" t="str">
        <x:f>IF(AK98="","",V98*AK98)</x:f>
      </x:c>
      <x:c r="AM98" s="203" t="str">
        <x:f>IF(AK98="","",AB98*AK98)</x:f>
      </x:c>
      <x:c r="AN98" s="204" t="str">
        <x:f>IFERROR(1-AL98/AM98,"")</x:f>
      </x:c>
      <x:c r="AO98" s="19" t="str">
        <x:v>https://terranteto.hu/wp-content/uploads/2022/10/Terran-arlista-20260101.pdf</x:v>
      </x:c>
      <x:c r="AP98" s="19" t="str">
        <x:v>Mérnöki piaci becslés</x:v>
      </x:c>
      <x:c r="AQ98" s="19" t="str"/>
    </x:row>
    <x:row r="99">
      <x:c r="A99" s="19" t="str">
        <x:v>ANY-0098</x:v>
      </x:c>
      <x:c r="B99" s="19" t="str">
        <x:v>07 Tető</x:v>
      </x:c>
      <x:c r="C99" s="19" t="str">
        <x:v>Fa, fedés és bádogos anyagok</x:v>
      </x:c>
      <x:c r="D99" s="19" t="str">
        <x:v>Mindegyik</x:v>
      </x:c>
      <x:c r="E99" s="19" t="str">
        <x:v>Ellenléc 5×5 cm</x:v>
      </x:c>
      <x:c r="F99" s="19" t="str">
        <x:v>impregnált</x:v>
      </x:c>
      <x:c r="G99" s="19" t="str">
        <x:v>fm</x:v>
      </x:c>
      <x:c r="H99" s="203" t="n">
        <x:v>520</x:v>
      </x:c>
      <x:c r="I99" s="204" t="n">
        <x:v>0.27</x:v>
      </x:c>
      <x:c r="J99" s="203" t="n">
        <x:f>IFERROR(H99/(1+I99),"")</x:f>
        <x:v>409.4488188976378</x:v>
      </x:c>
      <x:c r="K99" s="205" t="n">
        <x:v>0.12</x:v>
      </x:c>
      <x:c r="L99" s="203" t="n">
        <x:f>IFERROR(J99*(1-K99),"")</x:f>
        <x:v>360.31496062992125</x:v>
      </x:c>
      <x:c r="M99" s="19" t="str">
        <x:v>27% normál belföldi</x:v>
      </x:c>
      <x:c r="N99" s="204" t="n">
        <x:v>0.27</x:v>
      </x:c>
      <x:c r="O99" s="204" t="n">
        <x:v>0</x:v>
      </x:c>
      <x:c r="P99" s="19" t="str">
        <x:v>NEM</x:v>
      </x:c>
      <x:c r="Q99" s="203" t="n">
        <x:f>IFERROR(L99*(1+N99),"")</x:f>
        <x:v>457.59999999999997</x:v>
      </x:c>
      <x:c r="R99" s="205" t="n">
        <x:v>0.12</x:v>
      </x:c>
      <x:c r="S99" s="203" t="n">
        <x:f>IFERROR(Q99*(1+R99),"")</x:f>
        <x:v>512.5120000000001</x:v>
      </x:c>
      <x:c r="T99" s="206" t="n">
        <x:v>30</x:v>
      </x:c>
      <x:c r="U99" s="206" t="n">
        <x:v>0</x:v>
      </x:c>
      <x:c r="V99" s="203" t="n">
        <x:f>IFERROR(S99+T99+U99,"")</x:f>
        <x:v>542.5120000000001</x:v>
      </x:c>
      <x:c r="W99" s="203" t="n">
        <x:f>IFERROR(H99/(1+Anyag_Beallitasok!$B$2)*Anyag_Beallitasok!$B$9,"")</x:f>
        <x:v>495.23809523809524</x:v>
      </x:c>
      <x:c r="X99" s="203" t="n">
        <x:f>IFERROR(V99/((1-Anyag_Beallitasok!$B$3)*(1+Anyag_Beallitasok!$B$2)),"")</x:f>
        <x:v>794.8893772893772</x:v>
      </x:c>
      <x:c r="Y99" s="203" t="n">
        <x:f>IFERROR(V99/((1-Anyag_Beallitasok!$B$4)*(1+Anyag_Beallitasok!$B$2)),"")</x:f>
        <x:v>1033.3561904761905</x:v>
      </x:c>
      <x:c r="Z99" s="203" t="n">
        <x:f>IFERROR(ROUNDUP(MAX(W99,X99)/Anyag_Beallitasok!$B$6,0)*Anyag_Beallitasok!$B$6,"")</x:f>
        <x:v>800</x:v>
      </x:c>
      <x:c r="AA99" s="204" t="n">
        <x:f>Anyag_Beallitasok!$B$2</x:f>
        <x:v>0.05</x:v>
      </x:c>
      <x:c r="AB99" s="203" t="n">
        <x:f>IFERROR(Z99*(1+AA99),"")</x:f>
        <x:v>840</x:v>
      </x:c>
      <x:c r="AC99" s="204" t="n">
        <x:f>IFERROR(1-V99/H99,"")</x:f>
        <x:v>-0.04329230769230774</x:v>
      </x:c>
      <x:c r="AD99" s="204" t="n">
        <x:f>IFERROR(1-V99/AB99,"")</x:f>
        <x:v>0.3541523809523809</x:v>
      </x:c>
      <x:c r="AE99" s="19" t="str">
        <x:f>IF(AC99&lt;Anyag_Beallitasok!$B$3,"NEM ÉRI EL A 35%-OT",IF(AC99&lt;Anyag_Beallitasok!$B$4,"MINIMUM 35–49,9%",IF(AC99&lt;Anyag_Beallitasok!$B$5,"IDEÁLIS 50–59,9%","KIEMELKEDŐ ≥60%")))</x:f>
        <x:v>NEM ÉRI EL A 35%-OT</x:v>
      </x:c>
      <x:c r="AF99" s="204" t="n">
        <x:f>IFERROR(AB99/H99-1,"")</x:f>
        <x:v>0.6153846153846154</x:v>
      </x:c>
      <x:c r="AG99" s="19" t="str">
        <x:f>IF(AND(P99="IGEN",O99&gt;0),IF(AF99&gt;Anyag_Beallitasok!$B$10,"0%-OS SZÁMLA + ÖNADÓZÁS; FELÁR SZÜKSÉGES","0%-OS SZÁMLA + ÖNADÓZÁS"),IF(AF99&gt;Anyag_Beallitasok!$B$10,"FELÁR SZÜKSÉGES A 35%-HOZ",IF(AC99&lt;Anyag_Beallitasok!$B$3,"PIACI ÁRON NEM TARTHATÓ A 35%","OK")))</x:f>
        <x:v>FELÁR SZÜKSÉGES A 35%-HOZ</x:v>
      </x:c>
      <x:c r="AH99" s="207" t="n">
        <x:v>420</x:v>
      </x:c>
      <x:c r="AI99" s="207" t="n">
        <x:v>420</x:v>
      </x:c>
      <x:c r="AJ99" s="207" t="n">
        <x:v>420</x:v>
      </x:c>
      <x:c r="AK99" s="208"/>
      <x:c r="AL99" s="203" t="str">
        <x:f>IF(AK99="","",V99*AK99)</x:f>
      </x:c>
      <x:c r="AM99" s="203" t="str">
        <x:f>IF(AK99="","",AB99*AK99)</x:f>
      </x:c>
      <x:c r="AN99" s="204" t="str">
        <x:f>IFERROR(1-AL99/AM99,"")</x:f>
      </x:c>
      <x:c r="AO99" s="19" t="str">
        <x:v>https://fadepofatelep.hu/arlista/</x:v>
      </x:c>
      <x:c r="AP99" s="19" t="str">
        <x:v>Faanyagárból levezetett</x:v>
      </x:c>
      <x:c r="AQ99" s="19" t="str"/>
    </x:row>
    <x:row r="100">
      <x:c r="A100" s="19" t="str">
        <x:v>ANY-0099</x:v>
      </x:c>
      <x:c r="B100" s="19" t="str">
        <x:v>07 Tető</x:v>
      </x:c>
      <x:c r="C100" s="19" t="str">
        <x:v>Fa, fedés és bádogos anyagok</x:v>
      </x:c>
      <x:c r="D100" s="19" t="str">
        <x:v>Mindegyik</x:v>
      </x:c>
      <x:c r="E100" s="19" t="str">
        <x:v>Tetőléc 3×5 cm</x:v>
      </x:c>
      <x:c r="F100" s="19" t="str">
        <x:v>impregnált</x:v>
      </x:c>
      <x:c r="G100" s="19" t="str">
        <x:v>fm</x:v>
      </x:c>
      <x:c r="H100" s="203" t="n">
        <x:v>320</x:v>
      </x:c>
      <x:c r="I100" s="204" t="n">
        <x:v>0.27</x:v>
      </x:c>
      <x:c r="J100" s="203" t="n">
        <x:f>IFERROR(H100/(1+I100),"")</x:f>
        <x:v>251.96850393700788</x:v>
      </x:c>
      <x:c r="K100" s="205" t="n">
        <x:v>0.12</x:v>
      </x:c>
      <x:c r="L100" s="203" t="n">
        <x:f>IFERROR(J100*(1-K100),"")</x:f>
        <x:v>221.73228346456693</x:v>
      </x:c>
      <x:c r="M100" s="19" t="str">
        <x:v>27% normál belföldi</x:v>
      </x:c>
      <x:c r="N100" s="204" t="n">
        <x:v>0.27</x:v>
      </x:c>
      <x:c r="O100" s="204" t="n">
        <x:v>0</x:v>
      </x:c>
      <x:c r="P100" s="19" t="str">
        <x:v>NEM</x:v>
      </x:c>
      <x:c r="Q100" s="203" t="n">
        <x:f>IFERROR(L100*(1+N100),"")</x:f>
        <x:v>281.6</x:v>
      </x:c>
      <x:c r="R100" s="205" t="n">
        <x:v>0.12</x:v>
      </x:c>
      <x:c r="S100" s="203" t="n">
        <x:f>IFERROR(Q100*(1+R100),"")</x:f>
        <x:v>315.39200000000005</x:v>
      </x:c>
      <x:c r="T100" s="206" t="n">
        <x:v>25</x:v>
      </x:c>
      <x:c r="U100" s="206" t="n">
        <x:v>0</x:v>
      </x:c>
      <x:c r="V100" s="203" t="n">
        <x:f>IFERROR(S100+T100+U100,"")</x:f>
        <x:v>340.39200000000005</x:v>
      </x:c>
      <x:c r="W100" s="203" t="n">
        <x:f>IFERROR(H100/(1+Anyag_Beallitasok!$B$2)*Anyag_Beallitasok!$B$9,"")</x:f>
        <x:v>304.76190476190476</x:v>
      </x:c>
      <x:c r="X100" s="203" t="n">
        <x:f>IFERROR(V100/((1-Anyag_Beallitasok!$B$3)*(1+Anyag_Beallitasok!$B$2)),"")</x:f>
        <x:v>498.74285714285713</x:v>
      </x:c>
      <x:c r="Y100" s="203" t="n">
        <x:f>IFERROR(V100/((1-Anyag_Beallitasok!$B$4)*(1+Anyag_Beallitasok!$B$2)),"")</x:f>
        <x:v>648.3657142857144</x:v>
      </x:c>
      <x:c r="Z100" s="203" t="n">
        <x:f>IFERROR(ROUNDUP(MAX(W100,X100)/Anyag_Beallitasok!$B$6,0)*Anyag_Beallitasok!$B$6,"")</x:f>
        <x:v>500</x:v>
      </x:c>
      <x:c r="AA100" s="204" t="n">
        <x:f>Anyag_Beallitasok!$B$2</x:f>
        <x:v>0.05</x:v>
      </x:c>
      <x:c r="AB100" s="203" t="n">
        <x:f>IFERROR(Z100*(1+AA100),"")</x:f>
        <x:v>525</x:v>
      </x:c>
      <x:c r="AC100" s="204" t="n">
        <x:f>IFERROR(1-V100/H100,"")</x:f>
        <x:v>-0.06372500000000025</x:v>
      </x:c>
      <x:c r="AD100" s="204" t="n">
        <x:f>IFERROR(1-V100/AB100,"")</x:f>
        <x:v>0.35163428571428557</x:v>
      </x:c>
      <x:c r="AE100" s="19" t="str">
        <x:f>IF(AC100&lt;Anyag_Beallitasok!$B$3,"NEM ÉRI EL A 35%-OT",IF(AC100&lt;Anyag_Beallitasok!$B$4,"MINIMUM 35–49,9%",IF(AC100&lt;Anyag_Beallitasok!$B$5,"IDEÁLIS 50–59,9%","KIEMELKEDŐ ≥60%")))</x:f>
        <x:v>NEM ÉRI EL A 35%-OT</x:v>
      </x:c>
      <x:c r="AF100" s="204" t="n">
        <x:f>IFERROR(AB100/H100-1,"")</x:f>
        <x:v>0.640625</x:v>
      </x:c>
      <x:c r="AG100" s="19" t="str">
        <x:f>IF(AND(P100="IGEN",O100&gt;0),IF(AF100&gt;Anyag_Beallitasok!$B$10,"0%-OS SZÁMLA + ÖNADÓZÁS; FELÁR SZÜKSÉGES","0%-OS SZÁMLA + ÖNADÓZÁS"),IF(AF100&gt;Anyag_Beallitasok!$B$10,"FELÁR SZÜKSÉGES A 35%-HOZ",IF(AC100&lt;Anyag_Beallitasok!$B$3,"PIACI ÁRON NEM TARTHATÓ A 35%","OK")))</x:f>
        <x:v>FELÁR SZÜKSÉGES A 35%-HOZ</x:v>
      </x:c>
      <x:c r="AH100" s="207" t="n">
        <x:v>1200</x:v>
      </x:c>
      <x:c r="AI100" s="207" t="n">
        <x:v>1200</x:v>
      </x:c>
      <x:c r="AJ100" s="207" t="n">
        <x:v>1200</x:v>
      </x:c>
      <x:c r="AK100" s="208"/>
      <x:c r="AL100" s="203" t="str">
        <x:f>IF(AK100="","",V100*AK100)</x:f>
      </x:c>
      <x:c r="AM100" s="203" t="str">
        <x:f>IF(AK100="","",AB100*AK100)</x:f>
      </x:c>
      <x:c r="AN100" s="204" t="str">
        <x:f>IFERROR(1-AL100/AM100,"")</x:f>
      </x:c>
      <x:c r="AO100" s="19" t="str">
        <x:v>https://fadepofatelep.hu/arlista/</x:v>
      </x:c>
      <x:c r="AP100" s="19" t="str">
        <x:v>Faanyagárból levezetett</x:v>
      </x:c>
      <x:c r="AQ100" s="19" t="str"/>
    </x:row>
    <x:row r="101">
      <x:c r="A101" s="19" t="str">
        <x:v>ANY-0100</x:v>
      </x:c>
      <x:c r="B101" s="19" t="str">
        <x:v>07 Tető</x:v>
      </x:c>
      <x:c r="C101" s="19" t="str">
        <x:v>Fa, fedés és bádogos anyagok</x:v>
      </x:c>
      <x:c r="D101" s="19" t="str">
        <x:v>Mindegyik</x:v>
      </x:c>
      <x:c r="E101" s="19" t="str">
        <x:v>Kúpalátét szellőzőszalag</x:v>
      </x:c>
      <x:c r="F101" s="19" t="str">
        <x:v>alumínium/butil</x:v>
      </x:c>
      <x:c r="G101" s="19" t="str">
        <x:v>fm</x:v>
      </x:c>
      <x:c r="H101" s="203" t="n">
        <x:v>1800</x:v>
      </x:c>
      <x:c r="I101" s="204" t="n">
        <x:v>0.27</x:v>
      </x:c>
      <x:c r="J101" s="203" t="n">
        <x:f>IFERROR(H101/(1+I101),"")</x:f>
        <x:v>1417.3228346456692</x:v>
      </x:c>
      <x:c r="K101" s="205" t="n">
        <x:v>0.18</x:v>
      </x:c>
      <x:c r="L101" s="203" t="n">
        <x:f>IFERROR(J101*(1-K101),"")</x:f>
        <x:v>1162.2047244094488</x:v>
      </x:c>
      <x:c r="M101" s="19" t="str">
        <x:v>27% normál belföldi</x:v>
      </x:c>
      <x:c r="N101" s="204" t="n">
        <x:v>0.27</x:v>
      </x:c>
      <x:c r="O101" s="204" t="n">
        <x:v>0</x:v>
      </x:c>
      <x:c r="P101" s="19" t="str">
        <x:v>NEM</x:v>
      </x:c>
      <x:c r="Q101" s="203" t="n">
        <x:f>IFERROR(L101*(1+N101),"")</x:f>
        <x:v>1476</x:v>
      </x:c>
      <x:c r="R101" s="205" t="n">
        <x:v>0.1</x:v>
      </x:c>
      <x:c r="S101" s="203" t="n">
        <x:f>IFERROR(Q101*(1+R101),"")</x:f>
        <x:v>1623.6000000000001</x:v>
      </x:c>
      <x:c r="T101" s="206" t="n">
        <x:v>50</x:v>
      </x:c>
      <x:c r="U101" s="206" t="n">
        <x:v>0</x:v>
      </x:c>
      <x:c r="V101" s="203" t="n">
        <x:f>IFERROR(S101+T101+U101,"")</x:f>
        <x:v>1673.6000000000001</x:v>
      </x:c>
      <x:c r="W101" s="203" t="n">
        <x:f>IFERROR(H101/(1+Anyag_Beallitasok!$B$2)*Anyag_Beallitasok!$B$9,"")</x:f>
        <x:v>1714.2857142857142</x:v>
      </x:c>
      <x:c r="X101" s="203" t="n">
        <x:f>IFERROR(V101/((1-Anyag_Beallitasok!$B$3)*(1+Anyag_Beallitasok!$B$2)),"")</x:f>
        <x:v>2452.161172161172</x:v>
      </x:c>
      <x:c r="Y101" s="203" t="n">
        <x:f>IFERROR(V101/((1-Anyag_Beallitasok!$B$4)*(1+Anyag_Beallitasok!$B$2)),"")</x:f>
        <x:v>3187.809523809524</x:v>
      </x:c>
      <x:c r="Z101" s="203" t="n">
        <x:f>IFERROR(ROUNDUP(MAX(W101,X101)/Anyag_Beallitasok!$B$6,0)*Anyag_Beallitasok!$B$6,"")</x:f>
        <x:v>2500</x:v>
      </x:c>
      <x:c r="AA101" s="204" t="n">
        <x:f>Anyag_Beallitasok!$B$2</x:f>
        <x:v>0.05</x:v>
      </x:c>
      <x:c r="AB101" s="203" t="n">
        <x:f>IFERROR(Z101*(1+AA101),"")</x:f>
        <x:v>2625</x:v>
      </x:c>
      <x:c r="AC101" s="204" t="n">
        <x:f>IFERROR(1-V101/H101,"")</x:f>
        <x:v>0.07022222222222219</x:v>
      </x:c>
      <x:c r="AD101" s="204" t="n">
        <x:f>IFERROR(1-V101/AB101,"")</x:f>
        <x:v>0.3624380952380952</x:v>
      </x:c>
      <x:c r="AE101" s="19" t="str">
        <x:f>IF(AC101&lt;Anyag_Beallitasok!$B$3,"NEM ÉRI EL A 35%-OT",IF(AC101&lt;Anyag_Beallitasok!$B$4,"MINIMUM 35–49,9%",IF(AC101&lt;Anyag_Beallitasok!$B$5,"IDEÁLIS 50–59,9%","KIEMELKEDŐ ≥60%")))</x:f>
        <x:v>NEM ÉRI EL A 35%-OT</x:v>
      </x:c>
      <x:c r="AF101" s="204" t="n">
        <x:f>IFERROR(AB101/H101-1,"")</x:f>
        <x:v>0.45833333333333326</x:v>
      </x:c>
      <x:c r="AG101" s="19" t="str">
        <x:f>IF(AND(P101="IGEN",O101&gt;0),IF(AF101&gt;Anyag_Beallitasok!$B$10,"0%-OS SZÁMLA + ÖNADÓZÁS; FELÁR SZÜKSÉGES","0%-OS SZÁMLA + ÖNADÓZÁS"),IF(AF101&gt;Anyag_Beallitasok!$B$10,"FELÁR SZÜKSÉGES A 35%-HOZ",IF(AC101&lt;Anyag_Beallitasok!$B$3,"PIACI ÁRON NEM TARTHATÓ A 35%","OK")))</x:f>
        <x:v>FELÁR SZÜKSÉGES A 35%-HOZ</x:v>
      </x:c>
      <x:c r="AH101" s="207" t="n">
        <x:v>60</x:v>
      </x:c>
      <x:c r="AI101" s="207" t="n">
        <x:v>60</x:v>
      </x:c>
      <x:c r="AJ101" s="207" t="n">
        <x:v>60</x:v>
      </x:c>
      <x:c r="AK101" s="208"/>
      <x:c r="AL101" s="203" t="str">
        <x:f>IF(AK101="","",V101*AK101)</x:f>
      </x:c>
      <x:c r="AM101" s="203" t="str">
        <x:f>IF(AK101="","",AB101*AK101)</x:f>
      </x:c>
      <x:c r="AN101" s="204" t="str">
        <x:f>IFERROR(1-AL101/AM101,"")</x:f>
      </x:c>
      <x:c r="AO101" s="19" t="str">
        <x:v>https://terranteto.hu/wp-content/uploads/2022/10/Terran-arlista-20260101.pdf</x:v>
      </x:c>
      <x:c r="AP101" s="19" t="str">
        <x:v>Mérnöki piaci becslés</x:v>
      </x:c>
      <x:c r="AQ101" s="19" t="str"/>
    </x:row>
    <x:row r="102">
      <x:c r="A102" s="19" t="str">
        <x:v>ANY-0101</x:v>
      </x:c>
      <x:c r="B102" s="19" t="str">
        <x:v>07 Tető</x:v>
      </x:c>
      <x:c r="C102" s="19" t="str">
        <x:v>Fa, fedés és bádogos anyagok</x:v>
      </x:c>
      <x:c r="D102" s="19" t="str">
        <x:v>Mindegyik</x:v>
      </x:c>
      <x:c r="E102" s="19" t="str">
        <x:v>Ereszszellőző elem</x:v>
      </x:c>
      <x:c r="F102" s="19" t="str">
        <x:v>madárfésűvel</x:v>
      </x:c>
      <x:c r="G102" s="19" t="str">
        <x:v>fm</x:v>
      </x:c>
      <x:c r="H102" s="203" t="n">
        <x:v>900</x:v>
      </x:c>
      <x:c r="I102" s="204" t="n">
        <x:v>0.27</x:v>
      </x:c>
      <x:c r="J102" s="203" t="n">
        <x:f>IFERROR(H102/(1+I102),"")</x:f>
        <x:v>708.6614173228346</x:v>
      </x:c>
      <x:c r="K102" s="205" t="n">
        <x:v>0.18</x:v>
      </x:c>
      <x:c r="L102" s="203" t="n">
        <x:f>IFERROR(J102*(1-K102),"")</x:f>
        <x:v>581.1023622047244</x:v>
      </x:c>
      <x:c r="M102" s="19" t="str">
        <x:v>27% normál belföldi</x:v>
      </x:c>
      <x:c r="N102" s="204" t="n">
        <x:v>0.27</x:v>
      </x:c>
      <x:c r="O102" s="204" t="n">
        <x:v>0</x:v>
      </x:c>
      <x:c r="P102" s="19" t="str">
        <x:v>NEM</x:v>
      </x:c>
      <x:c r="Q102" s="203" t="n">
        <x:f>IFERROR(L102*(1+N102),"")</x:f>
        <x:v>738</x:v>
      </x:c>
      <x:c r="R102" s="205" t="n">
        <x:v>0.1</x:v>
      </x:c>
      <x:c r="S102" s="203" t="n">
        <x:f>IFERROR(Q102*(1+R102),"")</x:f>
        <x:v>811.8000000000001</x:v>
      </x:c>
      <x:c r="T102" s="206" t="n">
        <x:v>35</x:v>
      </x:c>
      <x:c r="U102" s="206" t="n">
        <x:v>0</x:v>
      </x:c>
      <x:c r="V102" s="203" t="n">
        <x:f>IFERROR(S102+T102+U102,"")</x:f>
        <x:v>846.8000000000001</x:v>
      </x:c>
      <x:c r="W102" s="203" t="n">
        <x:f>IFERROR(H102/(1+Anyag_Beallitasok!$B$2)*Anyag_Beallitasok!$B$9,"")</x:f>
        <x:v>857.1428571428571</x:v>
      </x:c>
      <x:c r="X102" s="203" t="n">
        <x:f>IFERROR(V102/((1-Anyag_Beallitasok!$B$3)*(1+Anyag_Beallitasok!$B$2)),"")</x:f>
        <x:v>1240.7326007326005</x:v>
      </x:c>
      <x:c r="Y102" s="203" t="n">
        <x:f>IFERROR(V102/((1-Anyag_Beallitasok!$B$4)*(1+Anyag_Beallitasok!$B$2)),"")</x:f>
        <x:v>1612.952380952381</x:v>
      </x:c>
      <x:c r="Z102" s="203" t="n">
        <x:f>IFERROR(ROUNDUP(MAX(W102,X102)/Anyag_Beallitasok!$B$6,0)*Anyag_Beallitasok!$B$6,"")</x:f>
        <x:v>1250</x:v>
      </x:c>
      <x:c r="AA102" s="204" t="n">
        <x:f>Anyag_Beallitasok!$B$2</x:f>
        <x:v>0.05</x:v>
      </x:c>
      <x:c r="AB102" s="203" t="n">
        <x:f>IFERROR(Z102*(1+AA102),"")</x:f>
        <x:v>1312.5</x:v>
      </x:c>
      <x:c r="AC102" s="204" t="n">
        <x:f>IFERROR(1-V102/H102,"")</x:f>
        <x:v>0.059111111111111</x:v>
      </x:c>
      <x:c r="AD102" s="204" t="n">
        <x:f>IFERROR(1-V102/AB102,"")</x:f>
        <x:v>0.3548190476190476</x:v>
      </x:c>
      <x:c r="AE102" s="19" t="str">
        <x:f>IF(AC102&lt;Anyag_Beallitasok!$B$3,"NEM ÉRI EL A 35%-OT",IF(AC102&lt;Anyag_Beallitasok!$B$4,"MINIMUM 35–49,9%",IF(AC102&lt;Anyag_Beallitasok!$B$5,"IDEÁLIS 50–59,9%","KIEMELKEDŐ ≥60%")))</x:f>
        <x:v>NEM ÉRI EL A 35%-OT</x:v>
      </x:c>
      <x:c r="AF102" s="204" t="n">
        <x:f>IFERROR(AB102/H102-1,"")</x:f>
        <x:v>0.45833333333333326</x:v>
      </x:c>
      <x:c r="AG102" s="19" t="str">
        <x:f>IF(AND(P102="IGEN",O102&gt;0),IF(AF102&gt;Anyag_Beallitasok!$B$10,"0%-OS SZÁMLA + ÖNADÓZÁS; FELÁR SZÜKSÉGES","0%-OS SZÁMLA + ÖNADÓZÁS"),IF(AF102&gt;Anyag_Beallitasok!$B$10,"FELÁR SZÜKSÉGES A 35%-HOZ",IF(AC102&lt;Anyag_Beallitasok!$B$3,"PIACI ÁRON NEM TARTHATÓ A 35%","OK")))</x:f>
        <x:v>FELÁR SZÜKSÉGES A 35%-HOZ</x:v>
      </x:c>
      <x:c r="AH102" s="207" t="n">
        <x:v>60</x:v>
      </x:c>
      <x:c r="AI102" s="207" t="n">
        <x:v>60</x:v>
      </x:c>
      <x:c r="AJ102" s="207" t="n">
        <x:v>60</x:v>
      </x:c>
      <x:c r="AK102" s="208"/>
      <x:c r="AL102" s="203" t="str">
        <x:f>IF(AK102="","",V102*AK102)</x:f>
      </x:c>
      <x:c r="AM102" s="203" t="str">
        <x:f>IF(AK102="","",AB102*AK102)</x:f>
      </x:c>
      <x:c r="AN102" s="204" t="str">
        <x:f>IFERROR(1-AL102/AM102,"")</x:f>
      </x:c>
      <x:c r="AO102" s="19" t="str">
        <x:v>https://terranteto.hu/wp-content/uploads/2022/10/Terran-arlista-20260101.pdf</x:v>
      </x:c>
      <x:c r="AP102" s="19" t="str">
        <x:v>Mérnöki piaci becslés</x:v>
      </x:c>
      <x:c r="AQ102" s="19" t="str"/>
    </x:row>
    <x:row r="103">
      <x:c r="A103" s="19" t="str">
        <x:v>ANY-0102</x:v>
      </x:c>
      <x:c r="B103" s="19" t="str">
        <x:v>07 Tető</x:v>
      </x:c>
      <x:c r="C103" s="19" t="str">
        <x:v>Fa, fedés és bádogos anyagok</x:v>
      </x:c>
      <x:c r="D103" s="19" t="str">
        <x:v>Mindegyik</x:v>
      </x:c>
      <x:c r="E103" s="19" t="str">
        <x:v>Hófogó elem</x:v>
      </x:c>
      <x:c r="F103" s="19" t="str">
        <x:v>színazonos</x:v>
      </x:c>
      <x:c r="G103" s="19" t="str">
        <x:v>db</x:v>
      </x:c>
      <x:c r="H103" s="203" t="n">
        <x:v>1250</x:v>
      </x:c>
      <x:c r="I103" s="204" t="n">
        <x:v>0.27</x:v>
      </x:c>
      <x:c r="J103" s="203" t="n">
        <x:f>IFERROR(H103/(1+I103),"")</x:f>
        <x:v>984.251968503937</x:v>
      </x:c>
      <x:c r="K103" s="205" t="n">
        <x:v>0.18</x:v>
      </x:c>
      <x:c r="L103" s="203" t="n">
        <x:f>IFERROR(J103*(1-K103),"")</x:f>
        <x:v>807.0866141732283</x:v>
      </x:c>
      <x:c r="M103" s="19" t="str">
        <x:v>27% normál belföldi</x:v>
      </x:c>
      <x:c r="N103" s="204" t="n">
        <x:v>0.27</x:v>
      </x:c>
      <x:c r="O103" s="204" t="n">
        <x:v>0</x:v>
      </x:c>
      <x:c r="P103" s="19" t="str">
        <x:v>NEM</x:v>
      </x:c>
      <x:c r="Q103" s="203" t="n">
        <x:f>IFERROR(L103*(1+N103),"")</x:f>
        <x:v>1025</x:v>
      </x:c>
      <x:c r="R103" s="205" t="n">
        <x:v>0.05</x:v>
      </x:c>
      <x:c r="S103" s="203" t="n">
        <x:f>IFERROR(Q103*(1+R103),"")</x:f>
        <x:v>1076.25</x:v>
      </x:c>
      <x:c r="T103" s="206" t="n">
        <x:v>25</x:v>
      </x:c>
      <x:c r="U103" s="206" t="n">
        <x:v>0</x:v>
      </x:c>
      <x:c r="V103" s="203" t="n">
        <x:f>IFERROR(S103+T103+U103,"")</x:f>
        <x:v>1101.25</x:v>
      </x:c>
      <x:c r="W103" s="203" t="n">
        <x:f>IFERROR(H103/(1+Anyag_Beallitasok!$B$2)*Anyag_Beallitasok!$B$9,"")</x:f>
        <x:v>1190.4761904761904</x:v>
      </x:c>
      <x:c r="X103" s="203" t="n">
        <x:f>IFERROR(V103/((1-Anyag_Beallitasok!$B$3)*(1+Anyag_Beallitasok!$B$2)),"")</x:f>
        <x:v>1613.5531135531132</x:v>
      </x:c>
      <x:c r="Y103" s="203" t="n">
        <x:f>IFERROR(V103/((1-Anyag_Beallitasok!$B$4)*(1+Anyag_Beallitasok!$B$2)),"")</x:f>
        <x:v>2097.6190476190477</x:v>
      </x:c>
      <x:c r="Z103" s="203" t="n">
        <x:f>IFERROR(ROUNDUP(MAX(W103,X103)/Anyag_Beallitasok!$B$6,0)*Anyag_Beallitasok!$B$6,"")</x:f>
        <x:v>1650</x:v>
      </x:c>
      <x:c r="AA103" s="204" t="n">
        <x:f>Anyag_Beallitasok!$B$2</x:f>
        <x:v>0.05</x:v>
      </x:c>
      <x:c r="AB103" s="203" t="n">
        <x:f>IFERROR(Z103*(1+AA103),"")</x:f>
        <x:v>1732.5</x:v>
      </x:c>
      <x:c r="AC103" s="204" t="n">
        <x:f>IFERROR(1-V103/H103,"")</x:f>
        <x:v>0.119</x:v>
      </x:c>
      <x:c r="AD103" s="204" t="n">
        <x:f>IFERROR(1-V103/AB103,"")</x:f>
        <x:v>0.3643578643578643</x:v>
      </x:c>
      <x:c r="AE103" s="19" t="str">
        <x:f>IF(AC103&lt;Anyag_Beallitasok!$B$3,"NEM ÉRI EL A 35%-OT",IF(AC103&lt;Anyag_Beallitasok!$B$4,"MINIMUM 35–49,9%",IF(AC103&lt;Anyag_Beallitasok!$B$5,"IDEÁLIS 50–59,9%","KIEMELKEDŐ ≥60%")))</x:f>
        <x:v>NEM ÉRI EL A 35%-OT</x:v>
      </x:c>
      <x:c r="AF103" s="204" t="n">
        <x:f>IFERROR(AB103/H103-1,"")</x:f>
        <x:v>0.3859999999999999</x:v>
      </x:c>
      <x:c r="AG103" s="19" t="str">
        <x:f>IF(AND(P103="IGEN",O103&gt;0),IF(AF103&gt;Anyag_Beallitasok!$B$10,"0%-OS SZÁMLA + ÖNADÓZÁS; FELÁR SZÜKSÉGES","0%-OS SZÁMLA + ÖNADÓZÁS"),IF(AF103&gt;Anyag_Beallitasok!$B$10,"FELÁR SZÜKSÉGES A 35%-HOZ",IF(AC103&lt;Anyag_Beallitasok!$B$3,"PIACI ÁRON NEM TARTHATÓ A 35%","OK")))</x:f>
        <x:v>FELÁR SZÜKSÉGES A 35%-HOZ</x:v>
      </x:c>
      <x:c r="AH103" s="207" t="n">
        <x:v>120</x:v>
      </x:c>
      <x:c r="AI103" s="207" t="n">
        <x:v>120</x:v>
      </x:c>
      <x:c r="AJ103" s="207" t="n">
        <x:v>120</x:v>
      </x:c>
      <x:c r="AK103" s="208"/>
      <x:c r="AL103" s="203" t="str">
        <x:f>IF(AK103="","",V103*AK103)</x:f>
      </x:c>
      <x:c r="AM103" s="203" t="str">
        <x:f>IF(AK103="","",AB103*AK103)</x:f>
      </x:c>
      <x:c r="AN103" s="204" t="str">
        <x:f>IFERROR(1-AL103/AM103,"")</x:f>
      </x:c>
      <x:c r="AO103" s="19" t="str">
        <x:v>https://terranteto.hu/wp-content/uploads/2022/10/Terran-arlista-20260101.pdf</x:v>
      </x:c>
      <x:c r="AP103" s="19" t="str">
        <x:v>Mérnöki piaci becslés</x:v>
      </x:c>
      <x:c r="AQ103" s="19" t="str"/>
    </x:row>
    <x:row r="104">
      <x:c r="A104" s="19" t="str">
        <x:v>ANY-0103</x:v>
      </x:c>
      <x:c r="B104" s="19" t="str">
        <x:v>07 Tető</x:v>
      </x:c>
      <x:c r="C104" s="19" t="str">
        <x:v>Fa, fedés és bádogos anyagok</x:v>
      </x:c>
      <x:c r="D104" s="19" t="str">
        <x:v>Mindegyik</x:v>
      </x:c>
      <x:c r="E104" s="19" t="str">
        <x:v>Ereszcsatorna horganyzott festett</x:v>
      </x:c>
      <x:c r="F104" s="19" t="str">
        <x:v>33-as</x:v>
      </x:c>
      <x:c r="G104" s="19" t="str">
        <x:v>fm</x:v>
      </x:c>
      <x:c r="H104" s="203" t="n">
        <x:v>4200</x:v>
      </x:c>
      <x:c r="I104" s="204" t="n">
        <x:v>0.27</x:v>
      </x:c>
      <x:c r="J104" s="203" t="n">
        <x:f>IFERROR(H104/(1+I104),"")</x:f>
        <x:v>3307.086614173228</x:v>
      </x:c>
      <x:c r="K104" s="205" t="n">
        <x:v>0.18</x:v>
      </x:c>
      <x:c r="L104" s="203" t="n">
        <x:f>IFERROR(J104*(1-K104),"")</x:f>
        <x:v>2711.8110236220473</x:v>
      </x:c>
      <x:c r="M104" s="19" t="str">
        <x:v>27% normál belföldi</x:v>
      </x:c>
      <x:c r="N104" s="204" t="n">
        <x:v>0.27</x:v>
      </x:c>
      <x:c r="O104" s="204" t="n">
        <x:v>0</x:v>
      </x:c>
      <x:c r="P104" s="19" t="str">
        <x:v>NEM</x:v>
      </x:c>
      <x:c r="Q104" s="203" t="n">
        <x:f>IFERROR(L104*(1+N104),"")</x:f>
        <x:v>3444</x:v>
      </x:c>
      <x:c r="R104" s="205" t="n">
        <x:v>0.08</x:v>
      </x:c>
      <x:c r="S104" s="203" t="n">
        <x:f>IFERROR(Q104*(1+R104),"")</x:f>
        <x:v>3719.5200000000004</x:v>
      </x:c>
      <x:c r="T104" s="206" t="n">
        <x:v>150</x:v>
      </x:c>
      <x:c r="U104" s="206" t="n">
        <x:v>0</x:v>
      </x:c>
      <x:c r="V104" s="203" t="n">
        <x:f>IFERROR(S104+T104+U104,"")</x:f>
        <x:v>3869.5200000000004</x:v>
      </x:c>
      <x:c r="W104" s="203" t="n">
        <x:f>IFERROR(H104/(1+Anyag_Beallitasok!$B$2)*Anyag_Beallitasok!$B$9,"")</x:f>
        <x:v>4000</x:v>
      </x:c>
      <x:c r="X104" s="203" t="n">
        <x:f>IFERROR(V104/((1-Anyag_Beallitasok!$B$3)*(1+Anyag_Beallitasok!$B$2)),"")</x:f>
        <x:v>5669.626373626374</x:v>
      </x:c>
      <x:c r="Y104" s="203" t="n">
        <x:f>IFERROR(V104/((1-Anyag_Beallitasok!$B$4)*(1+Anyag_Beallitasok!$B$2)),"")</x:f>
        <x:v>7370.514285714286</x:v>
      </x:c>
      <x:c r="Z104" s="203" t="n">
        <x:f>IFERROR(ROUNDUP(MAX(W104,X104)/Anyag_Beallitasok!$B$6,0)*Anyag_Beallitasok!$B$6,"")</x:f>
        <x:v>5700</x:v>
      </x:c>
      <x:c r="AA104" s="204" t="n">
        <x:f>Anyag_Beallitasok!$B$2</x:f>
        <x:v>0.05</x:v>
      </x:c>
      <x:c r="AB104" s="203" t="n">
        <x:f>IFERROR(Z104*(1+AA104),"")</x:f>
        <x:v>5985</x:v>
      </x:c>
      <x:c r="AC104" s="204" t="n">
        <x:f>IFERROR(1-V104/H104,"")</x:f>
        <x:v>0.07868571428571414</x:v>
      </x:c>
      <x:c r="AD104" s="204" t="n">
        <x:f>IFERROR(1-V104/AB104,"")</x:f>
        <x:v>0.3534636591478696</x:v>
      </x:c>
      <x:c r="AE104" s="19" t="str">
        <x:f>IF(AC104&lt;Anyag_Beallitasok!$B$3,"NEM ÉRI EL A 35%-OT",IF(AC104&lt;Anyag_Beallitasok!$B$4,"MINIMUM 35–49,9%",IF(AC104&lt;Anyag_Beallitasok!$B$5,"IDEÁLIS 50–59,9%","KIEMELKEDŐ ≥60%")))</x:f>
        <x:v>NEM ÉRI EL A 35%-OT</x:v>
      </x:c>
      <x:c r="AF104" s="204" t="n">
        <x:f>IFERROR(AB104/H104-1,"")</x:f>
        <x:v>0.42500000000000004</x:v>
      </x:c>
      <x:c r="AG104" s="19" t="str">
        <x:f>IF(AND(P104="IGEN",O104&gt;0),IF(AF104&gt;Anyag_Beallitasok!$B$10,"0%-OS SZÁMLA + ÖNADÓZÁS; FELÁR SZÜKSÉGES","0%-OS SZÁMLA + ÖNADÓZÁS"),IF(AF104&gt;Anyag_Beallitasok!$B$10,"FELÁR SZÜKSÉGES A 35%-HOZ",IF(AC104&lt;Anyag_Beallitasok!$B$3,"PIACI ÁRON NEM TARTHATÓ A 35%","OK")))</x:f>
        <x:v>FELÁR SZÜKSÉGES A 35%-HOZ</x:v>
      </x:c>
      <x:c r="AH104" s="207" t="n">
        <x:v>60</x:v>
      </x:c>
      <x:c r="AI104" s="207" t="n">
        <x:v>60</x:v>
      </x:c>
      <x:c r="AJ104" s="207" t="n">
        <x:v>60</x:v>
      </x:c>
      <x:c r="AK104" s="208"/>
      <x:c r="AL104" s="203" t="str">
        <x:f>IF(AK104="","",V104*AK104)</x:f>
      </x:c>
      <x:c r="AM104" s="203" t="str">
        <x:f>IF(AK104="","",AB104*AK104)</x:f>
      </x:c>
      <x:c r="AN104" s="204" t="str">
        <x:f>IFERROR(1-AL104/AM104,"")</x:f>
      </x:c>
      <x:c r="AO104" s="19" t="str">
        <x:v>https://www.bmigroup.com/hu/szolgaltatasok/hasznos-informaciok/raklap-es-logisztikai-informaciok/logisztikai-d%C3%ADjak/</x:v>
      </x:c>
      <x:c r="AP104" s="19" t="str">
        <x:v>2026 piaci becslés</x:v>
      </x:c>
      <x:c r="AQ104" s="19" t="str"/>
    </x:row>
    <x:row r="105">
      <x:c r="A105" s="19" t="str">
        <x:v>ANY-0104</x:v>
      </x:c>
      <x:c r="B105" s="19" t="str">
        <x:v>07 Tető</x:v>
      </x:c>
      <x:c r="C105" s="19" t="str">
        <x:v>Fa, fedés és bádogos anyagok</x:v>
      </x:c>
      <x:c r="D105" s="19" t="str">
        <x:v>Mindegyik</x:v>
      </x:c>
      <x:c r="E105" s="19" t="str">
        <x:v>Lefolyócső horganyzott festett</x:v>
      </x:c>
      <x:c r="F105" s="19" t="str">
        <x:v>100 mm</x:v>
      </x:c>
      <x:c r="G105" s="19" t="str">
        <x:v>fm</x:v>
      </x:c>
      <x:c r="H105" s="203" t="n">
        <x:v>3900</x:v>
      </x:c>
      <x:c r="I105" s="204" t="n">
        <x:v>0.27</x:v>
      </x:c>
      <x:c r="J105" s="203" t="n">
        <x:f>IFERROR(H105/(1+I105),"")</x:f>
        <x:v>3070.8661417322833</x:v>
      </x:c>
      <x:c r="K105" s="205" t="n">
        <x:v>0.18</x:v>
      </x:c>
      <x:c r="L105" s="203" t="n">
        <x:f>IFERROR(J105*(1-K105),"")</x:f>
        <x:v>2518.1102362204724</x:v>
      </x:c>
      <x:c r="M105" s="19" t="str">
        <x:v>27% normál belföldi</x:v>
      </x:c>
      <x:c r="N105" s="204" t="n">
        <x:v>0.27</x:v>
      </x:c>
      <x:c r="O105" s="204" t="n">
        <x:v>0</x:v>
      </x:c>
      <x:c r="P105" s="19" t="str">
        <x:v>NEM</x:v>
      </x:c>
      <x:c r="Q105" s="203" t="n">
        <x:f>IFERROR(L105*(1+N105),"")</x:f>
        <x:v>3198</x:v>
      </x:c>
      <x:c r="R105" s="205" t="n">
        <x:v>0.08</x:v>
      </x:c>
      <x:c r="S105" s="203" t="n">
        <x:f>IFERROR(Q105*(1+R105),"")</x:f>
        <x:v>3453.84</x:v>
      </x:c>
      <x:c r="T105" s="206" t="n">
        <x:v>150</x:v>
      </x:c>
      <x:c r="U105" s="206" t="n">
        <x:v>0</x:v>
      </x:c>
      <x:c r="V105" s="203" t="n">
        <x:f>IFERROR(S105+T105+U105,"")</x:f>
        <x:v>3603.84</x:v>
      </x:c>
      <x:c r="W105" s="203" t="n">
        <x:f>IFERROR(H105/(1+Anyag_Beallitasok!$B$2)*Anyag_Beallitasok!$B$9,"")</x:f>
        <x:v>3714.285714285714</x:v>
      </x:c>
      <x:c r="X105" s="203" t="n">
        <x:f>IFERROR(V105/((1-Anyag_Beallitasok!$B$3)*(1+Anyag_Beallitasok!$B$2)),"")</x:f>
        <x:v>5280.351648351648</x:v>
      </x:c>
      <x:c r="Y105" s="203" t="n">
        <x:f>IFERROR(V105/((1-Anyag_Beallitasok!$B$4)*(1+Anyag_Beallitasok!$B$2)),"")</x:f>
        <x:v>6864.457142857143</x:v>
      </x:c>
      <x:c r="Z105" s="203" t="n">
        <x:f>IFERROR(ROUNDUP(MAX(W105,X105)/Anyag_Beallitasok!$B$6,0)*Anyag_Beallitasok!$B$6,"")</x:f>
        <x:v>5300</x:v>
      </x:c>
      <x:c r="AA105" s="204" t="n">
        <x:f>Anyag_Beallitasok!$B$2</x:f>
        <x:v>0.05</x:v>
      </x:c>
      <x:c r="AB105" s="203" t="n">
        <x:f>IFERROR(Z105*(1+AA105),"")</x:f>
        <x:v>5565</x:v>
      </x:c>
      <x:c r="AC105" s="204" t="n">
        <x:f>IFERROR(1-V105/H105,"")</x:f>
        <x:v>0.07593846153846151</x:v>
      </x:c>
      <x:c r="AD105" s="204" t="n">
        <x:f>IFERROR(1-V105/AB105,"")</x:f>
        <x:v>0.3524097035040431</x:v>
      </x:c>
      <x:c r="AE105" s="19" t="str">
        <x:f>IF(AC105&lt;Anyag_Beallitasok!$B$3,"NEM ÉRI EL A 35%-OT",IF(AC105&lt;Anyag_Beallitasok!$B$4,"MINIMUM 35–49,9%",IF(AC105&lt;Anyag_Beallitasok!$B$5,"IDEÁLIS 50–59,9%","KIEMELKEDŐ ≥60%")))</x:f>
        <x:v>NEM ÉRI EL A 35%-OT</x:v>
      </x:c>
      <x:c r="AF105" s="204" t="n">
        <x:f>IFERROR(AB105/H105-1,"")</x:f>
        <x:v>0.42692307692307696</x:v>
      </x:c>
      <x:c r="AG105" s="19" t="str">
        <x:f>IF(AND(P105="IGEN",O105&gt;0),IF(AF105&gt;Anyag_Beallitasok!$B$10,"0%-OS SZÁMLA + ÖNADÓZÁS; FELÁR SZÜKSÉGES","0%-OS SZÁMLA + ÖNADÓZÁS"),IF(AF105&gt;Anyag_Beallitasok!$B$10,"FELÁR SZÜKSÉGES A 35%-HOZ",IF(AC105&lt;Anyag_Beallitasok!$B$3,"PIACI ÁRON NEM TARTHATÓ A 35%","OK")))</x:f>
        <x:v>FELÁR SZÜKSÉGES A 35%-HOZ</x:v>
      </x:c>
      <x:c r="AH105" s="207" t="n">
        <x:v>24</x:v>
      </x:c>
      <x:c r="AI105" s="207" t="n">
        <x:v>24</x:v>
      </x:c>
      <x:c r="AJ105" s="207" t="n">
        <x:v>24</x:v>
      </x:c>
      <x:c r="AK105" s="208"/>
      <x:c r="AL105" s="203" t="str">
        <x:f>IF(AK105="","",V105*AK105)</x:f>
      </x:c>
      <x:c r="AM105" s="203" t="str">
        <x:f>IF(AK105="","",AB105*AK105)</x:f>
      </x:c>
      <x:c r="AN105" s="204" t="str">
        <x:f>IFERROR(1-AL105/AM105,"")</x:f>
      </x:c>
      <x:c r="AO105" s="19" t="str">
        <x:v>https://www.bmigroup.com/hu/szolgaltatasok/hasznos-informaciok/raklap-es-logisztikai-informaciok/logisztikai-d%C3%ADjak/</x:v>
      </x:c>
      <x:c r="AP105" s="19" t="str">
        <x:v>2026 piaci becslés</x:v>
      </x:c>
      <x:c r="AQ105" s="19" t="str"/>
    </x:row>
    <x:row r="106">
      <x:c r="A106" s="19" t="str">
        <x:v>ANY-0105</x:v>
      </x:c>
      <x:c r="B106" s="19" t="str">
        <x:v>07 Tető</x:v>
      </x:c>
      <x:c r="C106" s="19" t="str">
        <x:v>Fa, fedés és bádogos anyagok</x:v>
      </x:c>
      <x:c r="D106" s="19" t="str">
        <x:v>Mindegyik</x:v>
      </x:c>
      <x:c r="E106" s="19" t="str">
        <x:v>Bádog szegélylemez</x:v>
      </x:c>
      <x:c r="F106" s="19" t="str">
        <x:v>0,5–0,6 mm festett</x:v>
      </x:c>
      <x:c r="G106" s="19" t="str">
        <x:v>fm</x:v>
      </x:c>
      <x:c r="H106" s="203" t="n">
        <x:v>3200</x:v>
      </x:c>
      <x:c r="I106" s="204" t="n">
        <x:v>0.27</x:v>
      </x:c>
      <x:c r="J106" s="203" t="n">
        <x:f>IFERROR(H106/(1+I106),"")</x:f>
        <x:v>2519.685039370079</x:v>
      </x:c>
      <x:c r="K106" s="205" t="n">
        <x:v>0.18</x:v>
      </x:c>
      <x:c r="L106" s="203" t="n">
        <x:f>IFERROR(J106*(1-K106),"")</x:f>
        <x:v>2066.141732283465</x:v>
      </x:c>
      <x:c r="M106" s="19" t="str">
        <x:v>27% normál belföldi</x:v>
      </x:c>
      <x:c r="N106" s="204" t="n">
        <x:v>0.27</x:v>
      </x:c>
      <x:c r="O106" s="204" t="n">
        <x:v>0</x:v>
      </x:c>
      <x:c r="P106" s="19" t="str">
        <x:v>NEM</x:v>
      </x:c>
      <x:c r="Q106" s="203" t="n">
        <x:f>IFERROR(L106*(1+N106),"")</x:f>
        <x:v>2624.0000000000005</x:v>
      </x:c>
      <x:c r="R106" s="205" t="n">
        <x:v>0.1</x:v>
      </x:c>
      <x:c r="S106" s="203" t="n">
        <x:f>IFERROR(Q106*(1+R106),"")</x:f>
        <x:v>2886.4000000000005</x:v>
      </x:c>
      <x:c r="T106" s="206" t="n">
        <x:v>120</x:v>
      </x:c>
      <x:c r="U106" s="206" t="n">
        <x:v>0</x:v>
      </x:c>
      <x:c r="V106" s="203" t="n">
        <x:f>IFERROR(S106+T106+U106,"")</x:f>
        <x:v>3006.4000000000005</x:v>
      </x:c>
      <x:c r="W106" s="203" t="n">
        <x:f>IFERROR(H106/(1+Anyag_Beallitasok!$B$2)*Anyag_Beallitasok!$B$9,"")</x:f>
        <x:v>3047.6190476190477</x:v>
      </x:c>
      <x:c r="X106" s="203" t="n">
        <x:f>IFERROR(V106/((1-Anyag_Beallitasok!$B$3)*(1+Anyag_Beallitasok!$B$2)),"")</x:f>
        <x:v>4404.981684981685</x:v>
      </x:c>
      <x:c r="Y106" s="203" t="n">
        <x:f>IFERROR(V106/((1-Anyag_Beallitasok!$B$4)*(1+Anyag_Beallitasok!$B$2)),"")</x:f>
        <x:v>5726.476190476191</x:v>
      </x:c>
      <x:c r="Z106" s="203" t="n">
        <x:f>IFERROR(ROUNDUP(MAX(W106,X106)/Anyag_Beallitasok!$B$6,0)*Anyag_Beallitasok!$B$6,"")</x:f>
        <x:v>4450</x:v>
      </x:c>
      <x:c r="AA106" s="204" t="n">
        <x:f>Anyag_Beallitasok!$B$2</x:f>
        <x:v>0.05</x:v>
      </x:c>
      <x:c r="AB106" s="203" t="n">
        <x:f>IFERROR(Z106*(1+AA106),"")</x:f>
        <x:v>4672.5</x:v>
      </x:c>
      <x:c r="AC106" s="204" t="n">
        <x:f>IFERROR(1-V106/H106,"")</x:f>
        <x:v>0.060499999999999776</x:v>
      </x:c>
      <x:c r="AD106" s="204" t="n">
        <x:f>IFERROR(1-V106/AB106,"")</x:f>
        <x:v>0.35657570893525936</x:v>
      </x:c>
      <x:c r="AE106" s="19" t="str">
        <x:f>IF(AC106&lt;Anyag_Beallitasok!$B$3,"NEM ÉRI EL A 35%-OT",IF(AC106&lt;Anyag_Beallitasok!$B$4,"MINIMUM 35–49,9%",IF(AC106&lt;Anyag_Beallitasok!$B$5,"IDEÁLIS 50–59,9%","KIEMELKEDŐ ≥60%")))</x:f>
        <x:v>NEM ÉRI EL A 35%-OT</x:v>
      </x:c>
      <x:c r="AF106" s="204" t="n">
        <x:f>IFERROR(AB106/H106-1,"")</x:f>
        <x:v>0.46015625000000004</x:v>
      </x:c>
      <x:c r="AG106" s="19" t="str">
        <x:f>IF(AND(P106="IGEN",O106&gt;0),IF(AF106&gt;Anyag_Beallitasok!$B$10,"0%-OS SZÁMLA + ÖNADÓZÁS; FELÁR SZÜKSÉGES","0%-OS SZÁMLA + ÖNADÓZÁS"),IF(AF106&gt;Anyag_Beallitasok!$B$10,"FELÁR SZÜKSÉGES A 35%-HOZ",IF(AC106&lt;Anyag_Beallitasok!$B$3,"PIACI ÁRON NEM TARTHATÓ A 35%","OK")))</x:f>
        <x:v>FELÁR SZÜKSÉGES A 35%-HOZ</x:v>
      </x:c>
      <x:c r="AH106" s="207" t="n">
        <x:v>80</x:v>
      </x:c>
      <x:c r="AI106" s="207" t="n">
        <x:v>80</x:v>
      </x:c>
      <x:c r="AJ106" s="207" t="n">
        <x:v>80</x:v>
      </x:c>
      <x:c r="AK106" s="208"/>
      <x:c r="AL106" s="203" t="str">
        <x:f>IF(AK106="","",V106*AK106)</x:f>
      </x:c>
      <x:c r="AM106" s="203" t="str">
        <x:f>IF(AK106="","",AB106*AK106)</x:f>
      </x:c>
      <x:c r="AN106" s="204" t="str">
        <x:f>IFERROR(1-AL106/AM106,"")</x:f>
      </x:c>
      <x:c r="AO106" s="19" t="str">
        <x:v>https://www.bmigroup.com/hu/szolgaltatasok/hasznos-informaciok/raklap-es-logisztikai-informaciok/logisztikai-d%C3%ADjak/</x:v>
      </x:c>
      <x:c r="AP106" s="19" t="str">
        <x:v>2026 piaci becslés</x:v>
      </x:c>
      <x:c r="AQ106" s="19" t="str"/>
    </x:row>
    <x:row r="107">
      <x:c r="A107" s="19" t="str">
        <x:v>ANY-0106</x:v>
      </x:c>
      <x:c r="B107" s="19" t="str">
        <x:v>07 Tető</x:v>
      </x:c>
      <x:c r="C107" s="19" t="str">
        <x:v>Fa, fedés és bádogos anyagok</x:v>
      </x:c>
      <x:c r="D107" s="19" t="str">
        <x:v>Mindegyik</x:v>
      </x:c>
      <x:c r="E107" s="19" t="str">
        <x:v>Tetőkibúvó</x:v>
      </x:c>
      <x:c r="F107" s="19" t="str">
        <x:v>hőszigetelt alap kivitel</x:v>
      </x:c>
      <x:c r="G107" s="19" t="str">
        <x:v>db</x:v>
      </x:c>
      <x:c r="H107" s="203" t="n">
        <x:v>85000</x:v>
      </x:c>
      <x:c r="I107" s="204" t="n">
        <x:v>0.27</x:v>
      </x:c>
      <x:c r="J107" s="203" t="n">
        <x:f>IFERROR(H107/(1+I107),"")</x:f>
        <x:v>66929.13385826771</x:v>
      </x:c>
      <x:c r="K107" s="205" t="n">
        <x:v>0.18</x:v>
      </x:c>
      <x:c r="L107" s="203" t="n">
        <x:f>IFERROR(J107*(1-K107),"")</x:f>
        <x:v>54881.88976377953</x:v>
      </x:c>
      <x:c r="M107" s="19" t="str">
        <x:v>27% normál belföldi</x:v>
      </x:c>
      <x:c r="N107" s="204" t="n">
        <x:v>0.27</x:v>
      </x:c>
      <x:c r="O107" s="204" t="n">
        <x:v>0</x:v>
      </x:c>
      <x:c r="P107" s="19" t="str">
        <x:v>NEM</x:v>
      </x:c>
      <x:c r="Q107" s="203" t="n">
        <x:f>IFERROR(L107*(1+N107),"")</x:f>
        <x:v>69700</x:v>
      </x:c>
      <x:c r="R107" s="205" t="n">
        <x:v>0.03</x:v>
      </x:c>
      <x:c r="S107" s="203" t="n">
        <x:f>IFERROR(Q107*(1+R107),"")</x:f>
        <x:v>71791</x:v>
      </x:c>
      <x:c r="T107" s="206" t="n">
        <x:v>2500</x:v>
      </x:c>
      <x:c r="U107" s="206" t="n">
        <x:v>0</x:v>
      </x:c>
      <x:c r="V107" s="203" t="n">
        <x:f>IFERROR(S107+T107+U107,"")</x:f>
        <x:v>74291</x:v>
      </x:c>
      <x:c r="W107" s="203" t="n">
        <x:f>IFERROR(H107/(1+Anyag_Beallitasok!$B$2)*Anyag_Beallitasok!$B$9,"")</x:f>
        <x:v>80952.38095238095</x:v>
      </x:c>
      <x:c r="X107" s="203" t="n">
        <x:f>IFERROR(V107/((1-Anyag_Beallitasok!$B$3)*(1+Anyag_Beallitasok!$B$2)),"")</x:f>
        <x:v>108851.28205128203</x:v>
      </x:c>
      <x:c r="Y107" s="203" t="n">
        <x:f>IFERROR(V107/((1-Anyag_Beallitasok!$B$4)*(1+Anyag_Beallitasok!$B$2)),"")</x:f>
        <x:v>141506.66666666666</x:v>
      </x:c>
      <x:c r="Z107" s="203" t="n">
        <x:f>IFERROR(ROUNDUP(MAX(W107,X107)/Anyag_Beallitasok!$B$6,0)*Anyag_Beallitasok!$B$6,"")</x:f>
        <x:v>108900</x:v>
      </x:c>
      <x:c r="AA107" s="204" t="n">
        <x:f>Anyag_Beallitasok!$B$2</x:f>
        <x:v>0.05</x:v>
      </x:c>
      <x:c r="AB107" s="203" t="n">
        <x:f>IFERROR(Z107*(1+AA107),"")</x:f>
        <x:v>114345</x:v>
      </x:c>
      <x:c r="AC107" s="204" t="n">
        <x:f>IFERROR(1-V107/H107,"")</x:f>
        <x:v>0.12598823529411762</x:v>
      </x:c>
      <x:c r="AD107" s="204" t="n">
        <x:f>IFERROR(1-V107/AB107,"")</x:f>
        <x:v>0.35029078665442304</x:v>
      </x:c>
      <x:c r="AE107" s="19" t="str">
        <x:f>IF(AC107&lt;Anyag_Beallitasok!$B$3,"NEM ÉRI EL A 35%-OT",IF(AC107&lt;Anyag_Beallitasok!$B$4,"MINIMUM 35–49,9%",IF(AC107&lt;Anyag_Beallitasok!$B$5,"IDEÁLIS 50–59,9%","KIEMELKEDŐ ≥60%")))</x:f>
        <x:v>NEM ÉRI EL A 35%-OT</x:v>
      </x:c>
      <x:c r="AF107" s="204" t="n">
        <x:f>IFERROR(AB107/H107-1,"")</x:f>
        <x:v>0.3452352941176471</x:v>
      </x:c>
      <x:c r="AG107" s="19" t="str">
        <x:f>IF(AND(P107="IGEN",O107&gt;0),IF(AF107&gt;Anyag_Beallitasok!$B$10,"0%-OS SZÁMLA + ÖNADÓZÁS; FELÁR SZÜKSÉGES","0%-OS SZÁMLA + ÖNADÓZÁS"),IF(AF107&gt;Anyag_Beallitasok!$B$10,"FELÁR SZÜKSÉGES A 35%-HOZ",IF(AC107&lt;Anyag_Beallitasok!$B$3,"PIACI ÁRON NEM TARTHATÓ A 35%","OK")))</x:f>
        <x:v>FELÁR SZÜKSÉGES A 35%-HOZ</x:v>
      </x:c>
      <x:c r="AH107" s="207" t="n">
        <x:v>1</x:v>
      </x:c>
      <x:c r="AI107" s="207" t="n">
        <x:v>1</x:v>
      </x:c>
      <x:c r="AJ107" s="207" t="n">
        <x:v>1</x:v>
      </x:c>
      <x:c r="AK107" s="208"/>
      <x:c r="AL107" s="203" t="str">
        <x:f>IF(AK107="","",V107*AK107)</x:f>
      </x:c>
      <x:c r="AM107" s="203" t="str">
        <x:f>IF(AK107="","",AB107*AK107)</x:f>
      </x:c>
      <x:c r="AN107" s="204" t="str">
        <x:f>IFERROR(1-AL107/AM107,"")</x:f>
      </x:c>
      <x:c r="AO107" s="19" t="str">
        <x:v>https://terranteto.hu/wp-content/uploads/2022/10/Terran-arlista-20260101.pdf</x:v>
      </x:c>
      <x:c r="AP107" s="19" t="str">
        <x:v>Projektfüggő piaci becslés</x:v>
      </x:c>
      <x:c r="AQ107" s="19" t="str"/>
    </x:row>
    <x:row r="108">
      <x:c r="A108" s="19" t="str">
        <x:v>ANY-0107</x:v>
      </x:c>
      <x:c r="B108" s="19" t="str">
        <x:v>07 Tető</x:v>
      </x:c>
      <x:c r="C108" s="19" t="str">
        <x:v>Fa, fedés és bádogos anyagok</x:v>
      </x:c>
      <x:c r="D108" s="19" t="str">
        <x:v>Mindegyik</x:v>
      </x:c>
      <x:c r="E108" s="19" t="str">
        <x:v>Tetősík ablak</x:v>
      </x:c>
      <x:c r="F108" s="19" t="str">
        <x:v>78×118, 3 rétegű</x:v>
      </x:c>
      <x:c r="G108" s="19" t="str">
        <x:v>db</x:v>
      </x:c>
      <x:c r="H108" s="203" t="n">
        <x:v>240000</x:v>
      </x:c>
      <x:c r="I108" s="204" t="n">
        <x:v>0.27</x:v>
      </x:c>
      <x:c r="J108" s="203" t="n">
        <x:f>IFERROR(H108/(1+I108),"")</x:f>
        <x:v>188976.3779527559</x:v>
      </x:c>
      <x:c r="K108" s="205" t="n">
        <x:v>0.2</x:v>
      </x:c>
      <x:c r="L108" s="203" t="n">
        <x:f>IFERROR(J108*(1-K108),"")</x:f>
        <x:v>151181.10236220472</x:v>
      </x:c>
      <x:c r="M108" s="19" t="str">
        <x:v>27% normál belföldi</x:v>
      </x:c>
      <x:c r="N108" s="204" t="n">
        <x:v>0.27</x:v>
      </x:c>
      <x:c r="O108" s="204" t="n">
        <x:v>0</x:v>
      </x:c>
      <x:c r="P108" s="19" t="str">
        <x:v>NEM</x:v>
      </x:c>
      <x:c r="Q108" s="203" t="n">
        <x:f>IFERROR(L108*(1+N108),"")</x:f>
        <x:v>192000</x:v>
      </x:c>
      <x:c r="R108" s="205" t="n">
        <x:v>0.03</x:v>
      </x:c>
      <x:c r="S108" s="203" t="n">
        <x:f>IFERROR(Q108*(1+R108),"")</x:f>
        <x:v>197760</x:v>
      </x:c>
      <x:c r="T108" s="206" t="n">
        <x:v>5000</x:v>
      </x:c>
      <x:c r="U108" s="206" t="n">
        <x:v>0</x:v>
      </x:c>
      <x:c r="V108" s="203" t="n">
        <x:f>IFERROR(S108+T108+U108,"")</x:f>
        <x:v>202760</x:v>
      </x:c>
      <x:c r="W108" s="203" t="n">
        <x:f>IFERROR(H108/(1+Anyag_Beallitasok!$B$2)*Anyag_Beallitasok!$B$9,"")</x:f>
        <x:v>228571.42857142855</x:v>
      </x:c>
      <x:c r="X108" s="203" t="n">
        <x:f>IFERROR(V108/((1-Anyag_Beallitasok!$B$3)*(1+Anyag_Beallitasok!$B$2)),"")</x:f>
        <x:v>297084.249084249</x:v>
      </x:c>
      <x:c r="Y108" s="203" t="n">
        <x:f>IFERROR(V108/((1-Anyag_Beallitasok!$B$4)*(1+Anyag_Beallitasok!$B$2)),"")</x:f>
        <x:v>386209.5238095238</x:v>
      </x:c>
      <x:c r="Z108" s="203" t="n">
        <x:f>IFERROR(ROUNDUP(MAX(W108,X108)/Anyag_Beallitasok!$B$6,0)*Anyag_Beallitasok!$B$6,"")</x:f>
        <x:v>297100</x:v>
      </x:c>
      <x:c r="AA108" s="204" t="n">
        <x:f>Anyag_Beallitasok!$B$2</x:f>
        <x:v>0.05</x:v>
      </x:c>
      <x:c r="AB108" s="203" t="n">
        <x:f>IFERROR(Z108*(1+AA108),"")</x:f>
        <x:v>311955</x:v>
      </x:c>
      <x:c r="AC108" s="204" t="n">
        <x:f>IFERROR(1-V108/H108,"")</x:f>
        <x:v>0.15516666666666667</x:v>
      </x:c>
      <x:c r="AD108" s="204" t="n">
        <x:f>IFERROR(1-V108/AB108,"")</x:f>
        <x:v>0.35003446009841166</x:v>
      </x:c>
      <x:c r="AE108" s="19" t="str">
        <x:f>IF(AC108&lt;Anyag_Beallitasok!$B$3,"NEM ÉRI EL A 35%-OT",IF(AC108&lt;Anyag_Beallitasok!$B$4,"MINIMUM 35–49,9%",IF(AC108&lt;Anyag_Beallitasok!$B$5,"IDEÁLIS 50–59,9%","KIEMELKEDŐ ≥60%")))</x:f>
        <x:v>NEM ÉRI EL A 35%-OT</x:v>
      </x:c>
      <x:c r="AF108" s="204" t="n">
        <x:f>IFERROR(AB108/H108-1,"")</x:f>
        <x:v>0.29981250000000004</x:v>
      </x:c>
      <x:c r="AG108" s="19" t="str">
        <x:f>IF(AND(P108="IGEN",O108&gt;0),IF(AF108&gt;Anyag_Beallitasok!$B$10,"0%-OS SZÁMLA + ÖNADÓZÁS; FELÁR SZÜKSÉGES","0%-OS SZÁMLA + ÖNADÓZÁS"),IF(AF108&gt;Anyag_Beallitasok!$B$10,"FELÁR SZÜKSÉGES A 35%-HOZ",IF(AC108&lt;Anyag_Beallitasok!$B$3,"PIACI ÁRON NEM TARTHATÓ A 35%","OK")))</x:f>
        <x:v>FELÁR SZÜKSÉGES A 35%-HOZ</x:v>
      </x:c>
      <x:c r="AH108" s="207" t="n">
        <x:v>0</x:v>
      </x:c>
      <x:c r="AI108" s="207" t="n">
        <x:v>0</x:v>
      </x:c>
      <x:c r="AJ108" s="207" t="n">
        <x:v>0</x:v>
      </x:c>
      <x:c r="AK108" s="208"/>
      <x:c r="AL108" s="203" t="str">
        <x:f>IF(AK108="","",V108*AK108)</x:f>
      </x:c>
      <x:c r="AM108" s="203" t="str">
        <x:f>IF(AK108="","",AB108*AK108)</x:f>
      </x:c>
      <x:c r="AN108" s="204" t="str">
        <x:f>IFERROR(1-AL108/AM108,"")</x:f>
      </x:c>
      <x:c r="AO108" s="19" t="str">
        <x:v>https://ablakland.hu/arlistak-arak-c-540.html?view=all</x:v>
      </x:c>
      <x:c r="AP108" s="19" t="str">
        <x:v>2026 piaci becslés</x:v>
      </x:c>
      <x:c r="AQ108" s="19" t="str"/>
    </x:row>
    <x:row r="109">
      <x:c r="A109" s="19" t="str">
        <x:v>ANY-0108</x:v>
      </x:c>
      <x:c r="B109" s="19" t="str">
        <x:v>07 Tető</x:v>
      </x:c>
      <x:c r="C109" s="19" t="str">
        <x:v>Fa, fedés és bádogos anyagok</x:v>
      </x:c>
      <x:c r="D109" s="19" t="str">
        <x:v>Mindegyik</x:v>
      </x:c>
      <x:c r="E109" s="19" t="str">
        <x:v>Tető logisztikai díj</x:v>
      </x:c>
      <x:c r="F109" s="19" t="str">
        <x:v>raklap</x:v>
      </x:c>
      <x:c r="G109" s="19" t="str">
        <x:v>raklap</x:v>
      </x:c>
      <x:c r="H109" s="203" t="n">
        <x:v>9525</x:v>
      </x:c>
      <x:c r="I109" s="204" t="n">
        <x:v>0.27</x:v>
      </x:c>
      <x:c r="J109" s="203" t="n">
        <x:f>IFERROR(H109/(1+I109),"")</x:f>
        <x:v>7500</x:v>
      </x:c>
      <x:c r="K109" s="205" t="n">
        <x:v>0.1</x:v>
      </x:c>
      <x:c r="L109" s="203" t="n">
        <x:f>IFERROR(J109*(1-K109),"")</x:f>
        <x:v>6750</x:v>
      </x:c>
      <x:c r="M109" s="19" t="str">
        <x:v>27% normál belföldi</x:v>
      </x:c>
      <x:c r="N109" s="204" t="n">
        <x:v>0.27</x:v>
      </x:c>
      <x:c r="O109" s="204" t="n">
        <x:v>0</x:v>
      </x:c>
      <x:c r="P109" s="19" t="str">
        <x:v>NEM</x:v>
      </x:c>
      <x:c r="Q109" s="203" t="n">
        <x:f>IFERROR(L109*(1+N109),"")</x:f>
        <x:v>8572.5</x:v>
      </x:c>
      <x:c r="R109" s="205" t="n">
        <x:v>0</x:v>
      </x:c>
      <x:c r="S109" s="203" t="n">
        <x:f>IFERROR(Q109*(1+R109),"")</x:f>
        <x:v>8572.5</x:v>
      </x:c>
      <x:c r="T109" s="206" t="n">
        <x:v>0</x:v>
      </x:c>
      <x:c r="U109" s="206" t="n">
        <x:v>0</x:v>
      </x:c>
      <x:c r="V109" s="203" t="n">
        <x:f>IFERROR(S109+T109+U109,"")</x:f>
        <x:v>8572.5</x:v>
      </x:c>
      <x:c r="W109" s="203" t="n">
        <x:f>IFERROR(H109/(1+Anyag_Beallitasok!$B$2)*Anyag_Beallitasok!$B$9,"")</x:f>
        <x:v>9071.42857142857</x:v>
      </x:c>
      <x:c r="X109" s="203" t="n">
        <x:f>IFERROR(V109/((1-Anyag_Beallitasok!$B$3)*(1+Anyag_Beallitasok!$B$2)),"")</x:f>
        <x:v>12560.439560439558</x:v>
      </x:c>
      <x:c r="Y109" s="203" t="n">
        <x:f>IFERROR(V109/((1-Anyag_Beallitasok!$B$4)*(1+Anyag_Beallitasok!$B$2)),"")</x:f>
        <x:v>16328.571428571428</x:v>
      </x:c>
      <x:c r="Z109" s="203" t="n">
        <x:f>IFERROR(ROUNDUP(MAX(W109,X109)/Anyag_Beallitasok!$B$6,0)*Anyag_Beallitasok!$B$6,"")</x:f>
        <x:v>12600</x:v>
      </x:c>
      <x:c r="AA109" s="204" t="n">
        <x:f>Anyag_Beallitasok!$B$2</x:f>
        <x:v>0.05</x:v>
      </x:c>
      <x:c r="AB109" s="203" t="n">
        <x:f>IFERROR(Z109*(1+AA109),"")</x:f>
        <x:v>13230</x:v>
      </x:c>
      <x:c r="AC109" s="204" t="n">
        <x:f>IFERROR(1-V109/H109,"")</x:f>
        <x:v>0.09999999999999998</x:v>
      </x:c>
      <x:c r="AD109" s="204" t="n">
        <x:f>IFERROR(1-V109/AB109,"")</x:f>
        <x:v>0.3520408163265306</x:v>
      </x:c>
      <x:c r="AE109" s="19" t="str">
        <x:f>IF(AC109&lt;Anyag_Beallitasok!$B$3,"NEM ÉRI EL A 35%-OT",IF(AC109&lt;Anyag_Beallitasok!$B$4,"MINIMUM 35–49,9%",IF(AC109&lt;Anyag_Beallitasok!$B$5,"IDEÁLIS 50–59,9%","KIEMELKEDŐ ≥60%")))</x:f>
        <x:v>NEM ÉRI EL A 35%-OT</x:v>
      </x:c>
      <x:c r="AF109" s="204" t="n">
        <x:f>IFERROR(AB109/H109-1,"")</x:f>
        <x:v>0.38897637795275597</x:v>
      </x:c>
      <x:c r="AG109" s="19" t="str">
        <x:f>IF(AND(P109="IGEN",O109&gt;0),IF(AF109&gt;Anyag_Beallitasok!$B$10,"0%-OS SZÁMLA + ÖNADÓZÁS; FELÁR SZÜKSÉGES","0%-OS SZÁMLA + ÖNADÓZÁS"),IF(AF109&gt;Anyag_Beallitasok!$B$10,"FELÁR SZÜKSÉGES A 35%-HOZ",IF(AC109&lt;Anyag_Beallitasok!$B$3,"PIACI ÁRON NEM TARTHATÓ A 35%","OK")))</x:f>
        <x:v>FELÁR SZÜKSÉGES A 35%-HOZ</x:v>
      </x:c>
      <x:c r="AH109" s="207" t="n">
        <x:v>12</x:v>
      </x:c>
      <x:c r="AI109" s="207" t="n">
        <x:v>12</x:v>
      </x:c>
      <x:c r="AJ109" s="207" t="n">
        <x:v>12</x:v>
      </x:c>
      <x:c r="AK109" s="208"/>
      <x:c r="AL109" s="203" t="str">
        <x:f>IF(AK109="","",V109*AK109)</x:f>
      </x:c>
      <x:c r="AM109" s="203" t="str">
        <x:f>IF(AK109="","",AB109*AK109)</x:f>
      </x:c>
      <x:c r="AN109" s="204" t="str">
        <x:f>IFERROR(1-AL109/AM109,"")</x:f>
      </x:c>
      <x:c r="AO109" s="19" t="str">
        <x:v>https://www.bmigroup.com/hu/szolgaltatasok/hasznos-informaciok/raklap-es-logisztikai-informaciok/logisztikai-d%C3%ADjak/</x:v>
      </x:c>
      <x:c r="AP109" s="19" t="str">
        <x:v>Közvetlen 2026 díj</x:v>
      </x:c>
      <x:c r="AQ109" s="19" t="str"/>
    </x:row>
    <x:row r="110">
      <x:c r="A110" s="19" t="str">
        <x:v>ANY-0109</x:v>
      </x:c>
      <x:c r="B110" s="19" t="str">
        <x:v>07 Tető</x:v>
      </x:c>
      <x:c r="C110" s="19" t="str">
        <x:v>Fa, fedés és bádogos anyagok</x:v>
      </x:c>
      <x:c r="D110" s="19" t="str">
        <x:v>Mindegyik</x:v>
      </x:c>
      <x:c r="E110" s="19" t="str">
        <x:v>Tető raklap betétdíj</x:v>
      </x:c>
      <x:c r="F110" s="19" t="str">
        <x:v>visszaváltható</x:v>
      </x:c>
      <x:c r="G110" s="19" t="str">
        <x:v>raklap</x:v>
      </x:c>
      <x:c r="H110" s="203" t="n">
        <x:v>3175</x:v>
      </x:c>
      <x:c r="I110" s="204" t="n">
        <x:v>0.27</x:v>
      </x:c>
      <x:c r="J110" s="203" t="n">
        <x:f>IFERROR(H110/(1+I110),"")</x:f>
        <x:v>2500</x:v>
      </x:c>
      <x:c r="K110" s="205" t="n">
        <x:v>0</x:v>
      </x:c>
      <x:c r="L110" s="203" t="n">
        <x:f>IFERROR(J110*(1-K110),"")</x:f>
        <x:v>2500</x:v>
      </x:c>
      <x:c r="M110" s="19" t="str">
        <x:v>27% normál belföldi</x:v>
      </x:c>
      <x:c r="N110" s="204" t="n">
        <x:v>0.27</x:v>
      </x:c>
      <x:c r="O110" s="204" t="n">
        <x:v>0</x:v>
      </x:c>
      <x:c r="P110" s="19" t="str">
        <x:v>NEM</x:v>
      </x:c>
      <x:c r="Q110" s="203" t="n">
        <x:f>IFERROR(L110*(1+N110),"")</x:f>
        <x:v>3175</x:v>
      </x:c>
      <x:c r="R110" s="205" t="n">
        <x:v>0</x:v>
      </x:c>
      <x:c r="S110" s="203" t="n">
        <x:f>IFERROR(Q110*(1+R110),"")</x:f>
        <x:v>3175</x:v>
      </x:c>
      <x:c r="T110" s="206" t="n">
        <x:v>0</x:v>
      </x:c>
      <x:c r="U110" s="206" t="n">
        <x:v>0</x:v>
      </x:c>
      <x:c r="V110" s="203" t="n">
        <x:f>IFERROR(S110+T110+U110,"")</x:f>
        <x:v>3175</x:v>
      </x:c>
      <x:c r="W110" s="203" t="n">
        <x:f>IFERROR(H110/(1+Anyag_Beallitasok!$B$2)*Anyag_Beallitasok!$B$9,"")</x:f>
        <x:v>3023.809523809524</x:v>
      </x:c>
      <x:c r="X110" s="203" t="n">
        <x:f>IFERROR(V110/((1-Anyag_Beallitasok!$B$3)*(1+Anyag_Beallitasok!$B$2)),"")</x:f>
        <x:v>4652.014652014651</x:v>
      </x:c>
      <x:c r="Y110" s="203" t="n">
        <x:f>IFERROR(V110/((1-Anyag_Beallitasok!$B$4)*(1+Anyag_Beallitasok!$B$2)),"")</x:f>
        <x:v>6047.619047619048</x:v>
      </x:c>
      <x:c r="Z110" s="203" t="n">
        <x:f>IFERROR(ROUNDUP(MAX(W110,X110)/Anyag_Beallitasok!$B$6,0)*Anyag_Beallitasok!$B$6,"")</x:f>
        <x:v>4700</x:v>
      </x:c>
      <x:c r="AA110" s="204" t="n">
        <x:f>Anyag_Beallitasok!$B$2</x:f>
        <x:v>0.05</x:v>
      </x:c>
      <x:c r="AB110" s="203" t="n">
        <x:f>IFERROR(Z110*(1+AA110),"")</x:f>
        <x:v>4935</x:v>
      </x:c>
      <x:c r="AC110" s="204" t="n">
        <x:f>IFERROR(1-V110/H110,"")</x:f>
        <x:v>0</x:v>
      </x:c>
      <x:c r="AD110" s="204" t="n">
        <x:f>IFERROR(1-V110/AB110,"")</x:f>
        <x:v>0.3566362715298885</x:v>
      </x:c>
      <x:c r="AE110" s="19" t="str">
        <x:f>IF(AC110&lt;Anyag_Beallitasok!$B$3,"NEM ÉRI EL A 35%-OT",IF(AC110&lt;Anyag_Beallitasok!$B$4,"MINIMUM 35–49,9%",IF(AC110&lt;Anyag_Beallitasok!$B$5,"IDEÁLIS 50–59,9%","KIEMELKEDŐ ≥60%")))</x:f>
        <x:v>NEM ÉRI EL A 35%-OT</x:v>
      </x:c>
      <x:c r="AF110" s="204" t="n">
        <x:f>IFERROR(AB110/H110-1,"")</x:f>
        <x:v>0.5543307086614173</x:v>
      </x:c>
      <x:c r="AG110" s="19" t="str">
        <x:f>IF(AND(P110="IGEN",O110&gt;0),IF(AF110&gt;Anyag_Beallitasok!$B$10,"0%-OS SZÁMLA + ÖNADÓZÁS; FELÁR SZÜKSÉGES","0%-OS SZÁMLA + ÖNADÓZÁS"),IF(AF110&gt;Anyag_Beallitasok!$B$10,"FELÁR SZÜKSÉGES A 35%-HOZ",IF(AC110&lt;Anyag_Beallitasok!$B$3,"PIACI ÁRON NEM TARTHATÓ A 35%","OK")))</x:f>
        <x:v>FELÁR SZÜKSÉGES A 35%-HOZ</x:v>
      </x:c>
      <x:c r="AH110" s="207" t="n">
        <x:v>12</x:v>
      </x:c>
      <x:c r="AI110" s="207" t="n">
        <x:v>12</x:v>
      </x:c>
      <x:c r="AJ110" s="207" t="n">
        <x:v>12</x:v>
      </x:c>
      <x:c r="AK110" s="208"/>
      <x:c r="AL110" s="203" t="str">
        <x:f>IF(AK110="","",V110*AK110)</x:f>
      </x:c>
      <x:c r="AM110" s="203" t="str">
        <x:f>IF(AK110="","",AB110*AK110)</x:f>
      </x:c>
      <x:c r="AN110" s="204" t="str">
        <x:f>IFERROR(1-AL110/AM110,"")</x:f>
      </x:c>
      <x:c r="AO110" s="19" t="str">
        <x:v>https://www.bmigroup.com/hu/szolgaltatasok/hasznos-informaciok/raklap-es-logisztikai-informaciok/logisztikai-d%C3%ADjak/</x:v>
      </x:c>
      <x:c r="AP110" s="19" t="str">
        <x:v>Közvetlen 2026 díj</x:v>
      </x:c>
      <x:c r="AQ110" s="19" t="str">
        <x:v>Visszaváltáskor nem végleges költség.</x:v>
      </x:c>
    </x:row>
    <x:row r="111">
      <x:c r="A111" s="19" t="str">
        <x:v>ANY-0110</x:v>
      </x:c>
      <x:c r="B111" s="19" t="str">
        <x:v>08 Szigetelés és homlokzat</x:v>
      </x:c>
      <x:c r="C111" s="19" t="str">
        <x:v>Hő-, víz- és homlokzati rendszer</x:v>
      </x:c>
      <x:c r="D111" s="19" t="str">
        <x:v>Mindegyik</x:v>
      </x:c>
      <x:c r="E111" s="19" t="str">
        <x:v>EPS 80 homlokzati lap 15 cm</x:v>
      </x:c>
      <x:c r="F111" s="19" t="str">
        <x:v>λ≈0,038</x:v>
      </x:c>
      <x:c r="G111" s="19" t="str">
        <x:v>m²</x:v>
      </x:c>
      <x:c r="H111" s="203" t="n">
        <x:v>4575</x:v>
      </x:c>
      <x:c r="I111" s="204" t="n">
        <x:v>0.27</x:v>
      </x:c>
      <x:c r="J111" s="203" t="n">
        <x:f>IFERROR(H111/(1+I111),"")</x:f>
        <x:v>3602.3622047244094</x:v>
      </x:c>
      <x:c r="K111" s="205" t="n">
        <x:v>0.18</x:v>
      </x:c>
      <x:c r="L111" s="203" t="n">
        <x:f>IFERROR(J111*(1-K111),"")</x:f>
        <x:v>2953.9370078740158</x:v>
      </x:c>
      <x:c r="M111" s="19" t="str">
        <x:v>27% normál belföldi</x:v>
      </x:c>
      <x:c r="N111" s="204" t="n">
        <x:v>0.27</x:v>
      </x:c>
      <x:c r="O111" s="204" t="n">
        <x:v>0</x:v>
      </x:c>
      <x:c r="P111" s="19" t="str">
        <x:v>NEM</x:v>
      </x:c>
      <x:c r="Q111" s="203" t="n">
        <x:f>IFERROR(L111*(1+N111),"")</x:f>
        <x:v>3751.5</x:v>
      </x:c>
      <x:c r="R111" s="205" t="n">
        <x:v>0.05</x:v>
      </x:c>
      <x:c r="S111" s="203" t="n">
        <x:f>IFERROR(Q111*(1+R111),"")</x:f>
        <x:v>3939.0750000000003</x:v>
      </x:c>
      <x:c r="T111" s="206" t="n">
        <x:v>180</x:v>
      </x:c>
      <x:c r="U111" s="206" t="n">
        <x:v>0</x:v>
      </x:c>
      <x:c r="V111" s="203" t="n">
        <x:f>IFERROR(S111+T111+U111,"")</x:f>
        <x:v>4119.075000000001</x:v>
      </x:c>
      <x:c r="W111" s="203" t="n">
        <x:f>IFERROR(H111/(1+Anyag_Beallitasok!$B$2)*Anyag_Beallitasok!$B$9,"")</x:f>
        <x:v>4357.142857142857</x:v>
      </x:c>
      <x:c r="X111" s="203" t="n">
        <x:f>IFERROR(V111/((1-Anyag_Beallitasok!$B$3)*(1+Anyag_Beallitasok!$B$2)),"")</x:f>
        <x:v>6035.274725274726</x:v>
      </x:c>
      <x:c r="Y111" s="203" t="n">
        <x:f>IFERROR(V111/((1-Anyag_Beallitasok!$B$4)*(1+Anyag_Beallitasok!$B$2)),"")</x:f>
        <x:v>7845.857142857144</x:v>
      </x:c>
      <x:c r="Z111" s="203" t="n">
        <x:f>IFERROR(ROUNDUP(MAX(W111,X111)/Anyag_Beallitasok!$B$6,0)*Anyag_Beallitasok!$B$6,"")</x:f>
        <x:v>6050</x:v>
      </x:c>
      <x:c r="AA111" s="204" t="n">
        <x:f>Anyag_Beallitasok!$B$2</x:f>
        <x:v>0.05</x:v>
      </x:c>
      <x:c r="AB111" s="203" t="n">
        <x:f>IFERROR(Z111*(1+AA111),"")</x:f>
        <x:v>6352.5</x:v>
      </x:c>
      <x:c r="AC111" s="204" t="n">
        <x:f>IFERROR(1-V111/H111,"")</x:f>
        <x:v>0.09965573770491787</x:v>
      </x:c>
      <x:c r="AD111" s="204" t="n">
        <x:f>IFERROR(1-V111/AB111,"")</x:f>
        <x:v>0.3515820543093269</x:v>
      </x:c>
      <x:c r="AE111" s="19" t="str">
        <x:f>IF(AC111&lt;Anyag_Beallitasok!$B$3,"NEM ÉRI EL A 35%-OT",IF(AC111&lt;Anyag_Beallitasok!$B$4,"MINIMUM 35–49,9%",IF(AC111&lt;Anyag_Beallitasok!$B$5,"IDEÁLIS 50–59,9%","KIEMELKEDŐ ≥60%")))</x:f>
        <x:v>NEM ÉRI EL A 35%-OT</x:v>
      </x:c>
      <x:c r="AF111" s="204" t="n">
        <x:f>IFERROR(AB111/H111-1,"")</x:f>
        <x:v>0.3885245901639345</x:v>
      </x:c>
      <x:c r="AG111" s="19" t="str">
        <x:f>IF(AND(P111="IGEN",O111&gt;0),IF(AF111&gt;Anyag_Beallitasok!$B$10,"0%-OS SZÁMLA + ÖNADÓZÁS; FELÁR SZÜKSÉGES","0%-OS SZÁMLA + ÖNADÓZÁS"),IF(AF111&gt;Anyag_Beallitasok!$B$10,"FELÁR SZÜKSÉGES A 35%-HOZ",IF(AC111&lt;Anyag_Beallitasok!$B$3,"PIACI ÁRON NEM TARTHATÓ A 35%","OK")))</x:f>
        <x:v>FELÁR SZÜKSÉGES A 35%-HOZ</x:v>
      </x:c>
      <x:c r="AH111" s="207" t="n">
        <x:v>180</x:v>
      </x:c>
      <x:c r="AI111" s="207" t="n">
        <x:v>180</x:v>
      </x:c>
      <x:c r="AJ111" s="207" t="n">
        <x:v>180</x:v>
      </x:c>
      <x:c r="AK111" s="208"/>
      <x:c r="AL111" s="203" t="str">
        <x:f>IF(AK111="","",V111*AK111)</x:f>
      </x:c>
      <x:c r="AM111" s="203" t="str">
        <x:f>IF(AK111="","",AB111*AK111)</x:f>
      </x:c>
      <x:c r="AN111" s="204" t="str">
        <x:f>IFERROR(1-AL111/AM111,"")</x:f>
      </x:c>
      <x:c r="AO111" s="19" t="str">
        <x:v>https://www.hoszigetelesplaza.hu/eps-80-homlokzati-hoszigetelo-lemez-15-cm-vastag</x:v>
      </x:c>
      <x:c r="AP111" s="19" t="str">
        <x:v>Közvetlen 2026 webár</x:v>
      </x:c>
      <x:c r="AQ111" s="19" t="str"/>
    </x:row>
    <x:row r="112">
      <x:c r="A112" s="19" t="str">
        <x:v>ANY-0111</x:v>
      </x:c>
      <x:c r="B112" s="19" t="str">
        <x:v>08 Szigetelés és homlokzat</x:v>
      </x:c>
      <x:c r="C112" s="19" t="str">
        <x:v>Hő-, víz- és homlokzati rendszer</x:v>
      </x:c>
      <x:c r="D112" s="19" t="str">
        <x:v>Mindegyik</x:v>
      </x:c>
      <x:c r="E112" s="19" t="str">
        <x:v>Grafitos EPS 80 homlokzati lap 15 cm</x:v>
      </x:c>
      <x:c r="F112" s="19" t="str">
        <x:v>λ≈0,031</x:v>
      </x:c>
      <x:c r="G112" s="19" t="str">
        <x:v>m²</x:v>
      </x:c>
      <x:c r="H112" s="203" t="n">
        <x:v>6200</x:v>
      </x:c>
      <x:c r="I112" s="204" t="n">
        <x:v>0.27</x:v>
      </x:c>
      <x:c r="J112" s="203" t="n">
        <x:f>IFERROR(H112/(1+I112),"")</x:f>
        <x:v>4881.889763779527</x:v>
      </x:c>
      <x:c r="K112" s="205" t="n">
        <x:v>0.18</x:v>
      </x:c>
      <x:c r="L112" s="203" t="n">
        <x:f>IFERROR(J112*(1-K112),"")</x:f>
        <x:v>4003.1496062992123</x:v>
      </x:c>
      <x:c r="M112" s="19" t="str">
        <x:v>27% normál belföldi</x:v>
      </x:c>
      <x:c r="N112" s="204" t="n">
        <x:v>0.27</x:v>
      </x:c>
      <x:c r="O112" s="204" t="n">
        <x:v>0</x:v>
      </x:c>
      <x:c r="P112" s="19" t="str">
        <x:v>NEM</x:v>
      </x:c>
      <x:c r="Q112" s="203" t="n">
        <x:f>IFERROR(L112*(1+N112),"")</x:f>
        <x:v>5084</x:v>
      </x:c>
      <x:c r="R112" s="205" t="n">
        <x:v>0.05</x:v>
      </x:c>
      <x:c r="S112" s="203" t="n">
        <x:f>IFERROR(Q112*(1+R112),"")</x:f>
        <x:v>5338.2</x:v>
      </x:c>
      <x:c r="T112" s="206" t="n">
        <x:v>200</x:v>
      </x:c>
      <x:c r="U112" s="206" t="n">
        <x:v>0</x:v>
      </x:c>
      <x:c r="V112" s="203" t="n">
        <x:f>IFERROR(S112+T112+U112,"")</x:f>
        <x:v>5538.2</x:v>
      </x:c>
      <x:c r="W112" s="203" t="n">
        <x:f>IFERROR(H112/(1+Anyag_Beallitasok!$B$2)*Anyag_Beallitasok!$B$9,"")</x:f>
        <x:v>5904.761904761905</x:v>
      </x:c>
      <x:c r="X112" s="203" t="n">
        <x:f>IFERROR(V112/((1-Anyag_Beallitasok!$B$3)*(1+Anyag_Beallitasok!$B$2)),"")</x:f>
        <x:v>8114.578754578753</x:v>
      </x:c>
      <x:c r="Y112" s="203" t="n">
        <x:f>IFERROR(V112/((1-Anyag_Beallitasok!$B$4)*(1+Anyag_Beallitasok!$B$2)),"")</x:f>
        <x:v>10548.95238095238</x:v>
      </x:c>
      <x:c r="Z112" s="203" t="n">
        <x:f>IFERROR(ROUNDUP(MAX(W112,X112)/Anyag_Beallitasok!$B$6,0)*Anyag_Beallitasok!$B$6,"")</x:f>
        <x:v>8150</x:v>
      </x:c>
      <x:c r="AA112" s="204" t="n">
        <x:f>Anyag_Beallitasok!$B$2</x:f>
        <x:v>0.05</x:v>
      </x:c>
      <x:c r="AB112" s="203" t="n">
        <x:f>IFERROR(Z112*(1+AA112),"")</x:f>
        <x:v>8557.5</x:v>
      </x:c>
      <x:c r="AC112" s="204" t="n">
        <x:f>IFERROR(1-V112/H112,"")</x:f>
        <x:v>0.10674193548387101</x:v>
      </x:c>
      <x:c r="AD112" s="204" t="n">
        <x:f>IFERROR(1-V112/AB112,"")</x:f>
        <x:v>0.35282500730353494</x:v>
      </x:c>
      <x:c r="AE112" s="19" t="str">
        <x:f>IF(AC112&lt;Anyag_Beallitasok!$B$3,"NEM ÉRI EL A 35%-OT",IF(AC112&lt;Anyag_Beallitasok!$B$4,"MINIMUM 35–49,9%",IF(AC112&lt;Anyag_Beallitasok!$B$5,"IDEÁLIS 50–59,9%","KIEMELKEDŐ ≥60%")))</x:f>
        <x:v>NEM ÉRI EL A 35%-OT</x:v>
      </x:c>
      <x:c r="AF112" s="204" t="n">
        <x:f>IFERROR(AB112/H112-1,"")</x:f>
        <x:v>0.38024193548387086</x:v>
      </x:c>
      <x:c r="AG112" s="19" t="str">
        <x:f>IF(AND(P112="IGEN",O112&gt;0),IF(AF112&gt;Anyag_Beallitasok!$B$10,"0%-OS SZÁMLA + ÖNADÓZÁS; FELÁR SZÜKSÉGES","0%-OS SZÁMLA + ÖNADÓZÁS"),IF(AF112&gt;Anyag_Beallitasok!$B$10,"FELÁR SZÜKSÉGES A 35%-HOZ",IF(AC112&lt;Anyag_Beallitasok!$B$3,"PIACI ÁRON NEM TARTHATÓ A 35%","OK")))</x:f>
        <x:v>FELÁR SZÜKSÉGES A 35%-HOZ</x:v>
      </x:c>
      <x:c r="AH112" s="207" t="n">
        <x:v>0</x:v>
      </x:c>
      <x:c r="AI112" s="207" t="n">
        <x:v>0</x:v>
      </x:c>
      <x:c r="AJ112" s="207" t="n">
        <x:v>0</x:v>
      </x:c>
      <x:c r="AK112" s="208"/>
      <x:c r="AL112" s="203" t="str">
        <x:f>IF(AK112="","",V112*AK112)</x:f>
      </x:c>
      <x:c r="AM112" s="203" t="str">
        <x:f>IF(AK112="","",AB112*AK112)</x:f>
      </x:c>
      <x:c r="AN112" s="204" t="str">
        <x:f>IFERROR(1-AL112/AM112,"")</x:f>
      </x:c>
      <x:c r="AO112" s="19" t="str">
        <x:v>https://www.hoszigetelesplaza.hu/eps-80-homlokzati-hoszigetelo-lemez-15-cm-vastag</x:v>
      </x:c>
      <x:c r="AP112" s="19" t="str">
        <x:v>2026 piaci becslés</x:v>
      </x:c>
      <x:c r="AQ112" s="19" t="str"/>
    </x:row>
    <x:row r="113">
      <x:c r="A113" s="19" t="str">
        <x:v>ANY-0112</x:v>
      </x:c>
      <x:c r="B113" s="19" t="str">
        <x:v>08 Szigetelés és homlokzat</x:v>
      </x:c>
      <x:c r="C113" s="19" t="str">
        <x:v>Hő-, víz- és homlokzati rendszer</x:v>
      </x:c>
      <x:c r="D113" s="19" t="str">
        <x:v>Mindegyik</x:v>
      </x:c>
      <x:c r="E113" s="19" t="str">
        <x:v>XPS 300 10 cm</x:v>
      </x:c>
      <x:c r="F113" s="19" t="str">
        <x:v>lábazat/alap</x:v>
      </x:c>
      <x:c r="G113" s="19" t="str">
        <x:v>m²</x:v>
      </x:c>
      <x:c r="H113" s="203" t="n">
        <x:v>7200</x:v>
      </x:c>
      <x:c r="I113" s="204" t="n">
        <x:v>0.27</x:v>
      </x:c>
      <x:c r="J113" s="203" t="n">
        <x:f>IFERROR(H113/(1+I113),"")</x:f>
        <x:v>5669.291338582677</x:v>
      </x:c>
      <x:c r="K113" s="205" t="n">
        <x:v>0.18</x:v>
      </x:c>
      <x:c r="L113" s="203" t="n">
        <x:f>IFERROR(J113*(1-K113),"")</x:f>
        <x:v>4648.818897637795</x:v>
      </x:c>
      <x:c r="M113" s="19" t="str">
        <x:v>27% normál belföldi</x:v>
      </x:c>
      <x:c r="N113" s="204" t="n">
        <x:v>0.27</x:v>
      </x:c>
      <x:c r="O113" s="204" t="n">
        <x:v>0</x:v>
      </x:c>
      <x:c r="P113" s="19" t="str">
        <x:v>NEM</x:v>
      </x:c>
      <x:c r="Q113" s="203" t="n">
        <x:f>IFERROR(L113*(1+N113),"")</x:f>
        <x:v>5904</x:v>
      </x:c>
      <x:c r="R113" s="205" t="n">
        <x:v>0.05</x:v>
      </x:c>
      <x:c r="S113" s="203" t="n">
        <x:f>IFERROR(Q113*(1+R113),"")</x:f>
        <x:v>6199.2</x:v>
      </x:c>
      <x:c r="T113" s="206" t="n">
        <x:v>220</x:v>
      </x:c>
      <x:c r="U113" s="206" t="n">
        <x:v>0</x:v>
      </x:c>
      <x:c r="V113" s="203" t="n">
        <x:f>IFERROR(S113+T113+U113,"")</x:f>
        <x:v>6419.2</x:v>
      </x:c>
      <x:c r="W113" s="203" t="n">
        <x:f>IFERROR(H113/(1+Anyag_Beallitasok!$B$2)*Anyag_Beallitasok!$B$9,"")</x:f>
        <x:v>6857.142857142857</x:v>
      </x:c>
      <x:c r="X113" s="203" t="n">
        <x:f>IFERROR(V113/((1-Anyag_Beallitasok!$B$3)*(1+Anyag_Beallitasok!$B$2)),"")</x:f>
        <x:v>9405.421245421243</x:v>
      </x:c>
      <x:c r="Y113" s="203" t="n">
        <x:f>IFERROR(V113/((1-Anyag_Beallitasok!$B$4)*(1+Anyag_Beallitasok!$B$2)),"")</x:f>
        <x:v>12227.047619047618</x:v>
      </x:c>
      <x:c r="Z113" s="203" t="n">
        <x:f>IFERROR(ROUNDUP(MAX(W113,X113)/Anyag_Beallitasok!$B$6,0)*Anyag_Beallitasok!$B$6,"")</x:f>
        <x:v>9450</x:v>
      </x:c>
      <x:c r="AA113" s="204" t="n">
        <x:f>Anyag_Beallitasok!$B$2</x:f>
        <x:v>0.05</x:v>
      </x:c>
      <x:c r="AB113" s="203" t="n">
        <x:f>IFERROR(Z113*(1+AA113),"")</x:f>
        <x:v>9922.5</x:v>
      </x:c>
      <x:c r="AC113" s="204" t="n">
        <x:f>IFERROR(1-V113/H113,"")</x:f>
        <x:v>0.10844444444444445</x:v>
      </x:c>
      <x:c r="AD113" s="204" t="n">
        <x:f>IFERROR(1-V113/AB113,"")</x:f>
        <x:v>0.3530662635424541</x:v>
      </x:c>
      <x:c r="AE113" s="19" t="str">
        <x:f>IF(AC113&lt;Anyag_Beallitasok!$B$3,"NEM ÉRI EL A 35%-OT",IF(AC113&lt;Anyag_Beallitasok!$B$4,"MINIMUM 35–49,9%",IF(AC113&lt;Anyag_Beallitasok!$B$5,"IDEÁLIS 50–59,9%","KIEMELKEDŐ ≥60%")))</x:f>
        <x:v>NEM ÉRI EL A 35%-OT</x:v>
      </x:c>
      <x:c r="AF113" s="204" t="n">
        <x:f>IFERROR(AB113/H113-1,"")</x:f>
        <x:v>0.37812500000000004</x:v>
      </x:c>
      <x:c r="AG113" s="19" t="str">
        <x:f>IF(AND(P113="IGEN",O113&gt;0),IF(AF113&gt;Anyag_Beallitasok!$B$10,"0%-OS SZÁMLA + ÖNADÓZÁS; FELÁR SZÜKSÉGES","0%-OS SZÁMLA + ÖNADÓZÁS"),IF(AF113&gt;Anyag_Beallitasok!$B$10,"FELÁR SZÜKSÉGES A 35%-HOZ",IF(AC113&lt;Anyag_Beallitasok!$B$3,"PIACI ÁRON NEM TARTHATÓ A 35%","OK")))</x:f>
        <x:v>FELÁR SZÜKSÉGES A 35%-HOZ</x:v>
      </x:c>
      <x:c r="AH113" s="207" t="n">
        <x:v>45</x:v>
      </x:c>
      <x:c r="AI113" s="207" t="n">
        <x:v>45</x:v>
      </x:c>
      <x:c r="AJ113" s="207" t="n">
        <x:v>45</x:v>
      </x:c>
      <x:c r="AK113" s="208"/>
      <x:c r="AL113" s="203" t="str">
        <x:f>IF(AK113="","",V113*AK113)</x:f>
      </x:c>
      <x:c r="AM113" s="203" t="str">
        <x:f>IF(AK113="","",AB113*AK113)</x:f>
      </x:c>
      <x:c r="AN113" s="204" t="str">
        <x:f>IFERROR(1-AL113/AM113,"")</x:f>
      </x:c>
      <x:c r="AO113" s="19" t="str">
        <x:v>https://www.hoszigetelesplaza.hu/eps-80-homlokzati-hoszigetelo-lemez-15-cm-vastag</x:v>
      </x:c>
      <x:c r="AP113" s="19" t="str">
        <x:v>2026 piaci becslés</x:v>
      </x:c>
      <x:c r="AQ113" s="19" t="str"/>
    </x:row>
    <x:row r="114">
      <x:c r="A114" s="19" t="str">
        <x:v>ANY-0113</x:v>
      </x:c>
      <x:c r="B114" s="19" t="str">
        <x:v>08 Szigetelés és homlokzat</x:v>
      </x:c>
      <x:c r="C114" s="19" t="str">
        <x:v>Hő-, víz- és homlokzati rendszer</x:v>
      </x:c>
      <x:c r="D114" s="19" t="str">
        <x:v>Mindegyik</x:v>
      </x:c>
      <x:c r="E114" s="19" t="str">
        <x:v>EPS 100 lépésálló 10 cm</x:v>
      </x:c>
      <x:c r="F114" s="19" t="str">
        <x:v>padló</x:v>
      </x:c>
      <x:c r="G114" s="19" t="str">
        <x:v>m²</x:v>
      </x:c>
      <x:c r="H114" s="203" t="n">
        <x:v>3400</x:v>
      </x:c>
      <x:c r="I114" s="204" t="n">
        <x:v>0.27</x:v>
      </x:c>
      <x:c r="J114" s="203" t="n">
        <x:f>IFERROR(H114/(1+I114),"")</x:f>
        <x:v>2677.165354330709</x:v>
      </x:c>
      <x:c r="K114" s="205" t="n">
        <x:v>0.18</x:v>
      </x:c>
      <x:c r="L114" s="203" t="n">
        <x:f>IFERROR(J114*(1-K114),"")</x:f>
        <x:v>2195.2755905511813</x:v>
      </x:c>
      <x:c r="M114" s="19" t="str">
        <x:v>27% normál belföldi</x:v>
      </x:c>
      <x:c r="N114" s="204" t="n">
        <x:v>0.27</x:v>
      </x:c>
      <x:c r="O114" s="204" t="n">
        <x:v>0</x:v>
      </x:c>
      <x:c r="P114" s="19" t="str">
        <x:v>NEM</x:v>
      </x:c>
      <x:c r="Q114" s="203" t="n">
        <x:f>IFERROR(L114*(1+N114),"")</x:f>
        <x:v>2788.0000000000005</x:v>
      </x:c>
      <x:c r="R114" s="205" t="n">
        <x:v>0.05</x:v>
      </x:c>
      <x:c r="S114" s="203" t="n">
        <x:f>IFERROR(Q114*(1+R114),"")</x:f>
        <x:v>2927.4000000000005</x:v>
      </x:c>
      <x:c r="T114" s="206" t="n">
        <x:v>150</x:v>
      </x:c>
      <x:c r="U114" s="206" t="n">
        <x:v>0</x:v>
      </x:c>
      <x:c r="V114" s="203" t="n">
        <x:f>IFERROR(S114+T114+U114,"")</x:f>
        <x:v>3077.4000000000005</x:v>
      </x:c>
      <x:c r="W114" s="203" t="n">
        <x:f>IFERROR(H114/(1+Anyag_Beallitasok!$B$2)*Anyag_Beallitasok!$B$9,"")</x:f>
        <x:v>3238.095238095238</x:v>
      </x:c>
      <x:c r="X114" s="203" t="n">
        <x:f>IFERROR(V114/((1-Anyag_Beallitasok!$B$3)*(1+Anyag_Beallitasok!$B$2)),"")</x:f>
        <x:v>4509.010989010989</x:v>
      </x:c>
      <x:c r="Y114" s="203" t="n">
        <x:f>IFERROR(V114/((1-Anyag_Beallitasok!$B$4)*(1+Anyag_Beallitasok!$B$2)),"")</x:f>
        <x:v>5861.714285714286</x:v>
      </x:c>
      <x:c r="Z114" s="203" t="n">
        <x:f>IFERROR(ROUNDUP(MAX(W114,X114)/Anyag_Beallitasok!$B$6,0)*Anyag_Beallitasok!$B$6,"")</x:f>
        <x:v>4550</x:v>
      </x:c>
      <x:c r="AA114" s="204" t="n">
        <x:f>Anyag_Beallitasok!$B$2</x:f>
        <x:v>0.05</x:v>
      </x:c>
      <x:c r="AB114" s="203" t="n">
        <x:f>IFERROR(Z114*(1+AA114),"")</x:f>
        <x:v>4777.5</x:v>
      </x:c>
      <x:c r="AC114" s="204" t="n">
        <x:f>IFERROR(1-V114/H114,"")</x:f>
        <x:v>0.0948823529411763</x:v>
      </x:c>
      <x:c r="AD114" s="204" t="n">
        <x:f>IFERROR(1-V114/AB114,"")</x:f>
        <x:v>0.35585557299843007</x:v>
      </x:c>
      <x:c r="AE114" s="19" t="str">
        <x:f>IF(AC114&lt;Anyag_Beallitasok!$B$3,"NEM ÉRI EL A 35%-OT",IF(AC114&lt;Anyag_Beallitasok!$B$4,"MINIMUM 35–49,9%",IF(AC114&lt;Anyag_Beallitasok!$B$5,"IDEÁLIS 50–59,9%","KIEMELKEDŐ ≥60%")))</x:f>
        <x:v>NEM ÉRI EL A 35%-OT</x:v>
      </x:c>
      <x:c r="AF114" s="204" t="n">
        <x:f>IFERROR(AB114/H114-1,"")</x:f>
        <x:v>0.4051470588235293</x:v>
      </x:c>
      <x:c r="AG114" s="19" t="str">
        <x:f>IF(AND(P114="IGEN",O114&gt;0),IF(AF114&gt;Anyag_Beallitasok!$B$10,"0%-OS SZÁMLA + ÖNADÓZÁS; FELÁR SZÜKSÉGES","0%-OS SZÁMLA + ÖNADÓZÁS"),IF(AF114&gt;Anyag_Beallitasok!$B$10,"FELÁR SZÜKSÉGES A 35%-HOZ",IF(AC114&lt;Anyag_Beallitasok!$B$3,"PIACI ÁRON NEM TARTHATÓ A 35%","OK")))</x:f>
        <x:v>FELÁR SZÜKSÉGES A 35%-HOZ</x:v>
      </x:c>
      <x:c r="AH114" s="207" t="n">
        <x:v>145</x:v>
      </x:c>
      <x:c r="AI114" s="207" t="n">
        <x:v>145</x:v>
      </x:c>
      <x:c r="AJ114" s="207" t="n">
        <x:v>145</x:v>
      </x:c>
      <x:c r="AK114" s="208"/>
      <x:c r="AL114" s="203" t="str">
        <x:f>IF(AK114="","",V114*AK114)</x:f>
      </x:c>
      <x:c r="AM114" s="203" t="str">
        <x:f>IF(AK114="","",AB114*AK114)</x:f>
      </x:c>
      <x:c r="AN114" s="204" t="str">
        <x:f>IFERROR(1-AL114/AM114,"")</x:f>
      </x:c>
      <x:c r="AO114" s="19" t="str">
        <x:v>https://www.hoszigetelesplaza.hu/eps-80-homlokzati-hoszigetelo-lemez-15-cm-vastag</x:v>
      </x:c>
      <x:c r="AP114" s="19" t="str">
        <x:v>2026 piaci becslés</x:v>
      </x:c>
      <x:c r="AQ114" s="19" t="str"/>
    </x:row>
    <x:row r="115">
      <x:c r="A115" s="19" t="str">
        <x:v>ANY-0114</x:v>
      </x:c>
      <x:c r="B115" s="19" t="str">
        <x:v>08 Szigetelés és homlokzat</x:v>
      </x:c>
      <x:c r="C115" s="19" t="str">
        <x:v>Hő-, víz- és homlokzati rendszer</x:v>
      </x:c>
      <x:c r="D115" s="19" t="str">
        <x:v>Mindegyik</x:v>
      </x:c>
      <x:c r="E115" s="19" t="str">
        <x:v>EPS 100 lépésálló 5 cm</x:v>
      </x:c>
      <x:c r="F115" s="19" t="str">
        <x:v>padló kiegészítő réteg</x:v>
      </x:c>
      <x:c r="G115" s="19" t="str">
        <x:v>m²</x:v>
      </x:c>
      <x:c r="H115" s="203" t="n">
        <x:v>1900</x:v>
      </x:c>
      <x:c r="I115" s="204" t="n">
        <x:v>0.27</x:v>
      </x:c>
      <x:c r="J115" s="203" t="n">
        <x:f>IFERROR(H115/(1+I115),"")</x:f>
        <x:v>1496.0629921259842</x:v>
      </x:c>
      <x:c r="K115" s="205" t="n">
        <x:v>0.18</x:v>
      </x:c>
      <x:c r="L115" s="203" t="n">
        <x:f>IFERROR(J115*(1-K115),"")</x:f>
        <x:v>1226.7716535433071</x:v>
      </x:c>
      <x:c r="M115" s="19" t="str">
        <x:v>27% normál belföldi</x:v>
      </x:c>
      <x:c r="N115" s="204" t="n">
        <x:v>0.27</x:v>
      </x:c>
      <x:c r="O115" s="204" t="n">
        <x:v>0</x:v>
      </x:c>
      <x:c r="P115" s="19" t="str">
        <x:v>NEM</x:v>
      </x:c>
      <x:c r="Q115" s="203" t="n">
        <x:f>IFERROR(L115*(1+N115),"")</x:f>
        <x:v>1558</x:v>
      </x:c>
      <x:c r="R115" s="205" t="n">
        <x:v>0.05</x:v>
      </x:c>
      <x:c r="S115" s="203" t="n">
        <x:f>IFERROR(Q115*(1+R115),"")</x:f>
        <x:v>1635.9</x:v>
      </x:c>
      <x:c r="T115" s="206" t="n">
        <x:v>100</x:v>
      </x:c>
      <x:c r="U115" s="206" t="n">
        <x:v>0</x:v>
      </x:c>
      <x:c r="V115" s="203" t="n">
        <x:f>IFERROR(S115+T115+U115,"")</x:f>
        <x:v>1735.9</x:v>
      </x:c>
      <x:c r="W115" s="203" t="n">
        <x:f>IFERROR(H115/(1+Anyag_Beallitasok!$B$2)*Anyag_Beallitasok!$B$9,"")</x:f>
        <x:v>1809.5238095238094</x:v>
      </x:c>
      <x:c r="X115" s="203" t="n">
        <x:f>IFERROR(V115/((1-Anyag_Beallitasok!$B$3)*(1+Anyag_Beallitasok!$B$2)),"")</x:f>
        <x:v>2543.4432234432234</x:v>
      </x:c>
      <x:c r="Y115" s="203" t="n">
        <x:f>IFERROR(V115/((1-Anyag_Beallitasok!$B$4)*(1+Anyag_Beallitasok!$B$2)),"")</x:f>
        <x:v>3306.4761904761904</x:v>
      </x:c>
      <x:c r="Z115" s="203" t="n">
        <x:f>IFERROR(ROUNDUP(MAX(W115,X115)/Anyag_Beallitasok!$B$6,0)*Anyag_Beallitasok!$B$6,"")</x:f>
        <x:v>2550</x:v>
      </x:c>
      <x:c r="AA115" s="204" t="n">
        <x:f>Anyag_Beallitasok!$B$2</x:f>
        <x:v>0.05</x:v>
      </x:c>
      <x:c r="AB115" s="203" t="n">
        <x:f>IFERROR(Z115*(1+AA115),"")</x:f>
        <x:v>2677.5</x:v>
      </x:c>
      <x:c r="AC115" s="204" t="n">
        <x:f>IFERROR(1-V115/H115,"")</x:f>
        <x:v>0.08636842105263154</x:v>
      </x:c>
      <x:c r="AD115" s="204" t="n">
        <x:f>IFERROR(1-V115/AB115,"")</x:f>
        <x:v>0.3516713352007469</x:v>
      </x:c>
      <x:c r="AE115" s="19" t="str">
        <x:f>IF(AC115&lt;Anyag_Beallitasok!$B$3,"NEM ÉRI EL A 35%-OT",IF(AC115&lt;Anyag_Beallitasok!$B$4,"MINIMUM 35–49,9%",IF(AC115&lt;Anyag_Beallitasok!$B$5,"IDEÁLIS 50–59,9%","KIEMELKEDŐ ≥60%")))</x:f>
        <x:v>NEM ÉRI EL A 35%-OT</x:v>
      </x:c>
      <x:c r="AF115" s="204" t="n">
        <x:f>IFERROR(AB115/H115-1,"")</x:f>
        <x:v>0.40921052631578947</x:v>
      </x:c>
      <x:c r="AG115" s="19" t="str">
        <x:f>IF(AND(P115="IGEN",O115&gt;0),IF(AF115&gt;Anyag_Beallitasok!$B$10,"0%-OS SZÁMLA + ÖNADÓZÁS; FELÁR SZÜKSÉGES","0%-OS SZÁMLA + ÖNADÓZÁS"),IF(AF115&gt;Anyag_Beallitasok!$B$10,"FELÁR SZÜKSÉGES A 35%-HOZ",IF(AC115&lt;Anyag_Beallitasok!$B$3,"PIACI ÁRON NEM TARTHATÓ A 35%","OK")))</x:f>
        <x:v>FELÁR SZÜKSÉGES A 35%-HOZ</x:v>
      </x:c>
      <x:c r="AH115" s="207" t="n">
        <x:v>145</x:v>
      </x:c>
      <x:c r="AI115" s="207" t="n">
        <x:v>145</x:v>
      </x:c>
      <x:c r="AJ115" s="207" t="n">
        <x:v>145</x:v>
      </x:c>
      <x:c r="AK115" s="208"/>
      <x:c r="AL115" s="203" t="str">
        <x:f>IF(AK115="","",V115*AK115)</x:f>
      </x:c>
      <x:c r="AM115" s="203" t="str">
        <x:f>IF(AK115="","",AB115*AK115)</x:f>
      </x:c>
      <x:c r="AN115" s="204" t="str">
        <x:f>IFERROR(1-AL115/AM115,"")</x:f>
      </x:c>
      <x:c r="AO115" s="19" t="str">
        <x:v>https://www.hoszigetelesplaza.hu/eps-80-homlokzati-hoszigetelo-lemez-15-cm-vastag</x:v>
      </x:c>
      <x:c r="AP115" s="19" t="str">
        <x:v>2026 piaci becslés</x:v>
      </x:c>
      <x:c r="AQ115" s="19" t="str"/>
    </x:row>
    <x:row r="116">
      <x:c r="A116" s="19" t="str">
        <x:v>ANY-0115</x:v>
      </x:c>
      <x:c r="B116" s="19" t="str">
        <x:v>08 Szigetelés és homlokzat</x:v>
      </x:c>
      <x:c r="C116" s="19" t="str">
        <x:v>Hő-, víz- és homlokzati rendszer</x:v>
      </x:c>
      <x:c r="D116" s="19" t="str">
        <x:v>Mindegyik</x:v>
      </x:c>
      <x:c r="E116" s="19" t="str">
        <x:v>Rockwool Deltarock 15 cm</x:v>
      </x:c>
      <x:c r="F116" s="19" t="str">
        <x:v>tetősík / váz</x:v>
      </x:c>
      <x:c r="G116" s="19" t="str">
        <x:v>m²</x:v>
      </x:c>
      <x:c r="H116" s="203" t="n">
        <x:v>5280</x:v>
      </x:c>
      <x:c r="I116" s="204" t="n">
        <x:v>0.27</x:v>
      </x:c>
      <x:c r="J116" s="203" t="n">
        <x:f>IFERROR(H116/(1+I116),"")</x:f>
        <x:v>4157.48031496063</x:v>
      </x:c>
      <x:c r="K116" s="205" t="n">
        <x:v>0.18</x:v>
      </x:c>
      <x:c r="L116" s="203" t="n">
        <x:f>IFERROR(J116*(1-K116),"")</x:f>
        <x:v>3409.1338582677167</x:v>
      </x:c>
      <x:c r="M116" s="19" t="str">
        <x:v>27% normál belföldi</x:v>
      </x:c>
      <x:c r="N116" s="204" t="n">
        <x:v>0.27</x:v>
      </x:c>
      <x:c r="O116" s="204" t="n">
        <x:v>0</x:v>
      </x:c>
      <x:c r="P116" s="19" t="str">
        <x:v>NEM</x:v>
      </x:c>
      <x:c r="Q116" s="203" t="n">
        <x:f>IFERROR(L116*(1+N116),"")</x:f>
        <x:v>4329.6</x:v>
      </x:c>
      <x:c r="R116" s="205" t="n">
        <x:v>0.08</x:v>
      </x:c>
      <x:c r="S116" s="203" t="n">
        <x:f>IFERROR(Q116*(1+R116),"")</x:f>
        <x:v>4675.968000000001</x:v>
      </x:c>
      <x:c r="T116" s="206" t="n">
        <x:v>200</x:v>
      </x:c>
      <x:c r="U116" s="206" t="n">
        <x:v>0</x:v>
      </x:c>
      <x:c r="V116" s="203" t="n">
        <x:f>IFERROR(S116+T116+U116,"")</x:f>
        <x:v>4875.968000000001</x:v>
      </x:c>
      <x:c r="W116" s="203" t="n">
        <x:f>IFERROR(H116/(1+Anyag_Beallitasok!$B$2)*Anyag_Beallitasok!$B$9,"")</x:f>
        <x:v>5028.571428571428</x:v>
      </x:c>
      <x:c r="X116" s="203" t="n">
        <x:f>IFERROR(V116/((1-Anyag_Beallitasok!$B$3)*(1+Anyag_Beallitasok!$B$2)),"")</x:f>
        <x:v>7144.2754578754575</x:v>
      </x:c>
      <x:c r="Y116" s="203" t="n">
        <x:f>IFERROR(V116/((1-Anyag_Beallitasok!$B$4)*(1+Anyag_Beallitasok!$B$2)),"")</x:f>
        <x:v>9287.558095238097</x:v>
      </x:c>
      <x:c r="Z116" s="203" t="n">
        <x:f>IFERROR(ROUNDUP(MAX(W116,X116)/Anyag_Beallitasok!$B$6,0)*Anyag_Beallitasok!$B$6,"")</x:f>
        <x:v>7150</x:v>
      </x:c>
      <x:c r="AA116" s="204" t="n">
        <x:f>Anyag_Beallitasok!$B$2</x:f>
        <x:v>0.05</x:v>
      </x:c>
      <x:c r="AB116" s="203" t="n">
        <x:f>IFERROR(Z116*(1+AA116),"")</x:f>
        <x:v>7507.5</x:v>
      </x:c>
      <x:c r="AC116" s="204" t="n">
        <x:f>IFERROR(1-V116/H116,"")</x:f>
        <x:v>0.07652121212121199</x:v>
      </x:c>
      <x:c r="AD116" s="204" t="n">
        <x:f>IFERROR(1-V116/AB116,"")</x:f>
        <x:v>0.3505204129204128</x:v>
      </x:c>
      <x:c r="AE116" s="19" t="str">
        <x:f>IF(AC116&lt;Anyag_Beallitasok!$B$3,"NEM ÉRI EL A 35%-OT",IF(AC116&lt;Anyag_Beallitasok!$B$4,"MINIMUM 35–49,9%",IF(AC116&lt;Anyag_Beallitasok!$B$5,"IDEÁLIS 50–59,9%","KIEMELKEDŐ ≥60%")))</x:f>
        <x:v>NEM ÉRI EL A 35%-OT</x:v>
      </x:c>
      <x:c r="AF116" s="204" t="n">
        <x:f>IFERROR(AB116/H116-1,"")</x:f>
        <x:v>0.421875</x:v>
      </x:c>
      <x:c r="AG116" s="19" t="str">
        <x:f>IF(AND(P116="IGEN",O116&gt;0),IF(AF116&gt;Anyag_Beallitasok!$B$10,"0%-OS SZÁMLA + ÖNADÓZÁS; FELÁR SZÜKSÉGES","0%-OS SZÁMLA + ÖNADÓZÁS"),IF(AF116&gt;Anyag_Beallitasok!$B$10,"FELÁR SZÜKSÉGES A 35%-HOZ",IF(AC116&lt;Anyag_Beallitasok!$B$3,"PIACI ÁRON NEM TARTHATÓ A 35%","OK")))</x:f>
        <x:v>FELÁR SZÜKSÉGES A 35%-HOZ</x:v>
      </x:c>
      <x:c r="AH116" s="207" t="n">
        <x:v>0</x:v>
      </x:c>
      <x:c r="AI116" s="207" t="n">
        <x:v>220</x:v>
      </x:c>
      <x:c r="AJ116" s="207" t="n">
        <x:v>0</x:v>
      </x:c>
      <x:c r="AK116" s="208"/>
      <x:c r="AL116" s="203" t="str">
        <x:f>IF(AK116="","",V116*AK116)</x:f>
      </x:c>
      <x:c r="AM116" s="203" t="str">
        <x:f>IF(AK116="","",AB116*AK116)</x:f>
      </x:c>
      <x:c r="AN116" s="204" t="str">
        <x:f>IFERROR(1-AL116/AM116,"")</x:f>
      </x:c>
      <x:c r="AO116" s="19" t="str">
        <x:v>https://kozetgyapot-arak.hu/</x:v>
      </x:c>
      <x:c r="AP116" s="19" t="str">
        <x:v>Közvetlen 2026 webár</x:v>
      </x:c>
      <x:c r="AQ116" s="19" t="str"/>
    </x:row>
    <x:row r="117">
      <x:c r="A117" s="19" t="str">
        <x:v>ANY-0116</x:v>
      </x:c>
      <x:c r="B117" s="19" t="str">
        <x:v>08 Szigetelés és homlokzat</x:v>
      </x:c>
      <x:c r="C117" s="19" t="str">
        <x:v>Hő-, víz- és homlokzati rendszer</x:v>
      </x:c>
      <x:c r="D117" s="19" t="str">
        <x:v>Mindegyik</x:v>
      </x:c>
      <x:c r="E117" s="19" t="str">
        <x:v>Rockwool Airrock LD Super 15 cm</x:v>
      </x:c>
      <x:c r="F117" s="19" t="str">
        <x:v>válaszfal/váz</x:v>
      </x:c>
      <x:c r="G117" s="19" t="str">
        <x:v>m²</x:v>
      </x:c>
      <x:c r="H117" s="203" t="n">
        <x:v>5562</x:v>
      </x:c>
      <x:c r="I117" s="204" t="n">
        <x:v>0.27</x:v>
      </x:c>
      <x:c r="J117" s="203" t="n">
        <x:f>IFERROR(H117/(1+I117),"")</x:f>
        <x:v>4379.527559055118</x:v>
      </x:c>
      <x:c r="K117" s="205" t="n">
        <x:v>0.18</x:v>
      </x:c>
      <x:c r="L117" s="203" t="n">
        <x:f>IFERROR(J117*(1-K117),"")</x:f>
        <x:v>3591.212598425197</x:v>
      </x:c>
      <x:c r="M117" s="19" t="str">
        <x:v>27% normál belföldi</x:v>
      </x:c>
      <x:c r="N117" s="204" t="n">
        <x:v>0.27</x:v>
      </x:c>
      <x:c r="O117" s="204" t="n">
        <x:v>0</x:v>
      </x:c>
      <x:c r="P117" s="19" t="str">
        <x:v>NEM</x:v>
      </x:c>
      <x:c r="Q117" s="203" t="n">
        <x:f>IFERROR(L117*(1+N117),"")</x:f>
        <x:v>4560.84</x:v>
      </x:c>
      <x:c r="R117" s="205" t="n">
        <x:v>0.08</x:v>
      </x:c>
      <x:c r="S117" s="203" t="n">
        <x:f>IFERROR(Q117*(1+R117),"")</x:f>
        <x:v>4925.707200000001</x:v>
      </x:c>
      <x:c r="T117" s="206" t="n">
        <x:v>200</x:v>
      </x:c>
      <x:c r="U117" s="206" t="n">
        <x:v>0</x:v>
      </x:c>
      <x:c r="V117" s="203" t="n">
        <x:f>IFERROR(S117+T117+U117,"")</x:f>
        <x:v>5125.707200000001</x:v>
      </x:c>
      <x:c r="W117" s="203" t="n">
        <x:f>IFERROR(H117/(1+Anyag_Beallitasok!$B$2)*Anyag_Beallitasok!$B$9,"")</x:f>
        <x:v>5297.142857142857</x:v>
      </x:c>
      <x:c r="X117" s="203" t="n">
        <x:f>IFERROR(V117/((1-Anyag_Beallitasok!$B$3)*(1+Anyag_Beallitasok!$B$2)),"")</x:f>
        <x:v>7510.1936996337</x:v>
      </x:c>
      <x:c r="Y117" s="203" t="n">
        <x:f>IFERROR(V117/((1-Anyag_Beallitasok!$B$4)*(1+Anyag_Beallitasok!$B$2)),"")</x:f>
        <x:v>9763.25180952381</x:v>
      </x:c>
      <x:c r="Z117" s="203" t="n">
        <x:f>IFERROR(ROUNDUP(MAX(W117,X117)/Anyag_Beallitasok!$B$6,0)*Anyag_Beallitasok!$B$6,"")</x:f>
        <x:v>7550</x:v>
      </x:c>
      <x:c r="AA117" s="204" t="n">
        <x:f>Anyag_Beallitasok!$B$2</x:f>
        <x:v>0.05</x:v>
      </x:c>
      <x:c r="AB117" s="203" t="n">
        <x:f>IFERROR(Z117*(1+AA117),"")</x:f>
        <x:v>7927.5</x:v>
      </x:c>
      <x:c r="AC117" s="204" t="n">
        <x:f>IFERROR(1-V117/H117,"")</x:f>
        <x:v>0.07844171161452707</x:v>
      </x:c>
      <x:c r="AD117" s="204" t="n">
        <x:f>IFERROR(1-V117/AB117,"")</x:f>
        <x:v>0.3534270324818668</x:v>
      </x:c>
      <x:c r="AE117" s="19" t="str">
        <x:f>IF(AC117&lt;Anyag_Beallitasok!$B$3,"NEM ÉRI EL A 35%-OT",IF(AC117&lt;Anyag_Beallitasok!$B$4,"MINIMUM 35–49,9%",IF(AC117&lt;Anyag_Beallitasok!$B$5,"IDEÁLIS 50–59,9%","KIEMELKEDŐ ≥60%")))</x:f>
        <x:v>NEM ÉRI EL A 35%-OT</x:v>
      </x:c>
      <x:c r="AF117" s="204" t="n">
        <x:f>IFERROR(AB117/H117-1,"")</x:f>
        <x:v>0.4252966558791802</x:v>
      </x:c>
      <x:c r="AG117" s="19" t="str">
        <x:f>IF(AND(P117="IGEN",O117&gt;0),IF(AF117&gt;Anyag_Beallitasok!$B$10,"0%-OS SZÁMLA + ÖNADÓZÁS; FELÁR SZÜKSÉGES","0%-OS SZÁMLA + ÖNADÓZÁS"),IF(AF117&gt;Anyag_Beallitasok!$B$10,"FELÁR SZÜKSÉGES A 35%-HOZ",IF(AC117&lt;Anyag_Beallitasok!$B$3,"PIACI ÁRON NEM TARTHATÓ A 35%","OK")))</x:f>
        <x:v>FELÁR SZÜKSÉGES A 35%-HOZ</x:v>
      </x:c>
      <x:c r="AH117" s="207" t="n">
        <x:v>0</x:v>
      </x:c>
      <x:c r="AI117" s="207" t="n">
        <x:v>200</x:v>
      </x:c>
      <x:c r="AJ117" s="207" t="n">
        <x:v>0</x:v>
      </x:c>
      <x:c r="AK117" s="208"/>
      <x:c r="AL117" s="203" t="str">
        <x:f>IF(AK117="","",V117*AK117)</x:f>
      </x:c>
      <x:c r="AM117" s="203" t="str">
        <x:f>IF(AK117="","",AB117*AK117)</x:f>
      </x:c>
      <x:c r="AN117" s="204" t="str">
        <x:f>IFERROR(1-AL117/AM117,"")</x:f>
      </x:c>
      <x:c r="AO117" s="19" t="str">
        <x:v>https://kozetgyapot-arak.hu/</x:v>
      </x:c>
      <x:c r="AP117" s="19" t="str">
        <x:v>Közvetlen 2026 webár</x:v>
      </x:c>
      <x:c r="AQ117" s="19" t="str"/>
    </x:row>
    <x:row r="118">
      <x:c r="A118" s="19" t="str">
        <x:v>ANY-0117</x:v>
      </x:c>
      <x:c r="B118" s="19" t="str">
        <x:v>08 Szigetelés és homlokzat</x:v>
      </x:c>
      <x:c r="C118" s="19" t="str">
        <x:v>Hő-, víz- és homlokzati rendszer</x:v>
      </x:c>
      <x:c r="D118" s="19" t="str">
        <x:v>Mindegyik</x:v>
      </x:c>
      <x:c r="E118" s="19" t="str">
        <x:v>Rockwool Frontrock Super 15 cm</x:v>
      </x:c>
      <x:c r="F118" s="19" t="str">
        <x:v>vakolható homlokzat</x:v>
      </x:c>
      <x:c r="G118" s="19" t="str">
        <x:v>m²</x:v>
      </x:c>
      <x:c r="H118" s="203" t="n">
        <x:v>9863</x:v>
      </x:c>
      <x:c r="I118" s="204" t="n">
        <x:v>0.27</x:v>
      </x:c>
      <x:c r="J118" s="203" t="n">
        <x:f>IFERROR(H118/(1+I118),"")</x:f>
        <x:v>7766.141732283464</x:v>
      </x:c>
      <x:c r="K118" s="205" t="n">
        <x:v>0.18</x:v>
      </x:c>
      <x:c r="L118" s="203" t="n">
        <x:f>IFERROR(J118*(1-K118),"")</x:f>
        <x:v>6368.236220472441</x:v>
      </x:c>
      <x:c r="M118" s="19" t="str">
        <x:v>27% normál belföldi</x:v>
      </x:c>
      <x:c r="N118" s="204" t="n">
        <x:v>0.27</x:v>
      </x:c>
      <x:c r="O118" s="204" t="n">
        <x:v>0</x:v>
      </x:c>
      <x:c r="P118" s="19" t="str">
        <x:v>NEM</x:v>
      </x:c>
      <x:c r="Q118" s="203" t="n">
        <x:f>IFERROR(L118*(1+N118),"")</x:f>
        <x:v>8087.660000000001</x:v>
      </x:c>
      <x:c r="R118" s="205" t="n">
        <x:v>0.05</x:v>
      </x:c>
      <x:c r="S118" s="203" t="n">
        <x:f>IFERROR(Q118*(1+R118),"")</x:f>
        <x:v>8492.043000000001</x:v>
      </x:c>
      <x:c r="T118" s="206" t="n">
        <x:v>250</x:v>
      </x:c>
      <x:c r="U118" s="206" t="n">
        <x:v>0</x:v>
      </x:c>
      <x:c r="V118" s="203" t="n">
        <x:f>IFERROR(S118+T118+U118,"")</x:f>
        <x:v>8742.043000000001</x:v>
      </x:c>
      <x:c r="W118" s="203" t="n">
        <x:f>IFERROR(H118/(1+Anyag_Beallitasok!$B$2)*Anyag_Beallitasok!$B$9,"")</x:f>
        <x:v>9393.333333333332</x:v>
      </x:c>
      <x:c r="X118" s="203" t="n">
        <x:f>IFERROR(V118/((1-Anyag_Beallitasok!$B$3)*(1+Anyag_Beallitasok!$B$2)),"")</x:f>
        <x:v>12808.854212454213</x:v>
      </x:c>
      <x:c r="Y118" s="203" t="n">
        <x:f>IFERROR(V118/((1-Anyag_Beallitasok!$B$4)*(1+Anyag_Beallitasok!$B$2)),"")</x:f>
        <x:v>16651.510476190477</x:v>
      </x:c>
      <x:c r="Z118" s="203" t="n">
        <x:f>IFERROR(ROUNDUP(MAX(W118,X118)/Anyag_Beallitasok!$B$6,0)*Anyag_Beallitasok!$B$6,"")</x:f>
        <x:v>12850</x:v>
      </x:c>
      <x:c r="AA118" s="204" t="n">
        <x:f>Anyag_Beallitasok!$B$2</x:f>
        <x:v>0.05</x:v>
      </x:c>
      <x:c r="AB118" s="203" t="n">
        <x:f>IFERROR(Z118*(1+AA118),"")</x:f>
        <x:v>13492.5</x:v>
      </x:c>
      <x:c r="AC118" s="204" t="n">
        <x:f>IFERROR(1-V118/H118,"")</x:f>
        <x:v>0.11365274257325342</x:v>
      </x:c>
      <x:c r="AD118" s="204" t="n">
        <x:f>IFERROR(1-V118/AB118,"")</x:f>
        <x:v>0.35208130442838603</x:v>
      </x:c>
      <x:c r="AE118" s="19" t="str">
        <x:f>IF(AC118&lt;Anyag_Beallitasok!$B$3,"NEM ÉRI EL A 35%-OT",IF(AC118&lt;Anyag_Beallitasok!$B$4,"MINIMUM 35–49,9%",IF(AC118&lt;Anyag_Beallitasok!$B$5,"IDEÁLIS 50–59,9%","KIEMELKEDŐ ≥60%")))</x:f>
        <x:v>NEM ÉRI EL A 35%-OT</x:v>
      </x:c>
      <x:c r="AF118" s="204" t="n">
        <x:f>IFERROR(AB118/H118-1,"")</x:f>
        <x:v>0.36799148332150455</x:v>
      </x:c>
      <x:c r="AG118" s="19" t="str">
        <x:f>IF(AND(P118="IGEN",O118&gt;0),IF(AF118&gt;Anyag_Beallitasok!$B$10,"0%-OS SZÁMLA + ÖNADÓZÁS; FELÁR SZÜKSÉGES","0%-OS SZÁMLA + ÖNADÓZÁS"),IF(AF118&gt;Anyag_Beallitasok!$B$10,"FELÁR SZÜKSÉGES A 35%-HOZ",IF(AC118&lt;Anyag_Beallitasok!$B$3,"PIACI ÁRON NEM TARTHATÓ A 35%","OK")))</x:f>
        <x:v>FELÁR SZÜKSÉGES A 35%-HOZ</x:v>
      </x:c>
      <x:c r="AH118" s="207" t="n">
        <x:v>0</x:v>
      </x:c>
      <x:c r="AI118" s="207" t="n">
        <x:v>0</x:v>
      </x:c>
      <x:c r="AJ118" s="207" t="n">
        <x:v>0</x:v>
      </x:c>
      <x:c r="AK118" s="208"/>
      <x:c r="AL118" s="203" t="str">
        <x:f>IF(AK118="","",V118*AK118)</x:f>
      </x:c>
      <x:c r="AM118" s="203" t="str">
        <x:f>IF(AK118="","",AB118*AK118)</x:f>
      </x:c>
      <x:c r="AN118" s="204" t="str">
        <x:f>IFERROR(1-AL118/AM118,"")</x:f>
      </x:c>
      <x:c r="AO118" s="19" t="str">
        <x:v>https://kozetgyapot-arak.hu/</x:v>
      </x:c>
      <x:c r="AP118" s="19" t="str">
        <x:v>Közvetlen 2026 webár</x:v>
      </x:c>
      <x:c r="AQ118" s="19" t="str"/>
    </x:row>
    <x:row r="119">
      <x:c r="A119" s="19" t="str">
        <x:v>ANY-0118</x:v>
      </x:c>
      <x:c r="B119" s="19" t="str">
        <x:v>08 Szigetelés és homlokzat</x:v>
      </x:c>
      <x:c r="C119" s="19" t="str">
        <x:v>Hő-, víz- és homlokzati rendszer</x:v>
      </x:c>
      <x:c r="D119" s="19" t="str">
        <x:v>Mindegyik</x:v>
      </x:c>
      <x:c r="E119" s="19" t="str">
        <x:v>Homlokzati ragasztó-tapasz 25 kg</x:v>
      </x:c>
      <x:c r="F119" s="19" t="str">
        <x:v>EPS rendszerhez</x:v>
      </x:c>
      <x:c r="G119" s="19" t="str">
        <x:v>zsák</x:v>
      </x:c>
      <x:c r="H119" s="203" t="n">
        <x:v>4200</x:v>
      </x:c>
      <x:c r="I119" s="204" t="n">
        <x:v>0.27</x:v>
      </x:c>
      <x:c r="J119" s="203" t="n">
        <x:f>IFERROR(H119/(1+I119),"")</x:f>
        <x:v>3307.086614173228</x:v>
      </x:c>
      <x:c r="K119" s="205" t="n">
        <x:v>0.18</x:v>
      </x:c>
      <x:c r="L119" s="203" t="n">
        <x:f>IFERROR(J119*(1-K119),"")</x:f>
        <x:v>2711.8110236220473</x:v>
      </x:c>
      <x:c r="M119" s="19" t="str">
        <x:v>27% normál belföldi</x:v>
      </x:c>
      <x:c r="N119" s="204" t="n">
        <x:v>0.27</x:v>
      </x:c>
      <x:c r="O119" s="204" t="n">
        <x:v>0</x:v>
      </x:c>
      <x:c r="P119" s="19" t="str">
        <x:v>NEM</x:v>
      </x:c>
      <x:c r="Q119" s="203" t="n">
        <x:f>IFERROR(L119*(1+N119),"")</x:f>
        <x:v>3444</x:v>
      </x:c>
      <x:c r="R119" s="205" t="n">
        <x:v>0.08</x:v>
      </x:c>
      <x:c r="S119" s="203" t="n">
        <x:f>IFERROR(Q119*(1+R119),"")</x:f>
        <x:v>3719.5200000000004</x:v>
      </x:c>
      <x:c r="T119" s="206" t="n">
        <x:v>100</x:v>
      </x:c>
      <x:c r="U119" s="206" t="n">
        <x:v>0</x:v>
      </x:c>
      <x:c r="V119" s="203" t="n">
        <x:f>IFERROR(S119+T119+U119,"")</x:f>
        <x:v>3819.5200000000004</x:v>
      </x:c>
      <x:c r="W119" s="203" t="n">
        <x:f>IFERROR(H119/(1+Anyag_Beallitasok!$B$2)*Anyag_Beallitasok!$B$9,"")</x:f>
        <x:v>4000</x:v>
      </x:c>
      <x:c r="X119" s="203" t="n">
        <x:f>IFERROR(V119/((1-Anyag_Beallitasok!$B$3)*(1+Anyag_Beallitasok!$B$2)),"")</x:f>
        <x:v>5596.3663003663005</x:v>
      </x:c>
      <x:c r="Y119" s="203" t="n">
        <x:f>IFERROR(V119/((1-Anyag_Beallitasok!$B$4)*(1+Anyag_Beallitasok!$B$2)),"")</x:f>
        <x:v>7275.276190476191</x:v>
      </x:c>
      <x:c r="Z119" s="203" t="n">
        <x:f>IFERROR(ROUNDUP(MAX(W119,X119)/Anyag_Beallitasok!$B$6,0)*Anyag_Beallitasok!$B$6,"")</x:f>
        <x:v>5600</x:v>
      </x:c>
      <x:c r="AA119" s="204" t="n">
        <x:f>Anyag_Beallitasok!$B$2</x:f>
        <x:v>0.05</x:v>
      </x:c>
      <x:c r="AB119" s="203" t="n">
        <x:f>IFERROR(Z119*(1+AA119),"")</x:f>
        <x:v>5880</x:v>
      </x:c>
      <x:c r="AC119" s="204" t="n">
        <x:f>IFERROR(1-V119/H119,"")</x:f>
        <x:v>0.09059047619047611</x:v>
      </x:c>
      <x:c r="AD119" s="204" t="n">
        <x:f>IFERROR(1-V119/AB119,"")</x:f>
        <x:v>0.3504217687074829</x:v>
      </x:c>
      <x:c r="AE119" s="19" t="str">
        <x:f>IF(AC119&lt;Anyag_Beallitasok!$B$3,"NEM ÉRI EL A 35%-OT",IF(AC119&lt;Anyag_Beallitasok!$B$4,"MINIMUM 35–49,9%",IF(AC119&lt;Anyag_Beallitasok!$B$5,"IDEÁLIS 50–59,9%","KIEMELKEDŐ ≥60%")))</x:f>
        <x:v>NEM ÉRI EL A 35%-OT</x:v>
      </x:c>
      <x:c r="AF119" s="204" t="n">
        <x:f>IFERROR(AB119/H119-1,"")</x:f>
        <x:v>0.3999999999999999</x:v>
      </x:c>
      <x:c r="AG119" s="19" t="str">
        <x:f>IF(AND(P119="IGEN",O119&gt;0),IF(AF119&gt;Anyag_Beallitasok!$B$10,"0%-OS SZÁMLA + ÖNADÓZÁS; FELÁR SZÜKSÉGES","0%-OS SZÁMLA + ÖNADÓZÁS"),IF(AF119&gt;Anyag_Beallitasok!$B$10,"FELÁR SZÜKSÉGES A 35%-HOZ",IF(AC119&lt;Anyag_Beallitasok!$B$3,"PIACI ÁRON NEM TARTHATÓ A 35%","OK")))</x:f>
        <x:v>FELÁR SZÜKSÉGES A 35%-HOZ</x:v>
      </x:c>
      <x:c r="AH119" s="207" t="n">
        <x:v>120</x:v>
      </x:c>
      <x:c r="AI119" s="207" t="n">
        <x:v>120</x:v>
      </x:c>
      <x:c r="AJ119" s="207" t="n">
        <x:v>120</x:v>
      </x:c>
      <x:c r="AK119" s="208"/>
      <x:c r="AL119" s="203" t="str">
        <x:f>IF(AK119="","",V119*AK119)</x:f>
      </x:c>
      <x:c r="AM119" s="203" t="str">
        <x:f>IF(AK119="","",AB119*AK119)</x:f>
      </x:c>
      <x:c r="AN119" s="204" t="str">
        <x:f>IFERROR(1-AL119/AM119,"")</x:f>
      </x:c>
      <x:c r="AO119" s="19" t="str">
        <x:v>https://www.winklertuzep.hu/arlista-web/porterm%C3%A9kek</x:v>
      </x:c>
      <x:c r="AP119" s="19" t="str">
        <x:v>2026 portermék ársáv</x:v>
      </x:c>
      <x:c r="AQ119" s="19" t="str"/>
    </x:row>
    <x:row r="120">
      <x:c r="A120" s="19" t="str">
        <x:v>ANY-0119</x:v>
      </x:c>
      <x:c r="B120" s="19" t="str">
        <x:v>08 Szigetelés és homlokzat</x:v>
      </x:c>
      <x:c r="C120" s="19" t="str">
        <x:v>Hő-, víz- és homlokzati rendszer</x:v>
      </x:c>
      <x:c r="D120" s="19" t="str">
        <x:v>Mindegyik</x:v>
      </x:c>
      <x:c r="E120" s="19" t="str">
        <x:v>Üvegszövet háló 160 g</x:v>
      </x:c>
      <x:c r="F120" s="19" t="str">
        <x:v>ETICS</x:v>
      </x:c>
      <x:c r="G120" s="19" t="str">
        <x:v>m²</x:v>
      </x:c>
      <x:c r="H120" s="203" t="n">
        <x:v>520</x:v>
      </x:c>
      <x:c r="I120" s="204" t="n">
        <x:v>0.27</x:v>
      </x:c>
      <x:c r="J120" s="203" t="n">
        <x:f>IFERROR(H120/(1+I120),"")</x:f>
        <x:v>409.4488188976378</x:v>
      </x:c>
      <x:c r="K120" s="205" t="n">
        <x:v>0.18</x:v>
      </x:c>
      <x:c r="L120" s="203" t="n">
        <x:f>IFERROR(J120*(1-K120),"")</x:f>
        <x:v>335.74803149606305</x:v>
      </x:c>
      <x:c r="M120" s="19" t="str">
        <x:v>27% normál belföldi</x:v>
      </x:c>
      <x:c r="N120" s="204" t="n">
        <x:v>0.27</x:v>
      </x:c>
      <x:c r="O120" s="204" t="n">
        <x:v>0</x:v>
      </x:c>
      <x:c r="P120" s="19" t="str">
        <x:v>NEM</x:v>
      </x:c>
      <x:c r="Q120" s="203" t="n">
        <x:f>IFERROR(L120*(1+N120),"")</x:f>
        <x:v>426.4000000000001</x:v>
      </x:c>
      <x:c r="R120" s="205" t="n">
        <x:v>0.1</x:v>
      </x:c>
      <x:c r="S120" s="203" t="n">
        <x:f>IFERROR(Q120*(1+R120),"")</x:f>
        <x:v>469.04000000000013</x:v>
      </x:c>
      <x:c r="T120" s="206" t="n">
        <x:v>20</x:v>
      </x:c>
      <x:c r="U120" s="206" t="n">
        <x:v>0</x:v>
      </x:c>
      <x:c r="V120" s="203" t="n">
        <x:f>IFERROR(S120+T120+U120,"")</x:f>
        <x:v>489.04000000000013</x:v>
      </x:c>
      <x:c r="W120" s="203" t="n">
        <x:f>IFERROR(H120/(1+Anyag_Beallitasok!$B$2)*Anyag_Beallitasok!$B$9,"")</x:f>
        <x:v>495.23809523809524</x:v>
      </x:c>
      <x:c r="X120" s="203" t="n">
        <x:f>IFERROR(V120/((1-Anyag_Beallitasok!$B$3)*(1+Anyag_Beallitasok!$B$2)),"")</x:f>
        <x:v>716.5421245421246</x:v>
      </x:c>
      <x:c r="Y120" s="203" t="n">
        <x:f>IFERROR(V120/((1-Anyag_Beallitasok!$B$4)*(1+Anyag_Beallitasok!$B$2)),"")</x:f>
        <x:v>931.5047619047622</x:v>
      </x:c>
      <x:c r="Z120" s="203" t="n">
        <x:f>IFERROR(ROUNDUP(MAX(W120,X120)/Anyag_Beallitasok!$B$6,0)*Anyag_Beallitasok!$B$6,"")</x:f>
        <x:v>750</x:v>
      </x:c>
      <x:c r="AA120" s="204" t="n">
        <x:f>Anyag_Beallitasok!$B$2</x:f>
        <x:v>0.05</x:v>
      </x:c>
      <x:c r="AB120" s="203" t="n">
        <x:f>IFERROR(Z120*(1+AA120),"")</x:f>
        <x:v>787.5</x:v>
      </x:c>
      <x:c r="AC120" s="204" t="n">
        <x:f>IFERROR(1-V120/H120,"")</x:f>
        <x:v>0.05953846153846132</x:v>
      </x:c>
      <x:c r="AD120" s="204" t="n">
        <x:f>IFERROR(1-V120/AB120,"")</x:f>
        <x:v>0.3789968253968252</x:v>
      </x:c>
      <x:c r="AE120" s="19" t="str">
        <x:f>IF(AC120&lt;Anyag_Beallitasok!$B$3,"NEM ÉRI EL A 35%-OT",IF(AC120&lt;Anyag_Beallitasok!$B$4,"MINIMUM 35–49,9%",IF(AC120&lt;Anyag_Beallitasok!$B$5,"IDEÁLIS 50–59,9%","KIEMELKEDŐ ≥60%")))</x:f>
        <x:v>NEM ÉRI EL A 35%-OT</x:v>
      </x:c>
      <x:c r="AF120" s="204" t="n">
        <x:f>IFERROR(AB120/H120-1,"")</x:f>
        <x:v>0.5144230769230769</x:v>
      </x:c>
      <x:c r="AG120" s="19" t="str">
        <x:f>IF(AND(P120="IGEN",O120&gt;0),IF(AF120&gt;Anyag_Beallitasok!$B$10,"0%-OS SZÁMLA + ÖNADÓZÁS; FELÁR SZÜKSÉGES","0%-OS SZÁMLA + ÖNADÓZÁS"),IF(AF120&gt;Anyag_Beallitasok!$B$10,"FELÁR SZÜKSÉGES A 35%-HOZ",IF(AC120&lt;Anyag_Beallitasok!$B$3,"PIACI ÁRON NEM TARTHATÓ A 35%","OK")))</x:f>
        <x:v>FELÁR SZÜKSÉGES A 35%-HOZ</x:v>
      </x:c>
      <x:c r="AH120" s="207" t="n">
        <x:v>210</x:v>
      </x:c>
      <x:c r="AI120" s="207" t="n">
        <x:v>210</x:v>
      </x:c>
      <x:c r="AJ120" s="207" t="n">
        <x:v>210</x:v>
      </x:c>
      <x:c r="AK120" s="208"/>
      <x:c r="AL120" s="203" t="str">
        <x:f>IF(AK120="","",V120*AK120)</x:f>
      </x:c>
      <x:c r="AM120" s="203" t="str">
        <x:f>IF(AK120="","",AB120*AK120)</x:f>
      </x:c>
      <x:c r="AN120" s="204" t="str">
        <x:f>IFERROR(1-AL120/AM120,"")</x:f>
      </x:c>
      <x:c r="AO120" s="19" t="str">
        <x:v>https://www.hoszigetelesplaza.hu/eps-80-homlokzati-hoszigetelo-lemez-15-cm-vastag</x:v>
      </x:c>
      <x:c r="AP120" s="19" t="str">
        <x:v>2026 piaci becslés</x:v>
      </x:c>
      <x:c r="AQ120" s="19" t="str"/>
    </x:row>
    <x:row r="121">
      <x:c r="A121" s="19" t="str">
        <x:v>ANY-0120</x:v>
      </x:c>
      <x:c r="B121" s="19" t="str">
        <x:v>08 Szigetelés és homlokzat</x:v>
      </x:c>
      <x:c r="C121" s="19" t="str">
        <x:v>Hő-, víz- és homlokzati rendszer</x:v>
      </x:c>
      <x:c r="D121" s="19" t="str">
        <x:v>Mindegyik</x:v>
      </x:c>
      <x:c r="E121" s="19" t="str">
        <x:v>Homlokzati dübel 200 mm</x:v>
      </x:c>
      <x:c r="F121" s="19" t="str">
        <x:v>műanyag szeggel</x:v>
      </x:c>
      <x:c r="G121" s="19" t="str">
        <x:v>db</x:v>
      </x:c>
      <x:c r="H121" s="203" t="n">
        <x:v>150</x:v>
      </x:c>
      <x:c r="I121" s="204" t="n">
        <x:v>0.27</x:v>
      </x:c>
      <x:c r="J121" s="203" t="n">
        <x:f>IFERROR(H121/(1+I121),"")</x:f>
        <x:v>118.11023622047244</x:v>
      </x:c>
      <x:c r="K121" s="205" t="n">
        <x:v>0.2</x:v>
      </x:c>
      <x:c r="L121" s="203" t="n">
        <x:f>IFERROR(J121*(1-K121),"")</x:f>
        <x:v>94.48818897637796</x:v>
      </x:c>
      <x:c r="M121" s="19" t="str">
        <x:v>27% normál belföldi</x:v>
      </x:c>
      <x:c r="N121" s="204" t="n">
        <x:v>0.27</x:v>
      </x:c>
      <x:c r="O121" s="204" t="n">
        <x:v>0</x:v>
      </x:c>
      <x:c r="P121" s="19" t="str">
        <x:v>NEM</x:v>
      </x:c>
      <x:c r="Q121" s="203" t="n">
        <x:f>IFERROR(L121*(1+N121),"")</x:f>
        <x:v>120</x:v>
      </x:c>
      <x:c r="R121" s="205" t="n">
        <x:v>0.1</x:v>
      </x:c>
      <x:c r="S121" s="203" t="n">
        <x:f>IFERROR(Q121*(1+R121),"")</x:f>
        <x:v>132</x:v>
      </x:c>
      <x:c r="T121" s="206" t="n">
        <x:v>3</x:v>
      </x:c>
      <x:c r="U121" s="206" t="n">
        <x:v>0</x:v>
      </x:c>
      <x:c r="V121" s="203" t="n">
        <x:f>IFERROR(S121+T121+U121,"")</x:f>
        <x:v>135</x:v>
      </x:c>
      <x:c r="W121" s="203" t="n">
        <x:f>IFERROR(H121/(1+Anyag_Beallitasok!$B$2)*Anyag_Beallitasok!$B$9,"")</x:f>
        <x:v>142.85714285714286</x:v>
      </x:c>
      <x:c r="X121" s="203" t="n">
        <x:f>IFERROR(V121/((1-Anyag_Beallitasok!$B$3)*(1+Anyag_Beallitasok!$B$2)),"")</x:f>
        <x:v>197.80219780219778</x:v>
      </x:c>
      <x:c r="Y121" s="203" t="n">
        <x:f>IFERROR(V121/((1-Anyag_Beallitasok!$B$4)*(1+Anyag_Beallitasok!$B$2)),"")</x:f>
        <x:v>257.1428571428571</x:v>
      </x:c>
      <x:c r="Z121" s="203" t="n">
        <x:f>IFERROR(ROUNDUP(MAX(W121,X121)/Anyag_Beallitasok!$B$6,0)*Anyag_Beallitasok!$B$6,"")</x:f>
        <x:v>200</x:v>
      </x:c>
      <x:c r="AA121" s="204" t="n">
        <x:f>Anyag_Beallitasok!$B$2</x:f>
        <x:v>0.05</x:v>
      </x:c>
      <x:c r="AB121" s="203" t="n">
        <x:f>IFERROR(Z121*(1+AA121),"")</x:f>
        <x:v>210</x:v>
      </x:c>
      <x:c r="AC121" s="204" t="n">
        <x:f>IFERROR(1-V121/H121,"")</x:f>
        <x:v>0.09999999999999998</x:v>
      </x:c>
      <x:c r="AD121" s="204" t="n">
        <x:f>IFERROR(1-V121/AB121,"")</x:f>
        <x:v>0.3571428571428571</x:v>
      </x:c>
      <x:c r="AE121" s="19" t="str">
        <x:f>IF(AC121&lt;Anyag_Beallitasok!$B$3,"NEM ÉRI EL A 35%-OT",IF(AC121&lt;Anyag_Beallitasok!$B$4,"MINIMUM 35–49,9%",IF(AC121&lt;Anyag_Beallitasok!$B$5,"IDEÁLIS 50–59,9%","KIEMELKEDŐ ≥60%")))</x:f>
        <x:v>NEM ÉRI EL A 35%-OT</x:v>
      </x:c>
      <x:c r="AF121" s="204" t="n">
        <x:f>IFERROR(AB121/H121-1,"")</x:f>
        <x:v>0.3999999999999999</x:v>
      </x:c>
      <x:c r="AG121" s="19" t="str">
        <x:f>IF(AND(P121="IGEN",O121&gt;0),IF(AF121&gt;Anyag_Beallitasok!$B$10,"0%-OS SZÁMLA + ÖNADÓZÁS; FELÁR SZÜKSÉGES","0%-OS SZÁMLA + ÖNADÓZÁS"),IF(AF121&gt;Anyag_Beallitasok!$B$10,"FELÁR SZÜKSÉGES A 35%-HOZ",IF(AC121&lt;Anyag_Beallitasok!$B$3,"PIACI ÁRON NEM TARTHATÓ A 35%","OK")))</x:f>
        <x:v>FELÁR SZÜKSÉGES A 35%-HOZ</x:v>
      </x:c>
      <x:c r="AH121" s="207" t="n">
        <x:v>1200</x:v>
      </x:c>
      <x:c r="AI121" s="207" t="n">
        <x:v>1200</x:v>
      </x:c>
      <x:c r="AJ121" s="207" t="n">
        <x:v>1200</x:v>
      </x:c>
      <x:c r="AK121" s="208"/>
      <x:c r="AL121" s="203" t="str">
        <x:f>IF(AK121="","",V121*AK121)</x:f>
      </x:c>
      <x:c r="AM121" s="203" t="str">
        <x:f>IF(AK121="","",AB121*AK121)</x:f>
      </x:c>
      <x:c r="AN121" s="204" t="str">
        <x:f>IFERROR(1-AL121/AM121,"")</x:f>
      </x:c>
      <x:c r="AO121" s="19" t="str">
        <x:v>https://www.hoszigetelesplaza.hu/eps-80-homlokzati-hoszigetelo-lemez-15-cm-vastag</x:v>
      </x:c>
      <x:c r="AP121" s="19" t="str">
        <x:v>2026 piaci becslés</x:v>
      </x:c>
      <x:c r="AQ121" s="19" t="str"/>
    </x:row>
    <x:row r="122">
      <x:c r="A122" s="19" t="str">
        <x:v>ANY-0121</x:v>
      </x:c>
      <x:c r="B122" s="19" t="str">
        <x:v>08 Szigetelés és homlokzat</x:v>
      </x:c>
      <x:c r="C122" s="19" t="str">
        <x:v>Hő-, víz- és homlokzati rendszer</x:v>
      </x:c>
      <x:c r="D122" s="19" t="str">
        <x:v>Mindegyik</x:v>
      </x:c>
      <x:c r="E122" s="19" t="str">
        <x:v>Homlokzati alapozó</x:v>
      </x:c>
      <x:c r="F122" s="19" t="str">
        <x:v>vékonyvakolat alá</x:v>
      </x:c>
      <x:c r="G122" s="19" t="str">
        <x:v>kg</x:v>
      </x:c>
      <x:c r="H122" s="203" t="n">
        <x:v>1700</x:v>
      </x:c>
      <x:c r="I122" s="204" t="n">
        <x:v>0.27</x:v>
      </x:c>
      <x:c r="J122" s="203" t="n">
        <x:f>IFERROR(H122/(1+I122),"")</x:f>
        <x:v>1338.5826771653544</x:v>
      </x:c>
      <x:c r="K122" s="205" t="n">
        <x:v>0.18</x:v>
      </x:c>
      <x:c r="L122" s="203" t="n">
        <x:f>IFERROR(J122*(1-K122),"")</x:f>
        <x:v>1097.6377952755906</x:v>
      </x:c>
      <x:c r="M122" s="19" t="str">
        <x:v>27% normál belföldi</x:v>
      </x:c>
      <x:c r="N122" s="204" t="n">
        <x:v>0.27</x:v>
      </x:c>
      <x:c r="O122" s="204" t="n">
        <x:v>0</x:v>
      </x:c>
      <x:c r="P122" s="19" t="str">
        <x:v>NEM</x:v>
      </x:c>
      <x:c r="Q122" s="203" t="n">
        <x:f>IFERROR(L122*(1+N122),"")</x:f>
        <x:v>1394.0000000000002</x:v>
      </x:c>
      <x:c r="R122" s="205" t="n">
        <x:v>0.08</x:v>
      </x:c>
      <x:c r="S122" s="203" t="n">
        <x:f>IFERROR(Q122*(1+R122),"")</x:f>
        <x:v>1505.5200000000004</x:v>
      </x:c>
      <x:c r="T122" s="206" t="n">
        <x:v>40</x:v>
      </x:c>
      <x:c r="U122" s="206" t="n">
        <x:v>0</x:v>
      </x:c>
      <x:c r="V122" s="203" t="n">
        <x:f>IFERROR(S122+T122+U122,"")</x:f>
        <x:v>1545.5200000000004</x:v>
      </x:c>
      <x:c r="W122" s="203" t="n">
        <x:f>IFERROR(H122/(1+Anyag_Beallitasok!$B$2)*Anyag_Beallitasok!$B$9,"")</x:f>
        <x:v>1619.047619047619</x:v>
      </x:c>
      <x:c r="X122" s="203" t="n">
        <x:f>IFERROR(V122/((1-Anyag_Beallitasok!$B$3)*(1+Anyag_Beallitasok!$B$2)),"")</x:f>
        <x:v>2264.498168498169</x:v>
      </x:c>
      <x:c r="Y122" s="203" t="n">
        <x:f>IFERROR(V122/((1-Anyag_Beallitasok!$B$4)*(1+Anyag_Beallitasok!$B$2)),"")</x:f>
        <x:v>2943.84761904762</x:v>
      </x:c>
      <x:c r="Z122" s="203" t="n">
        <x:f>IFERROR(ROUNDUP(MAX(W122,X122)/Anyag_Beallitasok!$B$6,0)*Anyag_Beallitasok!$B$6,"")</x:f>
        <x:v>2300</x:v>
      </x:c>
      <x:c r="AA122" s="204" t="n">
        <x:f>Anyag_Beallitasok!$B$2</x:f>
        <x:v>0.05</x:v>
      </x:c>
      <x:c r="AB122" s="203" t="n">
        <x:f>IFERROR(Z122*(1+AA122),"")</x:f>
        <x:v>2415</x:v>
      </x:c>
      <x:c r="AC122" s="204" t="n">
        <x:f>IFERROR(1-V122/H122,"")</x:f>
        <x:v>0.09087058823529381</x:v>
      </x:c>
      <x:c r="AD122" s="204" t="n">
        <x:f>IFERROR(1-V122/AB122,"")</x:f>
        <x:v>0.36003312629399564</x:v>
      </x:c>
      <x:c r="AE122" s="19" t="str">
        <x:f>IF(AC122&lt;Anyag_Beallitasok!$B$3,"NEM ÉRI EL A 35%-OT",IF(AC122&lt;Anyag_Beallitasok!$B$4,"MINIMUM 35–49,9%",IF(AC122&lt;Anyag_Beallitasok!$B$5,"IDEÁLIS 50–59,9%","KIEMELKEDŐ ≥60%")))</x:f>
        <x:v>NEM ÉRI EL A 35%-OT</x:v>
      </x:c>
      <x:c r="AF122" s="204" t="n">
        <x:f>IFERROR(AB122/H122-1,"")</x:f>
        <x:v>0.4205882352941177</x:v>
      </x:c>
      <x:c r="AG122" s="19" t="str">
        <x:f>IF(AND(P122="IGEN",O122&gt;0),IF(AF122&gt;Anyag_Beallitasok!$B$10,"0%-OS SZÁMLA + ÖNADÓZÁS; FELÁR SZÜKSÉGES","0%-OS SZÁMLA + ÖNADÓZÁS"),IF(AF122&gt;Anyag_Beallitasok!$B$10,"FELÁR SZÜKSÉGES A 35%-HOZ",IF(AC122&lt;Anyag_Beallitasok!$B$3,"PIACI ÁRON NEM TARTHATÓ A 35%","OK")))</x:f>
        <x:v>FELÁR SZÜKSÉGES A 35%-HOZ</x:v>
      </x:c>
      <x:c r="AH122" s="207" t="n">
        <x:v>50</x:v>
      </x:c>
      <x:c r="AI122" s="207" t="n">
        <x:v>50</x:v>
      </x:c>
      <x:c r="AJ122" s="207" t="n">
        <x:v>50</x:v>
      </x:c>
      <x:c r="AK122" s="208"/>
      <x:c r="AL122" s="203" t="str">
        <x:f>IF(AK122="","",V122*AK122)</x:f>
      </x:c>
      <x:c r="AM122" s="203" t="str">
        <x:f>IF(AK122="","",AB122*AK122)</x:f>
      </x:c>
      <x:c r="AN122" s="204" t="str">
        <x:f>IFERROR(1-AL122/AM122,"")</x:f>
      </x:c>
      <x:c r="AO122" s="19" t="str">
        <x:v>https://www.winklertuzep.hu/arlista-web/porterm%C3%A9kek</x:v>
      </x:c>
      <x:c r="AP122" s="19" t="str">
        <x:v>2026 piaci becslés</x:v>
      </x:c>
      <x:c r="AQ122" s="19" t="str"/>
    </x:row>
    <x:row r="123">
      <x:c r="A123" s="19" t="str">
        <x:v>ANY-0122</x:v>
      </x:c>
      <x:c r="B123" s="19" t="str">
        <x:v>08 Szigetelés és homlokzat</x:v>
      </x:c>
      <x:c r="C123" s="19" t="str">
        <x:v>Hő-, víz- és homlokzati rendszer</x:v>
      </x:c>
      <x:c r="D123" s="19" t="str">
        <x:v>Mindegyik</x:v>
      </x:c>
      <x:c r="E123" s="19" t="str">
        <x:v>Szilikon vékonyvakolat 1,5 mm</x:v>
      </x:c>
      <x:c r="F123" s="19" t="str">
        <x:v>vödrös</x:v>
      </x:c>
      <x:c r="G123" s="19" t="str">
        <x:v>kg</x:v>
      </x:c>
      <x:c r="H123" s="203" t="n">
        <x:v>1150</x:v>
      </x:c>
      <x:c r="I123" s="204" t="n">
        <x:v>0.27</x:v>
      </x:c>
      <x:c r="J123" s="203" t="n">
        <x:f>IFERROR(H123/(1+I123),"")</x:f>
        <x:v>905.511811023622</x:v>
      </x:c>
      <x:c r="K123" s="205" t="n">
        <x:v>0.18</x:v>
      </x:c>
      <x:c r="L123" s="203" t="n">
        <x:f>IFERROR(J123*(1-K123),"")</x:f>
        <x:v>742.5196850393702</x:v>
      </x:c>
      <x:c r="M123" s="19" t="str">
        <x:v>27% normál belföldi</x:v>
      </x:c>
      <x:c r="N123" s="204" t="n">
        <x:v>0.27</x:v>
      </x:c>
      <x:c r="O123" s="204" t="n">
        <x:v>0</x:v>
      </x:c>
      <x:c r="P123" s="19" t="str">
        <x:v>NEM</x:v>
      </x:c>
      <x:c r="Q123" s="203" t="n">
        <x:f>IFERROR(L123*(1+N123),"")</x:f>
        <x:v>943.0000000000001</x:v>
      </x:c>
      <x:c r="R123" s="205" t="n">
        <x:v>0.08</x:v>
      </x:c>
      <x:c r="S123" s="203" t="n">
        <x:f>IFERROR(Q123*(1+R123),"")</x:f>
        <x:v>1018.4400000000002</x:v>
      </x:c>
      <x:c r="T123" s="206" t="n">
        <x:v>40</x:v>
      </x:c>
      <x:c r="U123" s="206" t="n">
        <x:v>0</x:v>
      </x:c>
      <x:c r="V123" s="203" t="n">
        <x:f>IFERROR(S123+T123+U123,"")</x:f>
        <x:v>1058.44</x:v>
      </x:c>
      <x:c r="W123" s="203" t="n">
        <x:f>IFERROR(H123/(1+Anyag_Beallitasok!$B$2)*Anyag_Beallitasok!$B$9,"")</x:f>
        <x:v>1095.2380952380952</x:v>
      </x:c>
      <x:c r="X123" s="203" t="n">
        <x:f>IFERROR(V123/((1-Anyag_Beallitasok!$B$3)*(1+Anyag_Beallitasok!$B$2)),"")</x:f>
        <x:v>1550.8278388278386</x:v>
      </x:c>
      <x:c r="Y123" s="203" t="n">
        <x:f>IFERROR(V123/((1-Anyag_Beallitasok!$B$4)*(1+Anyag_Beallitasok!$B$2)),"")</x:f>
        <x:v>2016.0761904761905</x:v>
      </x:c>
      <x:c r="Z123" s="203" t="n">
        <x:f>IFERROR(ROUNDUP(MAX(W123,X123)/Anyag_Beallitasok!$B$6,0)*Anyag_Beallitasok!$B$6,"")</x:f>
        <x:v>1600</x:v>
      </x:c>
      <x:c r="AA123" s="204" t="n">
        <x:f>Anyag_Beallitasok!$B$2</x:f>
        <x:v>0.05</x:v>
      </x:c>
      <x:c r="AB123" s="203" t="n">
        <x:f>IFERROR(Z123*(1+AA123),"")</x:f>
        <x:v>1680</x:v>
      </x:c>
      <x:c r="AC123" s="204" t="n">
        <x:f>IFERROR(1-V123/H123,"")</x:f>
        <x:v>0.07961739130434775</x:v>
      </x:c>
      <x:c r="AD123" s="204" t="n">
        <x:f>IFERROR(1-V123/AB123,"")</x:f>
        <x:v>0.36997619047619046</x:v>
      </x:c>
      <x:c r="AE123" s="19" t="str">
        <x:f>IF(AC123&lt;Anyag_Beallitasok!$B$3,"NEM ÉRI EL A 35%-OT",IF(AC123&lt;Anyag_Beallitasok!$B$4,"MINIMUM 35–49,9%",IF(AC123&lt;Anyag_Beallitasok!$B$5,"IDEÁLIS 50–59,9%","KIEMELKEDŐ ≥60%")))</x:f>
        <x:v>NEM ÉRI EL A 35%-OT</x:v>
      </x:c>
      <x:c r="AF123" s="204" t="n">
        <x:f>IFERROR(AB123/H123-1,"")</x:f>
        <x:v>0.4608695652173913</x:v>
      </x:c>
      <x:c r="AG123" s="19" t="str">
        <x:f>IF(AND(P123="IGEN",O123&gt;0),IF(AF123&gt;Anyag_Beallitasok!$B$10,"0%-OS SZÁMLA + ÖNADÓZÁS; FELÁR SZÜKSÉGES","0%-OS SZÁMLA + ÖNADÓZÁS"),IF(AF123&gt;Anyag_Beallitasok!$B$10,"FELÁR SZÜKSÉGES A 35%-HOZ",IF(AC123&lt;Anyag_Beallitasok!$B$3,"PIACI ÁRON NEM TARTHATÓ A 35%","OK")))</x:f>
        <x:v>FELÁR SZÜKSÉGES A 35%-HOZ</x:v>
      </x:c>
      <x:c r="AH123" s="207" t="n">
        <x:v>500</x:v>
      </x:c>
      <x:c r="AI123" s="207" t="n">
        <x:v>500</x:v>
      </x:c>
      <x:c r="AJ123" s="207" t="n">
        <x:v>500</x:v>
      </x:c>
      <x:c r="AK123" s="208"/>
      <x:c r="AL123" s="203" t="str">
        <x:f>IF(AK123="","",V123*AK123)</x:f>
      </x:c>
      <x:c r="AM123" s="203" t="str">
        <x:f>IF(AK123="","",AB123*AK123)</x:f>
      </x:c>
      <x:c r="AN123" s="204" t="str">
        <x:f>IFERROR(1-AL123/AM123,"")</x:f>
      </x:c>
      <x:c r="AO123" s="19" t="str">
        <x:v>https://www.winklertuzep.hu/arlista-web/porterm%C3%A9kek</x:v>
      </x:c>
      <x:c r="AP123" s="19" t="str">
        <x:v>2026 piaci becslés</x:v>
      </x:c>
      <x:c r="AQ123" s="19" t="str"/>
    </x:row>
    <x:row r="124">
      <x:c r="A124" s="19" t="str">
        <x:v>ANY-0123</x:v>
      </x:c>
      <x:c r="B124" s="19" t="str">
        <x:v>08 Szigetelés és homlokzat</x:v>
      </x:c>
      <x:c r="C124" s="19" t="str">
        <x:v>Hő-, víz- és homlokzati rendszer</x:v>
      </x:c>
      <x:c r="D124" s="19" t="str">
        <x:v>Mindegyik</x:v>
      </x:c>
      <x:c r="E124" s="19" t="str">
        <x:v>Mozaik lábazati vakolat</x:v>
      </x:c>
      <x:c r="F124" s="19" t="str">
        <x:v>vödrös</x:v>
      </x:c>
      <x:c r="G124" s="19" t="str">
        <x:v>kg</x:v>
      </x:c>
      <x:c r="H124" s="203" t="n">
        <x:v>1850</x:v>
      </x:c>
      <x:c r="I124" s="204" t="n">
        <x:v>0.27</x:v>
      </x:c>
      <x:c r="J124" s="203" t="n">
        <x:f>IFERROR(H124/(1+I124),"")</x:f>
        <x:v>1456.6929133858268</x:v>
      </x:c>
      <x:c r="K124" s="205" t="n">
        <x:v>0.18</x:v>
      </x:c>
      <x:c r="L124" s="203" t="n">
        <x:f>IFERROR(J124*(1-K124),"")</x:f>
        <x:v>1194.488188976378</x:v>
      </x:c>
      <x:c r="M124" s="19" t="str">
        <x:v>27% normál belföldi</x:v>
      </x:c>
      <x:c r="N124" s="204" t="n">
        <x:v>0.27</x:v>
      </x:c>
      <x:c r="O124" s="204" t="n">
        <x:v>0</x:v>
      </x:c>
      <x:c r="P124" s="19" t="str">
        <x:v>NEM</x:v>
      </x:c>
      <x:c r="Q124" s="203" t="n">
        <x:f>IFERROR(L124*(1+N124),"")</x:f>
        <x:v>1517.0000000000002</x:v>
      </x:c>
      <x:c r="R124" s="205" t="n">
        <x:v>0.08</x:v>
      </x:c>
      <x:c r="S124" s="203" t="n">
        <x:f>IFERROR(Q124*(1+R124),"")</x:f>
        <x:v>1638.3600000000004</x:v>
      </x:c>
      <x:c r="T124" s="206" t="n">
        <x:v>50</x:v>
      </x:c>
      <x:c r="U124" s="206" t="n">
        <x:v>0</x:v>
      </x:c>
      <x:c r="V124" s="203" t="n">
        <x:f>IFERROR(S124+T124+U124,"")</x:f>
        <x:v>1688.3600000000004</x:v>
      </x:c>
      <x:c r="W124" s="203" t="n">
        <x:f>IFERROR(H124/(1+Anyag_Beallitasok!$B$2)*Anyag_Beallitasok!$B$9,"")</x:f>
        <x:v>1761.904761904762</x:v>
      </x:c>
      <x:c r="X124" s="203" t="n">
        <x:f>IFERROR(V124/((1-Anyag_Beallitasok!$B$3)*(1+Anyag_Beallitasok!$B$2)),"")</x:f>
        <x:v>2473.7875457875457</x:v>
      </x:c>
      <x:c r="Y124" s="203" t="n">
        <x:f>IFERROR(V124/((1-Anyag_Beallitasok!$B$4)*(1+Anyag_Beallitasok!$B$2)),"")</x:f>
        <x:v>3215.92380952381</x:v>
      </x:c>
      <x:c r="Z124" s="203" t="n">
        <x:f>IFERROR(ROUNDUP(MAX(W124,X124)/Anyag_Beallitasok!$B$6,0)*Anyag_Beallitasok!$B$6,"")</x:f>
        <x:v>2500</x:v>
      </x:c>
      <x:c r="AA124" s="204" t="n">
        <x:f>Anyag_Beallitasok!$B$2</x:f>
        <x:v>0.05</x:v>
      </x:c>
      <x:c r="AB124" s="203" t="n">
        <x:f>IFERROR(Z124*(1+AA124),"")</x:f>
        <x:v>2625</x:v>
      </x:c>
      <x:c r="AC124" s="204" t="n">
        <x:f>IFERROR(1-V124/H124,"")</x:f>
        <x:v>0.08737297297297275</x:v>
      </x:c>
      <x:c r="AD124" s="204" t="n">
        <x:f>IFERROR(1-V124/AB124,"")</x:f>
        <x:v>0.35681523809523796</x:v>
      </x:c>
      <x:c r="AE124" s="19" t="str">
        <x:f>IF(AC124&lt;Anyag_Beallitasok!$B$3,"NEM ÉRI EL A 35%-OT",IF(AC124&lt;Anyag_Beallitasok!$B$4,"MINIMUM 35–49,9%",IF(AC124&lt;Anyag_Beallitasok!$B$5,"IDEÁLIS 50–59,9%","KIEMELKEDŐ ≥60%")))</x:f>
        <x:v>NEM ÉRI EL A 35%-OT</x:v>
      </x:c>
      <x:c r="AF124" s="204" t="n">
        <x:f>IFERROR(AB124/H124-1,"")</x:f>
        <x:v>0.41891891891891886</x:v>
      </x:c>
      <x:c r="AG124" s="19" t="str">
        <x:f>IF(AND(P124="IGEN",O124&gt;0),IF(AF124&gt;Anyag_Beallitasok!$B$10,"0%-OS SZÁMLA + ÖNADÓZÁS; FELÁR SZÜKSÉGES","0%-OS SZÁMLA + ÖNADÓZÁS"),IF(AF124&gt;Anyag_Beallitasok!$B$10,"FELÁR SZÜKSÉGES A 35%-HOZ",IF(AC124&lt;Anyag_Beallitasok!$B$3,"PIACI ÁRON NEM TARTHATÓ A 35%","OK")))</x:f>
        <x:v>FELÁR SZÜKSÉGES A 35%-HOZ</x:v>
      </x:c>
      <x:c r="AH124" s="207" t="n">
        <x:v>90</x:v>
      </x:c>
      <x:c r="AI124" s="207" t="n">
        <x:v>90</x:v>
      </x:c>
      <x:c r="AJ124" s="207" t="n">
        <x:v>90</x:v>
      </x:c>
      <x:c r="AK124" s="208"/>
      <x:c r="AL124" s="203" t="str">
        <x:f>IF(AK124="","",V124*AK124)</x:f>
      </x:c>
      <x:c r="AM124" s="203" t="str">
        <x:f>IF(AK124="","",AB124*AK124)</x:f>
      </x:c>
      <x:c r="AN124" s="204" t="str">
        <x:f>IFERROR(1-AL124/AM124,"")</x:f>
      </x:c>
      <x:c r="AO124" s="19" t="str">
        <x:v>https://www.winklertuzep.hu/arlista-web/porterm%C3%A9kek</x:v>
      </x:c>
      <x:c r="AP124" s="19" t="str">
        <x:v>2026 piaci becslés</x:v>
      </x:c>
      <x:c r="AQ124" s="19" t="str"/>
    </x:row>
    <x:row r="125">
      <x:c r="A125" s="19" t="str">
        <x:v>ANY-0124</x:v>
      </x:c>
      <x:c r="B125" s="19" t="str">
        <x:v>08 Szigetelés és homlokzat</x:v>
      </x:c>
      <x:c r="C125" s="19" t="str">
        <x:v>Hő-, víz- és homlokzati rendszer</x:v>
      </x:c>
      <x:c r="D125" s="19" t="str">
        <x:v>Mindegyik</x:v>
      </x:c>
      <x:c r="E125" s="19" t="str">
        <x:v>Indítóprofil alumínium</x:v>
      </x:c>
      <x:c r="F125" s="19" t="str">
        <x:v>15 cm rendszerhez</x:v>
      </x:c>
      <x:c r="G125" s="19" t="str">
        <x:v>fm</x:v>
      </x:c>
      <x:c r="H125" s="203" t="n">
        <x:v>1500</x:v>
      </x:c>
      <x:c r="I125" s="204" t="n">
        <x:v>0.27</x:v>
      </x:c>
      <x:c r="J125" s="203" t="n">
        <x:f>IFERROR(H125/(1+I125),"")</x:f>
        <x:v>1181.1023622047244</x:v>
      </x:c>
      <x:c r="K125" s="205" t="n">
        <x:v>0.18</x:v>
      </x:c>
      <x:c r="L125" s="203" t="n">
        <x:f>IFERROR(J125*(1-K125),"")</x:f>
        <x:v>968.503937007874</x:v>
      </x:c>
      <x:c r="M125" s="19" t="str">
        <x:v>27% normál belföldi</x:v>
      </x:c>
      <x:c r="N125" s="204" t="n">
        <x:v>0.27</x:v>
      </x:c>
      <x:c r="O125" s="204" t="n">
        <x:v>0</x:v>
      </x:c>
      <x:c r="P125" s="19" t="str">
        <x:v>NEM</x:v>
      </x:c>
      <x:c r="Q125" s="203" t="n">
        <x:f>IFERROR(L125*(1+N125),"")</x:f>
        <x:v>1230</x:v>
      </x:c>
      <x:c r="R125" s="205" t="n">
        <x:v>0.1</x:v>
      </x:c>
      <x:c r="S125" s="203" t="n">
        <x:f>IFERROR(Q125*(1+R125),"")</x:f>
        <x:v>1353</x:v>
      </x:c>
      <x:c r="T125" s="206" t="n">
        <x:v>40</x:v>
      </x:c>
      <x:c r="U125" s="206" t="n">
        <x:v>0</x:v>
      </x:c>
      <x:c r="V125" s="203" t="n">
        <x:f>IFERROR(S125+T125+U125,"")</x:f>
        <x:v>1393</x:v>
      </x:c>
      <x:c r="W125" s="203" t="n">
        <x:f>IFERROR(H125/(1+Anyag_Beallitasok!$B$2)*Anyag_Beallitasok!$B$9,"")</x:f>
        <x:v>1428.5714285714284</x:v>
      </x:c>
      <x:c r="X125" s="203" t="n">
        <x:f>IFERROR(V125/((1-Anyag_Beallitasok!$B$3)*(1+Anyag_Beallitasok!$B$2)),"")</x:f>
        <x:v>2041.0256410256407</x:v>
      </x:c>
      <x:c r="Y125" s="203" t="n">
        <x:f>IFERROR(V125/((1-Anyag_Beallitasok!$B$4)*(1+Anyag_Beallitasok!$B$2)),"")</x:f>
        <x:v>2653.333333333333</x:v>
      </x:c>
      <x:c r="Z125" s="203" t="n">
        <x:f>IFERROR(ROUNDUP(MAX(W125,X125)/Anyag_Beallitasok!$B$6,0)*Anyag_Beallitasok!$B$6,"")</x:f>
        <x:v>2050</x:v>
      </x:c>
      <x:c r="AA125" s="204" t="n">
        <x:f>Anyag_Beallitasok!$B$2</x:f>
        <x:v>0.05</x:v>
      </x:c>
      <x:c r="AB125" s="203" t="n">
        <x:f>IFERROR(Z125*(1+AA125),"")</x:f>
        <x:v>2152.5</x:v>
      </x:c>
      <x:c r="AC125" s="204" t="n">
        <x:f>IFERROR(1-V125/H125,"")</x:f>
        <x:v>0.07133333333333336</x:v>
      </x:c>
      <x:c r="AD125" s="204" t="n">
        <x:f>IFERROR(1-V125/AB125,"")</x:f>
        <x:v>0.3528455284552846</x:v>
      </x:c>
      <x:c r="AE125" s="19" t="str">
        <x:f>IF(AC125&lt;Anyag_Beallitasok!$B$3,"NEM ÉRI EL A 35%-OT",IF(AC125&lt;Anyag_Beallitasok!$B$4,"MINIMUM 35–49,9%",IF(AC125&lt;Anyag_Beallitasok!$B$5,"IDEÁLIS 50–59,9%","KIEMELKEDŐ ≥60%")))</x:f>
        <x:v>NEM ÉRI EL A 35%-OT</x:v>
      </x:c>
      <x:c r="AF125" s="204" t="n">
        <x:f>IFERROR(AB125/H125-1,"")</x:f>
        <x:v>0.43500000000000005</x:v>
      </x:c>
      <x:c r="AG125" s="19" t="str">
        <x:f>IF(AND(P125="IGEN",O125&gt;0),IF(AF125&gt;Anyag_Beallitasok!$B$10,"0%-OS SZÁMLA + ÖNADÓZÁS; FELÁR SZÜKSÉGES","0%-OS SZÁMLA + ÖNADÓZÁS"),IF(AF125&gt;Anyag_Beallitasok!$B$10,"FELÁR SZÜKSÉGES A 35%-HOZ",IF(AC125&lt;Anyag_Beallitasok!$B$3,"PIACI ÁRON NEM TARTHATÓ A 35%","OK")))</x:f>
        <x:v>FELÁR SZÜKSÉGES A 35%-HOZ</x:v>
      </x:c>
      <x:c r="AH125" s="207" t="n">
        <x:v>55</x:v>
      </x:c>
      <x:c r="AI125" s="207" t="n">
        <x:v>55</x:v>
      </x:c>
      <x:c r="AJ125" s="207" t="n">
        <x:v>55</x:v>
      </x:c>
      <x:c r="AK125" s="208"/>
      <x:c r="AL125" s="203" t="str">
        <x:f>IF(AK125="","",V125*AK125)</x:f>
      </x:c>
      <x:c r="AM125" s="203" t="str">
        <x:f>IF(AK125="","",AB125*AK125)</x:f>
      </x:c>
      <x:c r="AN125" s="204" t="str">
        <x:f>IFERROR(1-AL125/AM125,"")</x:f>
      </x:c>
      <x:c r="AO125" s="19" t="str">
        <x:v>https://www.hoszigetelesplaza.hu/eps-80-homlokzati-hoszigetelo-lemez-15-cm-vastag</x:v>
      </x:c>
      <x:c r="AP125" s="19" t="str">
        <x:v>2026 piaci becslés</x:v>
      </x:c>
      <x:c r="AQ125" s="19" t="str"/>
    </x:row>
    <x:row r="126">
      <x:c r="A126" s="19" t="str">
        <x:v>ANY-0125</x:v>
      </x:c>
      <x:c r="B126" s="19" t="str">
        <x:v>08 Szigetelés és homlokzat</x:v>
      </x:c>
      <x:c r="C126" s="19" t="str">
        <x:v>Hő-, víz- és homlokzati rendszer</x:v>
      </x:c>
      <x:c r="D126" s="19" t="str">
        <x:v>Mindegyik</x:v>
      </x:c>
      <x:c r="E126" s="19" t="str">
        <x:v>Élvédő hálóval</x:v>
      </x:c>
      <x:c r="F126" s="19" t="str">
        <x:v>PVC/alumínium</x:v>
      </x:c>
      <x:c r="G126" s="19" t="str">
        <x:v>fm</x:v>
      </x:c>
      <x:c r="H126" s="203" t="n">
        <x:v>480</x:v>
      </x:c>
      <x:c r="I126" s="204" t="n">
        <x:v>0.27</x:v>
      </x:c>
      <x:c r="J126" s="203" t="n">
        <x:f>IFERROR(H126/(1+I126),"")</x:f>
        <x:v>377.9527559055118</x:v>
      </x:c>
      <x:c r="K126" s="205" t="n">
        <x:v>0.18</x:v>
      </x:c>
      <x:c r="L126" s="203" t="n">
        <x:f>IFERROR(J126*(1-K126),"")</x:f>
        <x:v>309.9212598425197</x:v>
      </x:c>
      <x:c r="M126" s="19" t="str">
        <x:v>27% normál belföldi</x:v>
      </x:c>
      <x:c r="N126" s="204" t="n">
        <x:v>0.27</x:v>
      </x:c>
      <x:c r="O126" s="204" t="n">
        <x:v>0</x:v>
      </x:c>
      <x:c r="P126" s="19" t="str">
        <x:v>NEM</x:v>
      </x:c>
      <x:c r="Q126" s="203" t="n">
        <x:f>IFERROR(L126*(1+N126),"")</x:f>
        <x:v>393.6</x:v>
      </x:c>
      <x:c r="R126" s="205" t="n">
        <x:v>0.1</x:v>
      </x:c>
      <x:c r="S126" s="203" t="n">
        <x:f>IFERROR(Q126*(1+R126),"")</x:f>
        <x:v>432.96000000000004</x:v>
      </x:c>
      <x:c r="T126" s="206" t="n">
        <x:v>15</x:v>
      </x:c>
      <x:c r="U126" s="206" t="n">
        <x:v>0</x:v>
      </x:c>
      <x:c r="V126" s="203" t="n">
        <x:f>IFERROR(S126+T126+U126,"")</x:f>
        <x:v>447.96000000000004</x:v>
      </x:c>
      <x:c r="W126" s="203" t="n">
        <x:f>IFERROR(H126/(1+Anyag_Beallitasok!$B$2)*Anyag_Beallitasok!$B$9,"")</x:f>
        <x:v>457.1428571428571</x:v>
      </x:c>
      <x:c r="X126" s="203" t="n">
        <x:f>IFERROR(V126/((1-Anyag_Beallitasok!$B$3)*(1+Anyag_Beallitasok!$B$2)),"")</x:f>
        <x:v>656.3516483516484</x:v>
      </x:c>
      <x:c r="Y126" s="203" t="n">
        <x:f>IFERROR(V126/((1-Anyag_Beallitasok!$B$4)*(1+Anyag_Beallitasok!$B$2)),"")</x:f>
        <x:v>853.2571428571429</x:v>
      </x:c>
      <x:c r="Z126" s="203" t="n">
        <x:f>IFERROR(ROUNDUP(MAX(W126,X126)/Anyag_Beallitasok!$B$6,0)*Anyag_Beallitasok!$B$6,"")</x:f>
        <x:v>700</x:v>
      </x:c>
      <x:c r="AA126" s="204" t="n">
        <x:f>Anyag_Beallitasok!$B$2</x:f>
        <x:v>0.05</x:v>
      </x:c>
      <x:c r="AB126" s="203" t="n">
        <x:f>IFERROR(Z126*(1+AA126),"")</x:f>
        <x:v>735</x:v>
      </x:c>
      <x:c r="AC126" s="204" t="n">
        <x:f>IFERROR(1-V126/H126,"")</x:f>
        <x:v>0.06674999999999998</x:v>
      </x:c>
      <x:c r="AD126" s="204" t="n">
        <x:f>IFERROR(1-V126/AB126,"")</x:f>
        <x:v>0.39053061224489793</x:v>
      </x:c>
      <x:c r="AE126" s="19" t="str">
        <x:f>IF(AC126&lt;Anyag_Beallitasok!$B$3,"NEM ÉRI EL A 35%-OT",IF(AC126&lt;Anyag_Beallitasok!$B$4,"MINIMUM 35–49,9%",IF(AC126&lt;Anyag_Beallitasok!$B$5,"IDEÁLIS 50–59,9%","KIEMELKEDŐ ≥60%")))</x:f>
        <x:v>NEM ÉRI EL A 35%-OT</x:v>
      </x:c>
      <x:c r="AF126" s="204" t="n">
        <x:f>IFERROR(AB126/H126-1,"")</x:f>
        <x:v>0.53125</x:v>
      </x:c>
      <x:c r="AG126" s="19" t="str">
        <x:f>IF(AND(P126="IGEN",O126&gt;0),IF(AF126&gt;Anyag_Beallitasok!$B$10,"0%-OS SZÁMLA + ÖNADÓZÁS; FELÁR SZÜKSÉGES","0%-OS SZÁMLA + ÖNADÓZÁS"),IF(AF126&gt;Anyag_Beallitasok!$B$10,"FELÁR SZÜKSÉGES A 35%-HOZ",IF(AC126&lt;Anyag_Beallitasok!$B$3,"PIACI ÁRON NEM TARTHATÓ A 35%","OK")))</x:f>
        <x:v>FELÁR SZÜKSÉGES A 35%-HOZ</x:v>
      </x:c>
      <x:c r="AH126" s="207" t="n">
        <x:v>220</x:v>
      </x:c>
      <x:c r="AI126" s="207" t="n">
        <x:v>220</x:v>
      </x:c>
      <x:c r="AJ126" s="207" t="n">
        <x:v>220</x:v>
      </x:c>
      <x:c r="AK126" s="208"/>
      <x:c r="AL126" s="203" t="str">
        <x:f>IF(AK126="","",V126*AK126)</x:f>
      </x:c>
      <x:c r="AM126" s="203" t="str">
        <x:f>IF(AK126="","",AB126*AK126)</x:f>
      </x:c>
      <x:c r="AN126" s="204" t="str">
        <x:f>IFERROR(1-AL126/AM126,"")</x:f>
      </x:c>
      <x:c r="AO126" s="19" t="str">
        <x:v>https://www.hoszigetelesplaza.hu/eps-80-homlokzati-hoszigetelo-lemez-15-cm-vastag</x:v>
      </x:c>
      <x:c r="AP126" s="19" t="str">
        <x:v>2026 piaci becslés</x:v>
      </x:c>
      <x:c r="AQ126" s="19" t="str"/>
    </x:row>
    <x:row r="127">
      <x:c r="A127" s="19" t="str">
        <x:v>ANY-0126</x:v>
      </x:c>
      <x:c r="B127" s="19" t="str">
        <x:v>08 Szigetelés és homlokzat</x:v>
      </x:c>
      <x:c r="C127" s="19" t="str">
        <x:v>Hő-, víz- és homlokzati rendszer</x:v>
      </x:c>
      <x:c r="D127" s="19" t="str">
        <x:v>Mindegyik</x:v>
      </x:c>
      <x:c r="E127" s="19" t="str">
        <x:v>Ablakcsatlakozó profil hálóval</x:v>
      </x:c>
      <x:c r="F127" s="19" t="str">
        <x:v>ETICS</x:v>
      </x:c>
      <x:c r="G127" s="19" t="str">
        <x:v>fm</x:v>
      </x:c>
      <x:c r="H127" s="203" t="n">
        <x:v>1100</x:v>
      </x:c>
      <x:c r="I127" s="204" t="n">
        <x:v>0.27</x:v>
      </x:c>
      <x:c r="J127" s="203" t="n">
        <x:f>IFERROR(H127/(1+I127),"")</x:f>
        <x:v>866.1417322834645</x:v>
      </x:c>
      <x:c r="K127" s="205" t="n">
        <x:v>0.18</x:v>
      </x:c>
      <x:c r="L127" s="203" t="n">
        <x:f>IFERROR(J127*(1-K127),"")</x:f>
        <x:v>710.236220472441</x:v>
      </x:c>
      <x:c r="M127" s="19" t="str">
        <x:v>27% normál belföldi</x:v>
      </x:c>
      <x:c r="N127" s="204" t="n">
        <x:v>0.27</x:v>
      </x:c>
      <x:c r="O127" s="204" t="n">
        <x:v>0</x:v>
      </x:c>
      <x:c r="P127" s="19" t="str">
        <x:v>NEM</x:v>
      </x:c>
      <x:c r="Q127" s="203" t="n">
        <x:f>IFERROR(L127*(1+N127),"")</x:f>
        <x:v>902.0000000000001</x:v>
      </x:c>
      <x:c r="R127" s="205" t="n">
        <x:v>0.1</x:v>
      </x:c>
      <x:c r="S127" s="203" t="n">
        <x:f>IFERROR(Q127*(1+R127),"")</x:f>
        <x:v>992.2000000000002</x:v>
      </x:c>
      <x:c r="T127" s="206" t="n">
        <x:v>30</x:v>
      </x:c>
      <x:c r="U127" s="206" t="n">
        <x:v>0</x:v>
      </x:c>
      <x:c r="V127" s="203" t="n">
        <x:f>IFERROR(S127+T127+U127,"")</x:f>
        <x:v>1022.2000000000002</x:v>
      </x:c>
      <x:c r="W127" s="203" t="n">
        <x:f>IFERROR(H127/(1+Anyag_Beallitasok!$B$2)*Anyag_Beallitasok!$B$9,"")</x:f>
        <x:v>1047.6190476190475</x:v>
      </x:c>
      <x:c r="X127" s="203" t="n">
        <x:f>IFERROR(V127/((1-Anyag_Beallitasok!$B$3)*(1+Anyag_Beallitasok!$B$2)),"")</x:f>
        <x:v>1497.7289377289378</x:v>
      </x:c>
      <x:c r="Y127" s="203" t="n">
        <x:f>IFERROR(V127/((1-Anyag_Beallitasok!$B$4)*(1+Anyag_Beallitasok!$B$2)),"")</x:f>
        <x:v>1947.0476190476193</x:v>
      </x:c>
      <x:c r="Z127" s="203" t="n">
        <x:f>IFERROR(ROUNDUP(MAX(W127,X127)/Anyag_Beallitasok!$B$6,0)*Anyag_Beallitasok!$B$6,"")</x:f>
        <x:v>1500</x:v>
      </x:c>
      <x:c r="AA127" s="204" t="n">
        <x:f>Anyag_Beallitasok!$B$2</x:f>
        <x:v>0.05</x:v>
      </x:c>
      <x:c r="AB127" s="203" t="n">
        <x:f>IFERROR(Z127*(1+AA127),"")</x:f>
        <x:v>1575</x:v>
      </x:c>
      <x:c r="AC127" s="204" t="n">
        <x:f>IFERROR(1-V127/H127,"")</x:f>
        <x:v>0.07072727272727253</x:v>
      </x:c>
      <x:c r="AD127" s="204" t="n">
        <x:f>IFERROR(1-V127/AB127,"")</x:f>
        <x:v>0.35098412698412684</x:v>
      </x:c>
      <x:c r="AE127" s="19" t="str">
        <x:f>IF(AC127&lt;Anyag_Beallitasok!$B$3,"NEM ÉRI EL A 35%-OT",IF(AC127&lt;Anyag_Beallitasok!$B$4,"MINIMUM 35–49,9%",IF(AC127&lt;Anyag_Beallitasok!$B$5,"IDEÁLIS 50–59,9%","KIEMELKEDŐ ≥60%")))</x:f>
        <x:v>NEM ÉRI EL A 35%-OT</x:v>
      </x:c>
      <x:c r="AF127" s="204" t="n">
        <x:f>IFERROR(AB127/H127-1,"")</x:f>
        <x:v>0.4318181818181819</x:v>
      </x:c>
      <x:c r="AG127" s="19" t="str">
        <x:f>IF(AND(P127="IGEN",O127&gt;0),IF(AF127&gt;Anyag_Beallitasok!$B$10,"0%-OS SZÁMLA + ÖNADÓZÁS; FELÁR SZÜKSÉGES","0%-OS SZÁMLA + ÖNADÓZÁS"),IF(AF127&gt;Anyag_Beallitasok!$B$10,"FELÁR SZÜKSÉGES A 35%-HOZ",IF(AC127&lt;Anyag_Beallitasok!$B$3,"PIACI ÁRON NEM TARTHATÓ A 35%","OK")))</x:f>
        <x:v>FELÁR SZÜKSÉGES A 35%-HOZ</x:v>
      </x:c>
      <x:c r="AH127" s="207" t="n">
        <x:v>150</x:v>
      </x:c>
      <x:c r="AI127" s="207" t="n">
        <x:v>150</x:v>
      </x:c>
      <x:c r="AJ127" s="207" t="n">
        <x:v>150</x:v>
      </x:c>
      <x:c r="AK127" s="208"/>
      <x:c r="AL127" s="203" t="str">
        <x:f>IF(AK127="","",V127*AK127)</x:f>
      </x:c>
      <x:c r="AM127" s="203" t="str">
        <x:f>IF(AK127="","",AB127*AK127)</x:f>
      </x:c>
      <x:c r="AN127" s="204" t="str">
        <x:f>IFERROR(1-AL127/AM127,"")</x:f>
      </x:c>
      <x:c r="AO127" s="19" t="str">
        <x:v>https://www.hoszigetelesplaza.hu/eps-80-homlokzati-hoszigetelo-lemez-15-cm-vastag</x:v>
      </x:c>
      <x:c r="AP127" s="19" t="str">
        <x:v>2026 piaci becslés</x:v>
      </x:c>
      <x:c r="AQ127" s="19" t="str"/>
    </x:row>
    <x:row r="128">
      <x:c r="A128" s="19" t="str">
        <x:v>ANY-0127</x:v>
      </x:c>
      <x:c r="B128" s="19" t="str">
        <x:v>08 Szigetelés és homlokzat</x:v>
      </x:c>
      <x:c r="C128" s="19" t="str">
        <x:v>Hő-, víz- és homlokzati rendszer</x:v>
      </x:c>
      <x:c r="D128" s="19" t="str">
        <x:v>Mindegyik</x:v>
      </x:c>
      <x:c r="E128" s="19" t="str">
        <x:v>Bitumenes lemez GV35</x:v>
      </x:c>
      <x:c r="F128" s="19" t="str">
        <x:v>talajnedvesség ellen</x:v>
      </x:c>
      <x:c r="G128" s="19" t="str">
        <x:v>m²</x:v>
      </x:c>
      <x:c r="H128" s="203" t="n">
        <x:v>2600</x:v>
      </x:c>
      <x:c r="I128" s="204" t="n">
        <x:v>0.27</x:v>
      </x:c>
      <x:c r="J128" s="203" t="n">
        <x:f>IFERROR(H128/(1+I128),"")</x:f>
        <x:v>2047.244094488189</x:v>
      </x:c>
      <x:c r="K128" s="205" t="n">
        <x:v>0.18</x:v>
      </x:c>
      <x:c r="L128" s="203" t="n">
        <x:f>IFERROR(J128*(1-K128),"")</x:f>
        <x:v>1678.740157480315</x:v>
      </x:c>
      <x:c r="M128" s="19" t="str">
        <x:v>27% normál belföldi</x:v>
      </x:c>
      <x:c r="N128" s="204" t="n">
        <x:v>0.27</x:v>
      </x:c>
      <x:c r="O128" s="204" t="n">
        <x:v>0</x:v>
      </x:c>
      <x:c r="P128" s="19" t="str">
        <x:v>NEM</x:v>
      </x:c>
      <x:c r="Q128" s="203" t="n">
        <x:f>IFERROR(L128*(1+N128),"")</x:f>
        <x:v>2132</x:v>
      </x:c>
      <x:c r="R128" s="205" t="n">
        <x:v>0.1</x:v>
      </x:c>
      <x:c r="S128" s="203" t="n">
        <x:f>IFERROR(Q128*(1+R128),"")</x:f>
        <x:v>2345.2000000000003</x:v>
      </x:c>
      <x:c r="T128" s="206" t="n">
        <x:v>100</x:v>
      </x:c>
      <x:c r="U128" s="206" t="n">
        <x:v>0</x:v>
      </x:c>
      <x:c r="V128" s="203" t="n">
        <x:f>IFERROR(S128+T128+U128,"")</x:f>
        <x:v>2445.2000000000003</x:v>
      </x:c>
      <x:c r="W128" s="203" t="n">
        <x:f>IFERROR(H128/(1+Anyag_Beallitasok!$B$2)*Anyag_Beallitasok!$B$9,"")</x:f>
        <x:v>2476.190476190476</x:v>
      </x:c>
      <x:c r="X128" s="203" t="n">
        <x:f>IFERROR(V128/((1-Anyag_Beallitasok!$B$3)*(1+Anyag_Beallitasok!$B$2)),"")</x:f>
        <x:v>3582.7106227106224</x:v>
      </x:c>
      <x:c r="Y128" s="203" t="n">
        <x:f>IFERROR(V128/((1-Anyag_Beallitasok!$B$4)*(1+Anyag_Beallitasok!$B$2)),"")</x:f>
        <x:v>4657.52380952381</x:v>
      </x:c>
      <x:c r="Z128" s="203" t="n">
        <x:f>IFERROR(ROUNDUP(MAX(W128,X128)/Anyag_Beallitasok!$B$6,0)*Anyag_Beallitasok!$B$6,"")</x:f>
        <x:v>3600</x:v>
      </x:c>
      <x:c r="AA128" s="204" t="n">
        <x:f>Anyag_Beallitasok!$B$2</x:f>
        <x:v>0.05</x:v>
      </x:c>
      <x:c r="AB128" s="203" t="n">
        <x:f>IFERROR(Z128*(1+AA128),"")</x:f>
        <x:v>3780</x:v>
      </x:c>
      <x:c r="AC128" s="204" t="n">
        <x:f>IFERROR(1-V128/H128,"")</x:f>
        <x:v>0.05953846153846143</x:v>
      </x:c>
      <x:c r="AD128" s="204" t="n">
        <x:f>IFERROR(1-V128/AB128,"")</x:f>
        <x:v>0.35312169312169306</x:v>
      </x:c>
      <x:c r="AE128" s="19" t="str">
        <x:f>IF(AC128&lt;Anyag_Beallitasok!$B$3,"NEM ÉRI EL A 35%-OT",IF(AC128&lt;Anyag_Beallitasok!$B$4,"MINIMUM 35–49,9%",IF(AC128&lt;Anyag_Beallitasok!$B$5,"IDEÁLIS 50–59,9%","KIEMELKEDŐ ≥60%")))</x:f>
        <x:v>NEM ÉRI EL A 35%-OT</x:v>
      </x:c>
      <x:c r="AF128" s="204" t="n">
        <x:f>IFERROR(AB128/H128-1,"")</x:f>
        <x:v>0.4538461538461538</x:v>
      </x:c>
      <x:c r="AG128" s="19" t="str">
        <x:f>IF(AND(P128="IGEN",O128&gt;0),IF(AF128&gt;Anyag_Beallitasok!$B$10,"0%-OS SZÁMLA + ÖNADÓZÁS; FELÁR SZÜKSÉGES","0%-OS SZÁMLA + ÖNADÓZÁS"),IF(AF128&gt;Anyag_Beallitasok!$B$10,"FELÁR SZÜKSÉGES A 35%-HOZ",IF(AC128&lt;Anyag_Beallitasok!$B$3,"PIACI ÁRON NEM TARTHATÓ A 35%","OK")))</x:f>
        <x:v>FELÁR SZÜKSÉGES A 35%-HOZ</x:v>
      </x:c>
      <x:c r="AH128" s="207" t="n">
        <x:v>170</x:v>
      </x:c>
      <x:c r="AI128" s="207" t="n">
        <x:v>170</x:v>
      </x:c>
      <x:c r="AJ128" s="207" t="n">
        <x:v>170</x:v>
      </x:c>
      <x:c r="AK128" s="208"/>
      <x:c r="AL128" s="203" t="str">
        <x:f>IF(AK128="","",V128*AK128)</x:f>
      </x:c>
      <x:c r="AM128" s="203" t="str">
        <x:f>IF(AK128="","",AB128*AK128)</x:f>
      </x:c>
      <x:c r="AN128" s="204" t="str">
        <x:f>IFERROR(1-AL128/AM128,"")</x:f>
      </x:c>
      <x:c r="AO128" s="19" t="str">
        <x:v>https://www.winklertuzep.hu/arlista-web/porterm%C3%A9kek</x:v>
      </x:c>
      <x:c r="AP128" s="19" t="str">
        <x:v>2026 piaci becslés</x:v>
      </x:c>
      <x:c r="AQ128" s="19" t="str"/>
    </x:row>
    <x:row r="129">
      <x:c r="A129" s="19" t="str">
        <x:v>ANY-0128</x:v>
      </x:c>
      <x:c r="B129" s="19" t="str">
        <x:v>08 Szigetelés és homlokzat</x:v>
      </x:c>
      <x:c r="C129" s="19" t="str">
        <x:v>Hő-, víz- és homlokzati rendszer</x:v>
      </x:c>
      <x:c r="D129" s="19" t="str">
        <x:v>Mindegyik</x:v>
      </x:c>
      <x:c r="E129" s="19" t="str">
        <x:v>Modifikált bitumenes lemez</x:v>
      </x:c>
      <x:c r="F129" s="19" t="str">
        <x:v>lapostető/alap</x:v>
      </x:c>
      <x:c r="G129" s="19" t="str">
        <x:v>m²</x:v>
      </x:c>
      <x:c r="H129" s="203" t="n">
        <x:v>4500</x:v>
      </x:c>
      <x:c r="I129" s="204" t="n">
        <x:v>0.27</x:v>
      </x:c>
      <x:c r="J129" s="203" t="n">
        <x:f>IFERROR(H129/(1+I129),"")</x:f>
        <x:v>3543.3070866141734</x:v>
      </x:c>
      <x:c r="K129" s="205" t="n">
        <x:v>0.18</x:v>
      </x:c>
      <x:c r="L129" s="203" t="n">
        <x:f>IFERROR(J129*(1-K129),"")</x:f>
        <x:v>2905.5118110236226</x:v>
      </x:c>
      <x:c r="M129" s="19" t="str">
        <x:v>27% normál belföldi</x:v>
      </x:c>
      <x:c r="N129" s="204" t="n">
        <x:v>0.27</x:v>
      </x:c>
      <x:c r="O129" s="204" t="n">
        <x:v>0</x:v>
      </x:c>
      <x:c r="P129" s="19" t="str">
        <x:v>NEM</x:v>
      </x:c>
      <x:c r="Q129" s="203" t="n">
        <x:f>IFERROR(L129*(1+N129),"")</x:f>
        <x:v>3690.000000000001</x:v>
      </x:c>
      <x:c r="R129" s="205" t="n">
        <x:v>0.1</x:v>
      </x:c>
      <x:c r="S129" s="203" t="n">
        <x:f>IFERROR(Q129*(1+R129),"")</x:f>
        <x:v>4059.0000000000014</x:v>
      </x:c>
      <x:c r="T129" s="206" t="n">
        <x:v>130</x:v>
      </x:c>
      <x:c r="U129" s="206" t="n">
        <x:v>0</x:v>
      </x:c>
      <x:c r="V129" s="203" t="n">
        <x:f>IFERROR(S129+T129+U129,"")</x:f>
        <x:v>4189.000000000002</x:v>
      </x:c>
      <x:c r="W129" s="203" t="n">
        <x:f>IFERROR(H129/(1+Anyag_Beallitasok!$B$2)*Anyag_Beallitasok!$B$9,"")</x:f>
        <x:v>4285.714285714285</x:v>
      </x:c>
      <x:c r="X129" s="203" t="n">
        <x:f>IFERROR(V129/((1-Anyag_Beallitasok!$B$3)*(1+Anyag_Beallitasok!$B$2)),"")</x:f>
        <x:v>6137.72893772894</x:v>
      </x:c>
      <x:c r="Y129" s="203" t="n">
        <x:f>IFERROR(V129/((1-Anyag_Beallitasok!$B$4)*(1+Anyag_Beallitasok!$B$2)),"")</x:f>
        <x:v>7979.047619047622</x:v>
      </x:c>
      <x:c r="Z129" s="203" t="n">
        <x:f>IFERROR(ROUNDUP(MAX(W129,X129)/Anyag_Beallitasok!$B$6,0)*Anyag_Beallitasok!$B$6,"")</x:f>
        <x:v>6150</x:v>
      </x:c>
      <x:c r="AA129" s="204" t="n">
        <x:f>Anyag_Beallitasok!$B$2</x:f>
        <x:v>0.05</x:v>
      </x:c>
      <x:c r="AB129" s="203" t="n">
        <x:f>IFERROR(Z129*(1+AA129),"")</x:f>
        <x:v>6457.5</x:v>
      </x:c>
      <x:c r="AC129" s="204" t="n">
        <x:f>IFERROR(1-V129/H129,"")</x:f>
        <x:v>0.06911111111111068</x:v>
      </x:c>
      <x:c r="AD129" s="204" t="n">
        <x:f>IFERROR(1-V129/AB129,"")</x:f>
        <x:v>0.3512969415408437</x:v>
      </x:c>
      <x:c r="AE129" s="19" t="str">
        <x:f>IF(AC129&lt;Anyag_Beallitasok!$B$3,"NEM ÉRI EL A 35%-OT",IF(AC129&lt;Anyag_Beallitasok!$B$4,"MINIMUM 35–49,9%",IF(AC129&lt;Anyag_Beallitasok!$B$5,"IDEÁLIS 50–59,9%","KIEMELKEDŐ ≥60%")))</x:f>
        <x:v>NEM ÉRI EL A 35%-OT</x:v>
      </x:c>
      <x:c r="AF129" s="204" t="n">
        <x:f>IFERROR(AB129/H129-1,"")</x:f>
        <x:v>0.43500000000000005</x:v>
      </x:c>
      <x:c r="AG129" s="19" t="str">
        <x:f>IF(AND(P129="IGEN",O129&gt;0),IF(AF129&gt;Anyag_Beallitasok!$B$10,"0%-OS SZÁMLA + ÖNADÓZÁS; FELÁR SZÜKSÉGES","0%-OS SZÁMLA + ÖNADÓZÁS"),IF(AF129&gt;Anyag_Beallitasok!$B$10,"FELÁR SZÜKSÉGES A 35%-HOZ",IF(AC129&lt;Anyag_Beallitasok!$B$3,"PIACI ÁRON NEM TARTHATÓ A 35%","OK")))</x:f>
        <x:v>FELÁR SZÜKSÉGES A 35%-HOZ</x:v>
      </x:c>
      <x:c r="AH129" s="207" t="n">
        <x:v>0</x:v>
      </x:c>
      <x:c r="AI129" s="207" t="n">
        <x:v>0</x:v>
      </x:c>
      <x:c r="AJ129" s="207" t="n">
        <x:v>0</x:v>
      </x:c>
      <x:c r="AK129" s="208"/>
      <x:c r="AL129" s="203" t="str">
        <x:f>IF(AK129="","",V129*AK129)</x:f>
      </x:c>
      <x:c r="AM129" s="203" t="str">
        <x:f>IF(AK129="","",AB129*AK129)</x:f>
      </x:c>
      <x:c r="AN129" s="204" t="str">
        <x:f>IFERROR(1-AL129/AM129,"")</x:f>
      </x:c>
      <x:c r="AO129" s="19" t="str">
        <x:v>https://www.winklertuzep.hu/arlista-web/porterm%C3%A9kek</x:v>
      </x:c>
      <x:c r="AP129" s="19" t="str">
        <x:v>2026 piaci becslés</x:v>
      </x:c>
      <x:c r="AQ129" s="19" t="str"/>
    </x:row>
    <x:row r="130">
      <x:c r="A130" s="19" t="str">
        <x:v>ANY-0129</x:v>
      </x:c>
      <x:c r="B130" s="19" t="str">
        <x:v>08 Szigetelés és homlokzat</x:v>
      </x:c>
      <x:c r="C130" s="19" t="str">
        <x:v>Hő-, víz- és homlokzati rendszer</x:v>
      </x:c>
      <x:c r="D130" s="19" t="str">
        <x:v>Mindegyik</x:v>
      </x:c>
      <x:c r="E130" s="19" t="str">
        <x:v>Bitumenes alapozó</x:v>
      </x:c>
      <x:c r="F130" s="19" t="str">
        <x:v>10 l</x:v>
      </x:c>
      <x:c r="G130" s="19" t="str">
        <x:v>liter</x:v>
      </x:c>
      <x:c r="H130" s="203" t="n">
        <x:v>1350</x:v>
      </x:c>
      <x:c r="I130" s="204" t="n">
        <x:v>0.27</x:v>
      </x:c>
      <x:c r="J130" s="203" t="n">
        <x:f>IFERROR(H130/(1+I130),"")</x:f>
        <x:v>1062.992125984252</x:v>
      </x:c>
      <x:c r="K130" s="205" t="n">
        <x:v>0.18</x:v>
      </x:c>
      <x:c r="L130" s="203" t="n">
        <x:f>IFERROR(J130*(1-K130),"")</x:f>
        <x:v>871.6535433070867</x:v>
      </x:c>
      <x:c r="M130" s="19" t="str">
        <x:v>27% normál belföldi</x:v>
      </x:c>
      <x:c r="N130" s="204" t="n">
        <x:v>0.27</x:v>
      </x:c>
      <x:c r="O130" s="204" t="n">
        <x:v>0</x:v>
      </x:c>
      <x:c r="P130" s="19" t="str">
        <x:v>NEM</x:v>
      </x:c>
      <x:c r="Q130" s="203" t="n">
        <x:f>IFERROR(L130*(1+N130),"")</x:f>
        <x:v>1107.0000000000002</x:v>
      </x:c>
      <x:c r="R130" s="205" t="n">
        <x:v>0.08</x:v>
      </x:c>
      <x:c r="S130" s="203" t="n">
        <x:f>IFERROR(Q130*(1+R130),"")</x:f>
        <x:v>1195.5600000000004</x:v>
      </x:c>
      <x:c r="T130" s="206" t="n">
        <x:v>40</x:v>
      </x:c>
      <x:c r="U130" s="206" t="n">
        <x:v>0</x:v>
      </x:c>
      <x:c r="V130" s="203" t="n">
        <x:f>IFERROR(S130+T130+U130,"")</x:f>
        <x:v>1235.5600000000004</x:v>
      </x:c>
      <x:c r="W130" s="203" t="n">
        <x:f>IFERROR(H130/(1+Anyag_Beallitasok!$B$2)*Anyag_Beallitasok!$B$9,"")</x:f>
        <x:v>1285.7142857142856</x:v>
      </x:c>
      <x:c r="X130" s="203" t="n">
        <x:f>IFERROR(V130/((1-Anyag_Beallitasok!$B$3)*(1+Anyag_Beallitasok!$B$2)),"")</x:f>
        <x:v>1810.3443223443226</x:v>
      </x:c>
      <x:c r="Y130" s="203" t="n">
        <x:f>IFERROR(V130/((1-Anyag_Beallitasok!$B$4)*(1+Anyag_Beallitasok!$B$2)),"")</x:f>
        <x:v>2353.44761904762</x:v>
      </x:c>
      <x:c r="Z130" s="203" t="n">
        <x:f>IFERROR(ROUNDUP(MAX(W130,X130)/Anyag_Beallitasok!$B$6,0)*Anyag_Beallitasok!$B$6,"")</x:f>
        <x:v>1850</x:v>
      </x:c>
      <x:c r="AA130" s="204" t="n">
        <x:f>Anyag_Beallitasok!$B$2</x:f>
        <x:v>0.05</x:v>
      </x:c>
      <x:c r="AB130" s="203" t="n">
        <x:f>IFERROR(Z130*(1+AA130),"")</x:f>
        <x:v>1942.5</x:v>
      </x:c>
      <x:c r="AC130" s="204" t="n">
        <x:f>IFERROR(1-V130/H130,"")</x:f>
        <x:v>0.08477037037037005</x:v>
      </x:c>
      <x:c r="AD130" s="204" t="n">
        <x:f>IFERROR(1-V130/AB130,"")</x:f>
        <x:v>0.3639330759330758</x:v>
      </x:c>
      <x:c r="AE130" s="19" t="str">
        <x:f>IF(AC130&lt;Anyag_Beallitasok!$B$3,"NEM ÉRI EL A 35%-OT",IF(AC130&lt;Anyag_Beallitasok!$B$4,"MINIMUM 35–49,9%",IF(AC130&lt;Anyag_Beallitasok!$B$5,"IDEÁLIS 50–59,9%","KIEMELKEDŐ ≥60%")))</x:f>
        <x:v>NEM ÉRI EL A 35%-OT</x:v>
      </x:c>
      <x:c r="AF130" s="204" t="n">
        <x:f>IFERROR(AB130/H130-1,"")</x:f>
        <x:v>0.4388888888888889</x:v>
      </x:c>
      <x:c r="AG130" s="19" t="str">
        <x:f>IF(AND(P130="IGEN",O130&gt;0),IF(AF130&gt;Anyag_Beallitasok!$B$10,"0%-OS SZÁMLA + ÖNADÓZÁS; FELÁR SZÜKSÉGES","0%-OS SZÁMLA + ÖNADÓZÁS"),IF(AF130&gt;Anyag_Beallitasok!$B$10,"FELÁR SZÜKSÉGES A 35%-HOZ",IF(AC130&lt;Anyag_Beallitasok!$B$3,"PIACI ÁRON NEM TARTHATÓ A 35%","OK")))</x:f>
        <x:v>FELÁR SZÜKSÉGES A 35%-HOZ</x:v>
      </x:c>
      <x:c r="AH130" s="207" t="n">
        <x:v>40</x:v>
      </x:c>
      <x:c r="AI130" s="207" t="n">
        <x:v>40</x:v>
      </x:c>
      <x:c r="AJ130" s="207" t="n">
        <x:v>40</x:v>
      </x:c>
      <x:c r="AK130" s="208"/>
      <x:c r="AL130" s="203" t="str">
        <x:f>IF(AK130="","",V130*AK130)</x:f>
      </x:c>
      <x:c r="AM130" s="203" t="str">
        <x:f>IF(AK130="","",AB130*AK130)</x:f>
      </x:c>
      <x:c r="AN130" s="204" t="str">
        <x:f>IFERROR(1-AL130/AM130,"")</x:f>
      </x:c>
      <x:c r="AO130" s="19" t="str">
        <x:v>https://www.winklertuzep.hu/arlista-web/porterm%C3%A9kek</x:v>
      </x:c>
      <x:c r="AP130" s="19" t="str">
        <x:v>2026 piaci becslés</x:v>
      </x:c>
      <x:c r="AQ130" s="19" t="str"/>
    </x:row>
    <x:row r="131">
      <x:c r="A131" s="19" t="str">
        <x:v>ANY-0130</x:v>
      </x:c>
      <x:c r="B131" s="19" t="str">
        <x:v>08 Szigetelés és homlokzat</x:v>
      </x:c>
      <x:c r="C131" s="19" t="str">
        <x:v>Hő-, víz- és homlokzati rendszer</x:v>
      </x:c>
      <x:c r="D131" s="19" t="str">
        <x:v>Mindegyik</x:v>
      </x:c>
      <x:c r="E131" s="19" t="str">
        <x:v>Kent vízszigetelés</x:v>
      </x:c>
      <x:c r="F131" s="19" t="str">
        <x:v>fürdőszoba, 2K</x:v>
      </x:c>
      <x:c r="G131" s="19" t="str">
        <x:v>kg</x:v>
      </x:c>
      <x:c r="H131" s="203" t="n">
        <x:v>2100</x:v>
      </x:c>
      <x:c r="I131" s="204" t="n">
        <x:v>0.27</x:v>
      </x:c>
      <x:c r="J131" s="203" t="n">
        <x:f>IFERROR(H131/(1+I131),"")</x:f>
        <x:v>1653.543307086614</x:v>
      </x:c>
      <x:c r="K131" s="205" t="n">
        <x:v>0.18</x:v>
      </x:c>
      <x:c r="L131" s="203" t="n">
        <x:f>IFERROR(J131*(1-K131),"")</x:f>
        <x:v>1355.9055118110236</x:v>
      </x:c>
      <x:c r="M131" s="19" t="str">
        <x:v>27% normál belföldi</x:v>
      </x:c>
      <x:c r="N131" s="204" t="n">
        <x:v>0.27</x:v>
      </x:c>
      <x:c r="O131" s="204" t="n">
        <x:v>0</x:v>
      </x:c>
      <x:c r="P131" s="19" t="str">
        <x:v>NEM</x:v>
      </x:c>
      <x:c r="Q131" s="203" t="n">
        <x:f>IFERROR(L131*(1+N131),"")</x:f>
        <x:v>1722</x:v>
      </x:c>
      <x:c r="R131" s="205" t="n">
        <x:v>0.1</x:v>
      </x:c>
      <x:c r="S131" s="203" t="n">
        <x:f>IFERROR(Q131*(1+R131),"")</x:f>
        <x:v>1894.2</x:v>
      </x:c>
      <x:c r="T131" s="206" t="n">
        <x:v>50</x:v>
      </x:c>
      <x:c r="U131" s="206" t="n">
        <x:v>0</x:v>
      </x:c>
      <x:c r="V131" s="203" t="n">
        <x:f>IFERROR(S131+T131+U131,"")</x:f>
        <x:v>1944.2</x:v>
      </x:c>
      <x:c r="W131" s="203" t="n">
        <x:f>IFERROR(H131/(1+Anyag_Beallitasok!$B$2)*Anyag_Beallitasok!$B$9,"")</x:f>
        <x:v>2000</x:v>
      </x:c>
      <x:c r="X131" s="203" t="n">
        <x:f>IFERROR(V131/((1-Anyag_Beallitasok!$B$3)*(1+Anyag_Beallitasok!$B$2)),"")</x:f>
        <x:v>2848.6446886446884</x:v>
      </x:c>
      <x:c r="Y131" s="203" t="n">
        <x:f>IFERROR(V131/((1-Anyag_Beallitasok!$B$4)*(1+Anyag_Beallitasok!$B$2)),"")</x:f>
        <x:v>3703.238095238095</x:v>
      </x:c>
      <x:c r="Z131" s="203" t="n">
        <x:f>IFERROR(ROUNDUP(MAX(W131,X131)/Anyag_Beallitasok!$B$6,0)*Anyag_Beallitasok!$B$6,"")</x:f>
        <x:v>2850</x:v>
      </x:c>
      <x:c r="AA131" s="204" t="n">
        <x:f>Anyag_Beallitasok!$B$2</x:f>
        <x:v>0.05</x:v>
      </x:c>
      <x:c r="AB131" s="203" t="n">
        <x:f>IFERROR(Z131*(1+AA131),"")</x:f>
        <x:v>2992.5</x:v>
      </x:c>
      <x:c r="AC131" s="204" t="n">
        <x:f>IFERROR(1-V131/H131,"")</x:f>
        <x:v>0.07419047619047614</x:v>
      </x:c>
      <x:c r="AD131" s="204" t="n">
        <x:f>IFERROR(1-V131/AB131,"")</x:f>
        <x:v>0.3503091060985798</x:v>
      </x:c>
      <x:c r="AE131" s="19" t="str">
        <x:f>IF(AC131&lt;Anyag_Beallitasok!$B$3,"NEM ÉRI EL A 35%-OT",IF(AC131&lt;Anyag_Beallitasok!$B$4,"MINIMUM 35–49,9%",IF(AC131&lt;Anyag_Beallitasok!$B$5,"IDEÁLIS 50–59,9%","KIEMELKEDŐ ≥60%")))</x:f>
        <x:v>NEM ÉRI EL A 35%-OT</x:v>
      </x:c>
      <x:c r="AF131" s="204" t="n">
        <x:f>IFERROR(AB131/H131-1,"")</x:f>
        <x:v>0.42500000000000004</x:v>
      </x:c>
      <x:c r="AG131" s="19" t="str">
        <x:f>IF(AND(P131="IGEN",O131&gt;0),IF(AF131&gt;Anyag_Beallitasok!$B$10,"0%-OS SZÁMLA + ÖNADÓZÁS; FELÁR SZÜKSÉGES","0%-OS SZÁMLA + ÖNADÓZÁS"),IF(AF131&gt;Anyag_Beallitasok!$B$10,"FELÁR SZÜKSÉGES A 35%-HOZ",IF(AC131&lt;Anyag_Beallitasok!$B$3,"PIACI ÁRON NEM TARTHATÓ A 35%","OK")))</x:f>
        <x:v>FELÁR SZÜKSÉGES A 35%-HOZ</x:v>
      </x:c>
      <x:c r="AH131" s="207" t="n">
        <x:v>110</x:v>
      </x:c>
      <x:c r="AI131" s="207" t="n">
        <x:v>110</x:v>
      </x:c>
      <x:c r="AJ131" s="207" t="n">
        <x:v>110</x:v>
      </x:c>
      <x:c r="AK131" s="208"/>
      <x:c r="AL131" s="203" t="str">
        <x:f>IF(AK131="","",V131*AK131)</x:f>
      </x:c>
      <x:c r="AM131" s="203" t="str">
        <x:f>IF(AK131="","",AB131*AK131)</x:f>
      </x:c>
      <x:c r="AN131" s="204" t="str">
        <x:f>IFERROR(1-AL131/AM131,"")</x:f>
      </x:c>
      <x:c r="AO131" s="19" t="str">
        <x:v>https://www.szaboepitoanyag.hu/index.php?kat=8&amp;page=termek</x:v>
      </x:c>
      <x:c r="AP131" s="19" t="str">
        <x:v>2026 piaci becslés</x:v>
      </x:c>
      <x:c r="AQ131" s="19" t="str"/>
    </x:row>
    <x:row r="132">
      <x:c r="A132" s="19" t="str">
        <x:v>ANY-0131</x:v>
      </x:c>
      <x:c r="B132" s="19" t="str">
        <x:v>08 Szigetelés és homlokzat</x:v>
      </x:c>
      <x:c r="C132" s="19" t="str">
        <x:v>Hő-, víz- és homlokzati rendszer</x:v>
      </x:c>
      <x:c r="D132" s="19" t="str">
        <x:v>Mindegyik</x:v>
      </x:c>
      <x:c r="E132" s="19" t="str">
        <x:v>Hajlaterősítő szalag</x:v>
      </x:c>
      <x:c r="F132" s="19" t="str">
        <x:v>kent szigeteléshez</x:v>
      </x:c>
      <x:c r="G132" s="19" t="str">
        <x:v>fm</x:v>
      </x:c>
      <x:c r="H132" s="203" t="n">
        <x:v>950</x:v>
      </x:c>
      <x:c r="I132" s="204" t="n">
        <x:v>0.27</x:v>
      </x:c>
      <x:c r="J132" s="203" t="n">
        <x:f>IFERROR(H132/(1+I132),"")</x:f>
        <x:v>748.0314960629921</x:v>
      </x:c>
      <x:c r="K132" s="205" t="n">
        <x:v>0.18</x:v>
      </x:c>
      <x:c r="L132" s="203" t="n">
        <x:f>IFERROR(J132*(1-K132),"")</x:f>
        <x:v>613.3858267716536</x:v>
      </x:c>
      <x:c r="M132" s="19" t="str">
        <x:v>27% normál belföldi</x:v>
      </x:c>
      <x:c r="N132" s="204" t="n">
        <x:v>0.27</x:v>
      </x:c>
      <x:c r="O132" s="204" t="n">
        <x:v>0</x:v>
      </x:c>
      <x:c r="P132" s="19" t="str">
        <x:v>NEM</x:v>
      </x:c>
      <x:c r="Q132" s="203" t="n">
        <x:f>IFERROR(L132*(1+N132),"")</x:f>
        <x:v>779</x:v>
      </x:c>
      <x:c r="R132" s="205" t="n">
        <x:v>0.1</x:v>
      </x:c>
      <x:c r="S132" s="203" t="n">
        <x:f>IFERROR(Q132*(1+R132),"")</x:f>
        <x:v>856.9000000000001</x:v>
      </x:c>
      <x:c r="T132" s="206" t="n">
        <x:v>25</x:v>
      </x:c>
      <x:c r="U132" s="206" t="n">
        <x:v>0</x:v>
      </x:c>
      <x:c r="V132" s="203" t="n">
        <x:f>IFERROR(S132+T132+U132,"")</x:f>
        <x:v>881.9000000000001</x:v>
      </x:c>
      <x:c r="W132" s="203" t="n">
        <x:f>IFERROR(H132/(1+Anyag_Beallitasok!$B$2)*Anyag_Beallitasok!$B$9,"")</x:f>
        <x:v>904.7619047619047</x:v>
      </x:c>
      <x:c r="X132" s="203" t="n">
        <x:f>IFERROR(V132/((1-Anyag_Beallitasok!$B$3)*(1+Anyag_Beallitasok!$B$2)),"")</x:f>
        <x:v>1292.161172161172</x:v>
      </x:c>
      <x:c r="Y132" s="203" t="n">
        <x:f>IFERROR(V132/((1-Anyag_Beallitasok!$B$4)*(1+Anyag_Beallitasok!$B$2)),"")</x:f>
        <x:v>1679.8095238095239</x:v>
      </x:c>
      <x:c r="Z132" s="203" t="n">
        <x:f>IFERROR(ROUNDUP(MAX(W132,X132)/Anyag_Beallitasok!$B$6,0)*Anyag_Beallitasok!$B$6,"")</x:f>
        <x:v>1300</x:v>
      </x:c>
      <x:c r="AA132" s="204" t="n">
        <x:f>Anyag_Beallitasok!$B$2</x:f>
        <x:v>0.05</x:v>
      </x:c>
      <x:c r="AB132" s="203" t="n">
        <x:f>IFERROR(Z132*(1+AA132),"")</x:f>
        <x:v>1365</x:v>
      </x:c>
      <x:c r="AC132" s="204" t="n">
        <x:f>IFERROR(1-V132/H132,"")</x:f>
        <x:v>0.07168421052631568</x:v>
      </x:c>
      <x:c r="AD132" s="204" t="n">
        <x:f>IFERROR(1-V132/AB132,"")</x:f>
        <x:v>0.35391941391941384</x:v>
      </x:c>
      <x:c r="AE132" s="19" t="str">
        <x:f>IF(AC132&lt;Anyag_Beallitasok!$B$3,"NEM ÉRI EL A 35%-OT",IF(AC132&lt;Anyag_Beallitasok!$B$4,"MINIMUM 35–49,9%",IF(AC132&lt;Anyag_Beallitasok!$B$5,"IDEÁLIS 50–59,9%","KIEMELKEDŐ ≥60%")))</x:f>
        <x:v>NEM ÉRI EL A 35%-OT</x:v>
      </x:c>
      <x:c r="AF132" s="204" t="n">
        <x:f>IFERROR(AB132/H132-1,"")</x:f>
        <x:v>0.4368421052631579</x:v>
      </x:c>
      <x:c r="AG132" s="19" t="str">
        <x:f>IF(AND(P132="IGEN",O132&gt;0),IF(AF132&gt;Anyag_Beallitasok!$B$10,"0%-OS SZÁMLA + ÖNADÓZÁS; FELÁR SZÜKSÉGES","0%-OS SZÁMLA + ÖNADÓZÁS"),IF(AF132&gt;Anyag_Beallitasok!$B$10,"FELÁR SZÜKSÉGES A 35%-HOZ",IF(AC132&lt;Anyag_Beallitasok!$B$3,"PIACI ÁRON NEM TARTHATÓ A 35%","OK")))</x:f>
        <x:v>FELÁR SZÜKSÉGES A 35%-HOZ</x:v>
      </x:c>
      <x:c r="AH132" s="207" t="n">
        <x:v>120</x:v>
      </x:c>
      <x:c r="AI132" s="207" t="n">
        <x:v>120</x:v>
      </x:c>
      <x:c r="AJ132" s="207" t="n">
        <x:v>120</x:v>
      </x:c>
      <x:c r="AK132" s="208"/>
      <x:c r="AL132" s="203" t="str">
        <x:f>IF(AK132="","",V132*AK132)</x:f>
      </x:c>
      <x:c r="AM132" s="203" t="str">
        <x:f>IF(AK132="","",AB132*AK132)</x:f>
      </x:c>
      <x:c r="AN132" s="204" t="str">
        <x:f>IFERROR(1-AL132/AM132,"")</x:f>
      </x:c>
      <x:c r="AO132" s="19" t="str">
        <x:v>https://www.szaboepitoanyag.hu/index.php?kat=8&amp;page=termek</x:v>
      </x:c>
      <x:c r="AP132" s="19" t="str">
        <x:v>2026 piaci becslés</x:v>
      </x:c>
      <x:c r="AQ132" s="19" t="str"/>
    </x:row>
    <x:row r="133">
      <x:c r="A133" s="19" t="str">
        <x:v>ANY-0132</x:v>
      </x:c>
      <x:c r="B133" s="19" t="str">
        <x:v>09 Nyílászáró</x:v>
      </x:c>
      <x:c r="C133" s="19" t="str">
        <x:v>Ablak, ajtó, árnyékolás</x:v>
      </x:c>
      <x:c r="D133" s="19" t="str">
        <x:v>Mindegyik</x:v>
      </x:c>
      <x:c r="E133" s="19" t="str">
        <x:v>Műanyag ablak 3 rétegű</x:v>
      </x:c>
      <x:c r="F133" s="19" t="str">
        <x:v>átlagos családi ház méretmix</x:v>
      </x:c>
      <x:c r="G133" s="19" t="str">
        <x:v>m² nyílászáró</x:v>
      </x:c>
      <x:c r="H133" s="203" t="n">
        <x:v>66000</x:v>
      </x:c>
      <x:c r="I133" s="204" t="n">
        <x:v>0.27</x:v>
      </x:c>
      <x:c r="J133" s="203" t="n">
        <x:f>IFERROR(H133/(1+I133),"")</x:f>
        <x:v>51968.503937007874</x:v>
      </x:c>
      <x:c r="K133" s="205" t="n">
        <x:v>0.25</x:v>
      </x:c>
      <x:c r="L133" s="203" t="n">
        <x:f>IFERROR(J133*(1-K133),"")</x:f>
        <x:v>38976.37795275591</x:v>
      </x:c>
      <x:c r="M133" s="19" t="str">
        <x:v>0% számla – Közösségi beszerzés; 27% önadózás</x:v>
      </x:c>
      <x:c r="N133" s="204" t="n">
        <x:v>0</x:v>
      </x:c>
      <x:c r="O133" s="204" t="n">
        <x:v>0.27</x:v>
      </x:c>
      <x:c r="P133" s="19" t="str">
        <x:v>IGEN</x:v>
      </x:c>
      <x:c r="Q133" s="203" t="n">
        <x:f>IFERROR(L133*(1+N133),"")</x:f>
        <x:v>38976.37795275591</x:v>
      </x:c>
      <x:c r="R133" s="205" t="n">
        <x:v>0.03</x:v>
      </x:c>
      <x:c r="S133" s="203" t="n">
        <x:f>IFERROR(Q133*(1+R133),"")</x:f>
        <x:v>40145.669291338585</x:v>
      </x:c>
      <x:c r="T133" s="206" t="n">
        <x:v>2500</x:v>
      </x:c>
      <x:c r="U133" s="206" t="n">
        <x:v>800</x:v>
      </x:c>
      <x:c r="V133" s="203" t="n">
        <x:f>IFERROR(S133+T133+U133,"")</x:f>
        <x:v>43445.669291338585</x:v>
      </x:c>
      <x:c r="W133" s="203" t="n">
        <x:f>IFERROR(H133/(1+Anyag_Beallitasok!$B$2)*Anyag_Beallitasok!$B$9,"")</x:f>
        <x:v>62857.142857142855</x:v>
      </x:c>
      <x:c r="X133" s="203" t="n">
        <x:f>IFERROR(V133/((1-Anyag_Beallitasok!$B$3)*(1+Anyag_Beallitasok!$B$2)),"")</x:f>
        <x:v>63656.65830232759</x:v>
      </x:c>
      <x:c r="Y133" s="203" t="n">
        <x:f>IFERROR(V133/((1-Anyag_Beallitasok!$B$4)*(1+Anyag_Beallitasok!$B$2)),"")</x:f>
        <x:v>82753.65579302587</x:v>
      </x:c>
      <x:c r="Z133" s="203" t="n">
        <x:f>IFERROR(ROUNDUP(MAX(W133,X133)/Anyag_Beallitasok!$B$6,0)*Anyag_Beallitasok!$B$6,"")</x:f>
        <x:v>63700</x:v>
      </x:c>
      <x:c r="AA133" s="204" t="n">
        <x:f>Anyag_Beallitasok!$B$2</x:f>
        <x:v>0.05</x:v>
      </x:c>
      <x:c r="AB133" s="203" t="n">
        <x:f>IFERROR(Z133*(1+AA133),"")</x:f>
        <x:v>66885</x:v>
      </x:c>
      <x:c r="AC133" s="204" t="n">
        <x:f>IFERROR(1-V133/H133,"")</x:f>
        <x:v>0.34173228346456686</x:v>
      </x:c>
      <x:c r="AD133" s="204" t="n">
        <x:f>IFERROR(1-V133/AB133,"")</x:f>
        <x:v>0.35044226222114694</x:v>
      </x:c>
      <x:c r="AE133" s="19" t="str">
        <x:f>IF(AC133&lt;Anyag_Beallitasok!$B$3,"NEM ÉRI EL A 35%-OT",IF(AC133&lt;Anyag_Beallitasok!$B$4,"MINIMUM 35–49,9%",IF(AC133&lt;Anyag_Beallitasok!$B$5,"IDEÁLIS 50–59,9%","KIEMELKEDŐ ≥60%")))</x:f>
        <x:v>NEM ÉRI EL A 35%-OT</x:v>
      </x:c>
      <x:c r="AF133" s="204" t="n">
        <x:f>IFERROR(AB133/H133-1,"")</x:f>
        <x:v>0.013409090909090926</x:v>
      </x:c>
      <x:c r="AG133" s="19" t="str">
        <x:f>IF(AND(P133="IGEN",O133&gt;0),IF(AF133&gt;Anyag_Beallitasok!$B$10,"0%-OS SZÁMLA + ÖNADÓZÁS; FELÁR SZÜKSÉGES","0%-OS SZÁMLA + ÖNADÓZÁS"),IF(AF133&gt;Anyag_Beallitasok!$B$10,"FELÁR SZÜKSÉGES A 35%-HOZ",IF(AC133&lt;Anyag_Beallitasok!$B$3,"PIACI ÁRON NEM TARTHATÓ A 35%","OK")))</x:f>
        <x:v>0%-OS SZÁMLA + ÖNADÓZÁS</x:v>
      </x:c>
      <x:c r="AH133" s="207" t="n">
        <x:v>25</x:v>
      </x:c>
      <x:c r="AI133" s="207" t="n">
        <x:v>25</x:v>
      </x:c>
      <x:c r="AJ133" s="207" t="n">
        <x:v>25</x:v>
      </x:c>
      <x:c r="AK133" s="208"/>
      <x:c r="AL133" s="203" t="str">
        <x:f>IF(AK133="","",V133*AK133)</x:f>
      </x:c>
      <x:c r="AM133" s="203" t="str">
        <x:f>IF(AK133="","",AB133*AK133)</x:f>
      </x:c>
      <x:c r="AN133" s="204" t="str">
        <x:f>IFERROR(1-AL133/AM133,"")</x:f>
      </x:c>
      <x:c r="AO133" s="19" t="str">
        <x:v>https://ablakland.hu/arlistak-arak-c-540.html?view=all</x:v>
      </x:c>
      <x:c r="AP133" s="19" t="str">
        <x:v>2026 hazai piaci ár m²-re vetítve</x:v>
      </x:c>
      <x:c r="AQ133" s="19" t="str">
        <x:v>EU beszerzés csak közösségi adószámmal; önadózás.</x:v>
      </x:c>
    </x:row>
    <x:row r="134">
      <x:c r="A134" s="19" t="str">
        <x:v>ANY-0133</x:v>
      </x:c>
      <x:c r="B134" s="19" t="str">
        <x:v>09 Nyílászáró</x:v>
      </x:c>
      <x:c r="C134" s="19" t="str">
        <x:v>Ablak, ajtó, árnyékolás</x:v>
      </x:c>
      <x:c r="D134" s="19" t="str">
        <x:v>Mindegyik</x:v>
      </x:c>
      <x:c r="E134" s="19" t="str">
        <x:v>Műanyag fix ablak 3 rétegű</x:v>
      </x:c>
      <x:c r="F134" s="19" t="str">
        <x:v>egyszerű geometria</x:v>
      </x:c>
      <x:c r="G134" s="19" t="str">
        <x:v>m² nyílászáró</x:v>
      </x:c>
      <x:c r="H134" s="203" t="n">
        <x:v>48000</x:v>
      </x:c>
      <x:c r="I134" s="204" t="n">
        <x:v>0.27</x:v>
      </x:c>
      <x:c r="J134" s="203" t="n">
        <x:f>IFERROR(H134/(1+I134),"")</x:f>
        <x:v>37795.27559055118</x:v>
      </x:c>
      <x:c r="K134" s="205" t="n">
        <x:v>0.28</x:v>
      </x:c>
      <x:c r="L134" s="203" t="n">
        <x:f>IFERROR(J134*(1-K134),"")</x:f>
        <x:v>27212.598425196848</x:v>
      </x:c>
      <x:c r="M134" s="19" t="str">
        <x:v>0% számla – Közösségi beszerzés; 27% önadózás</x:v>
      </x:c>
      <x:c r="N134" s="204" t="n">
        <x:v>0</x:v>
      </x:c>
      <x:c r="O134" s="204" t="n">
        <x:v>0.27</x:v>
      </x:c>
      <x:c r="P134" s="19" t="str">
        <x:v>IGEN</x:v>
      </x:c>
      <x:c r="Q134" s="203" t="n">
        <x:f>IFERROR(L134*(1+N134),"")</x:f>
        <x:v>27212.598425196848</x:v>
      </x:c>
      <x:c r="R134" s="205" t="n">
        <x:v>0.03</x:v>
      </x:c>
      <x:c r="S134" s="203" t="n">
        <x:f>IFERROR(Q134*(1+R134),"")</x:f>
        <x:v>28028.976377952753</x:v>
      </x:c>
      <x:c r="T134" s="206" t="n">
        <x:v>2200</x:v>
      </x:c>
      <x:c r="U134" s="206" t="n">
        <x:v>700</x:v>
      </x:c>
      <x:c r="V134" s="203" t="n">
        <x:f>IFERROR(S134+T134+U134,"")</x:f>
        <x:v>30928.976377952753</x:v>
      </x:c>
      <x:c r="W134" s="203" t="n">
        <x:f>IFERROR(H134/(1+Anyag_Beallitasok!$B$2)*Anyag_Beallitasok!$B$9,"")</x:f>
        <x:v>45714.28571428571</x:v>
      </x:c>
      <x:c r="X134" s="203" t="n">
        <x:f>IFERROR(V134/((1-Anyag_Beallitasok!$B$3)*(1+Anyag_Beallitasok!$B$2)),"")</x:f>
        <x:v>45317.181506157875</x:v>
      </x:c>
      <x:c r="Y134" s="203" t="n">
        <x:f>IFERROR(V134/((1-Anyag_Beallitasok!$B$4)*(1+Anyag_Beallitasok!$B$2)),"")</x:f>
        <x:v>58912.33595800524</x:v>
      </x:c>
      <x:c r="Z134" s="203" t="n">
        <x:f>IFERROR(ROUNDUP(MAX(W134,X134)/Anyag_Beallitasok!$B$6,0)*Anyag_Beallitasok!$B$6,"")</x:f>
        <x:v>45750</x:v>
      </x:c>
      <x:c r="AA134" s="204" t="n">
        <x:f>Anyag_Beallitasok!$B$2</x:f>
        <x:v>0.05</x:v>
      </x:c>
      <x:c r="AB134" s="203" t="n">
        <x:f>IFERROR(Z134*(1+AA134),"")</x:f>
        <x:v>48037.5</x:v>
      </x:c>
      <x:c r="AC134" s="204" t="n">
        <x:f>IFERROR(1-V134/H134,"")</x:f>
        <x:v>0.3556463254593176</x:v>
      </x:c>
      <x:c r="AD134" s="204" t="n">
        <x:f>IFERROR(1-V134/AB134,"")</x:f>
        <x:v>0.3561493337922924</x:v>
      </x:c>
      <x:c r="AE134" s="19" t="str">
        <x:f>IF(AC134&lt;Anyag_Beallitasok!$B$3,"NEM ÉRI EL A 35%-OT",IF(AC134&lt;Anyag_Beallitasok!$B$4,"MINIMUM 35–49,9%",IF(AC134&lt;Anyag_Beallitasok!$B$5,"IDEÁLIS 50–59,9%","KIEMELKEDŐ ≥60%")))</x:f>
        <x:v>MINIMUM 35–49,9%</x:v>
      </x:c>
      <x:c r="AF134" s="204" t="n">
        <x:f>IFERROR(AB134/H134-1,"")</x:f>
        <x:v>0.0007812499999999556</x:v>
      </x:c>
      <x:c r="AG134" s="19" t="str">
        <x:f>IF(AND(P134="IGEN",O134&gt;0),IF(AF134&gt;Anyag_Beallitasok!$B$10,"0%-OS SZÁMLA + ÖNADÓZÁS; FELÁR SZÜKSÉGES","0%-OS SZÁMLA + ÖNADÓZÁS"),IF(AF134&gt;Anyag_Beallitasok!$B$10,"FELÁR SZÜKSÉGES A 35%-HOZ",IF(AC134&lt;Anyag_Beallitasok!$B$3,"PIACI ÁRON NEM TARTHATÓ A 35%","OK")))</x:f>
        <x:v>0%-OS SZÁMLA + ÖNADÓZÁS</x:v>
      </x:c>
      <x:c r="AH134" s="207" t="n">
        <x:v>0</x:v>
      </x:c>
      <x:c r="AI134" s="207" t="n">
        <x:v>0</x:v>
      </x:c>
      <x:c r="AJ134" s="207" t="n">
        <x:v>0</x:v>
      </x:c>
      <x:c r="AK134" s="208"/>
      <x:c r="AL134" s="203" t="str">
        <x:f>IF(AK134="","",V134*AK134)</x:f>
      </x:c>
      <x:c r="AM134" s="203" t="str">
        <x:f>IF(AK134="","",AB134*AK134)</x:f>
      </x:c>
      <x:c r="AN134" s="204" t="str">
        <x:f>IFERROR(1-AL134/AM134,"")</x:f>
      </x:c>
      <x:c r="AO134" s="19" t="str">
        <x:v>https://www.ablakguruwebshop.hu/raktari-muanyag-ablakok-157/raktari-muanyag-ablakok-7-kamras-3-retegu-uveggel-180</x:v>
      </x:c>
      <x:c r="AP134" s="19" t="str">
        <x:v>2026 raktári webárból</x:v>
      </x:c>
      <x:c r="AQ134" s="19" t="str"/>
    </x:row>
    <x:row r="135">
      <x:c r="A135" s="19" t="str">
        <x:v>ANY-0134</x:v>
      </x:c>
      <x:c r="B135" s="19" t="str">
        <x:v>09 Nyílászáró</x:v>
      </x:c>
      <x:c r="C135" s="19" t="str">
        <x:v>Ablak, ajtó, árnyékolás</x:v>
      </x:c>
      <x:c r="D135" s="19" t="str">
        <x:v>Mindegyik</x:v>
      </x:c>
      <x:c r="E135" s="19" t="str">
        <x:v>Műanyag bukó-nyíló ablak 3 rétegű</x:v>
      </x:c>
      <x:c r="F135" s="19" t="str">
        <x:v>standard</x:v>
      </x:c>
      <x:c r="G135" s="19" t="str">
        <x:v>m² nyílászáró</x:v>
      </x:c>
      <x:c r="H135" s="203" t="n">
        <x:v>72000</x:v>
      </x:c>
      <x:c r="I135" s="204" t="n">
        <x:v>0.27</x:v>
      </x:c>
      <x:c r="J135" s="203" t="n">
        <x:f>IFERROR(H135/(1+I135),"")</x:f>
        <x:v>56692.913385826774</x:v>
      </x:c>
      <x:c r="K135" s="205" t="n">
        <x:v>0.25</x:v>
      </x:c>
      <x:c r="L135" s="203" t="n">
        <x:f>IFERROR(J135*(1-K135),"")</x:f>
        <x:v>42519.68503937008</x:v>
      </x:c>
      <x:c r="M135" s="19" t="str">
        <x:v>0% számla – Közösségi beszerzés; 27% önadózás</x:v>
      </x:c>
      <x:c r="N135" s="204" t="n">
        <x:v>0</x:v>
      </x:c>
      <x:c r="O135" s="204" t="n">
        <x:v>0.27</x:v>
      </x:c>
      <x:c r="P135" s="19" t="str">
        <x:v>IGEN</x:v>
      </x:c>
      <x:c r="Q135" s="203" t="n">
        <x:f>IFERROR(L135*(1+N135),"")</x:f>
        <x:v>42519.68503937008</x:v>
      </x:c>
      <x:c r="R135" s="205" t="n">
        <x:v>0.03</x:v>
      </x:c>
      <x:c r="S135" s="203" t="n">
        <x:f>IFERROR(Q135*(1+R135),"")</x:f>
        <x:v>43795.27559055119</x:v>
      </x:c>
      <x:c r="T135" s="206" t="n">
        <x:v>2600</x:v>
      </x:c>
      <x:c r="U135" s="206" t="n">
        <x:v>800</x:v>
      </x:c>
      <x:c r="V135" s="203" t="n">
        <x:f>IFERROR(S135+T135+U135,"")</x:f>
        <x:v>47195.27559055119</x:v>
      </x:c>
      <x:c r="W135" s="203" t="n">
        <x:f>IFERROR(H135/(1+Anyag_Beallitasok!$B$2)*Anyag_Beallitasok!$B$9,"")</x:f>
        <x:v>68571.42857142857</x:v>
      </x:c>
      <x:c r="X135" s="203" t="n">
        <x:f>IFERROR(V135/((1-Anyag_Beallitasok!$B$3)*(1+Anyag_Beallitasok!$B$2)),"")</x:f>
        <x:v>69150.58694586254</x:v>
      </x:c>
      <x:c r="Y135" s="203" t="n">
        <x:f>IFERROR(V135/((1-Anyag_Beallitasok!$B$4)*(1+Anyag_Beallitasok!$B$2)),"")</x:f>
        <x:v>89895.7630296213</x:v>
      </x:c>
      <x:c r="Z135" s="203" t="n">
        <x:f>IFERROR(ROUNDUP(MAX(W135,X135)/Anyag_Beallitasok!$B$6,0)*Anyag_Beallitasok!$B$6,"")</x:f>
        <x:v>69200</x:v>
      </x:c>
      <x:c r="AA135" s="204" t="n">
        <x:f>Anyag_Beallitasok!$B$2</x:f>
        <x:v>0.05</x:v>
      </x:c>
      <x:c r="AB135" s="203" t="n">
        <x:f>IFERROR(Z135*(1+AA135),"")</x:f>
        <x:v>72660</x:v>
      </x:c>
      <x:c r="AC135" s="204" t="n">
        <x:f>IFERROR(1-V135/H135,"")</x:f>
        <x:v>0.3445100612423446</x:v>
      </x:c>
      <x:c r="AD135" s="204" t="n">
        <x:f>IFERROR(1-V135/AB135,"")</x:f>
        <x:v>0.35046413995938364</x:v>
      </x:c>
      <x:c r="AE135" s="19" t="str">
        <x:f>IF(AC135&lt;Anyag_Beallitasok!$B$3,"NEM ÉRI EL A 35%-OT",IF(AC135&lt;Anyag_Beallitasok!$B$4,"MINIMUM 35–49,9%",IF(AC135&lt;Anyag_Beallitasok!$B$5,"IDEÁLIS 50–59,9%","KIEMELKEDŐ ≥60%")))</x:f>
        <x:v>NEM ÉRI EL A 35%-OT</x:v>
      </x:c>
      <x:c r="AF135" s="204" t="n">
        <x:f>IFERROR(AB135/H135-1,"")</x:f>
        <x:v>0.009166666666666767</x:v>
      </x:c>
      <x:c r="AG135" s="19" t="str">
        <x:f>IF(AND(P135="IGEN",O135&gt;0),IF(AF135&gt;Anyag_Beallitasok!$B$10,"0%-OS SZÁMLA + ÖNADÓZÁS; FELÁR SZÜKSÉGES","0%-OS SZÁMLA + ÖNADÓZÁS"),IF(AF135&gt;Anyag_Beallitasok!$B$10,"FELÁR SZÜKSÉGES A 35%-HOZ",IF(AC135&lt;Anyag_Beallitasok!$B$3,"PIACI ÁRON NEM TARTHATÓ A 35%","OK")))</x:f>
        <x:v>0%-OS SZÁMLA + ÖNADÓZÁS</x:v>
      </x:c>
      <x:c r="AH135" s="207" t="n">
        <x:v>0</x:v>
      </x:c>
      <x:c r="AI135" s="207" t="n">
        <x:v>0</x:v>
      </x:c>
      <x:c r="AJ135" s="207" t="n">
        <x:v>0</x:v>
      </x:c>
      <x:c r="AK135" s="208"/>
      <x:c r="AL135" s="203" t="str">
        <x:f>IF(AK135="","",V135*AK135)</x:f>
      </x:c>
      <x:c r="AM135" s="203" t="str">
        <x:f>IF(AK135="","",AB135*AK135)</x:f>
      </x:c>
      <x:c r="AN135" s="204" t="str">
        <x:f>IFERROR(1-AL135/AM135,"")</x:f>
      </x:c>
      <x:c r="AO135" s="19" t="str">
        <x:v>https://ablakland.hu/arlistak-arak-c-540.html?view=all</x:v>
      </x:c>
      <x:c r="AP135" s="19" t="str">
        <x:v>2026 piaci ár</x:v>
      </x:c>
      <x:c r="AQ135" s="19" t="str"/>
    </x:row>
    <x:row r="136">
      <x:c r="A136" s="19" t="str">
        <x:v>ANY-0135</x:v>
      </x:c>
      <x:c r="B136" s="19" t="str">
        <x:v>09 Nyílászáró</x:v>
      </x:c>
      <x:c r="C136" s="19" t="str">
        <x:v>Ablak, ajtó, árnyékolás</x:v>
      </x:c>
      <x:c r="D136" s="19" t="str">
        <x:v>Mindegyik</x:v>
      </x:c>
      <x:c r="E136" s="19" t="str">
        <x:v>Emelő-toló teraszajtó 3 rétegű</x:v>
      </x:c>
      <x:c r="F136" s="19" t="str">
        <x:v>kb. 3×2,4 m</x:v>
      </x:c>
      <x:c r="G136" s="19" t="str">
        <x:v>db</x:v>
      </x:c>
      <x:c r="H136" s="203" t="n">
        <x:v>1450000</x:v>
      </x:c>
      <x:c r="I136" s="204" t="n">
        <x:v>0.27</x:v>
      </x:c>
      <x:c r="J136" s="203" t="n">
        <x:f>IFERROR(H136/(1+I136),"")</x:f>
        <x:v>1141732.2834645668</x:v>
      </x:c>
      <x:c r="K136" s="205" t="n">
        <x:v>0.25</x:v>
      </x:c>
      <x:c r="L136" s="203" t="n">
        <x:f>IFERROR(J136*(1-K136),"")</x:f>
        <x:v>856299.2125984251</x:v>
      </x:c>
      <x:c r="M136" s="19" t="str">
        <x:v>0% számla – Közösségi beszerzés; 27% önadózás</x:v>
      </x:c>
      <x:c r="N136" s="204" t="n">
        <x:v>0</x:v>
      </x:c>
      <x:c r="O136" s="204" t="n">
        <x:v>0.27</x:v>
      </x:c>
      <x:c r="P136" s="19" t="str">
        <x:v>IGEN</x:v>
      </x:c>
      <x:c r="Q136" s="203" t="n">
        <x:f>IFERROR(L136*(1+N136),"")</x:f>
        <x:v>856299.2125984251</x:v>
      </x:c>
      <x:c r="R136" s="205" t="n">
        <x:v>0.03</x:v>
      </x:c>
      <x:c r="S136" s="203" t="n">
        <x:f>IFERROR(Q136*(1+R136),"")</x:f>
        <x:v>881988.1889763778</x:v>
      </x:c>
      <x:c r="T136" s="206" t="n">
        <x:v>35000</x:v>
      </x:c>
      <x:c r="U136" s="206" t="n">
        <x:v>8000</x:v>
      </x:c>
      <x:c r="V136" s="203" t="n">
        <x:f>IFERROR(S136+T136+U136,"")</x:f>
        <x:v>924988.1889763778</x:v>
      </x:c>
      <x:c r="W136" s="203" t="n">
        <x:f>IFERROR(H136/(1+Anyag_Beallitasok!$B$2)*Anyag_Beallitasok!$B$9,"")</x:f>
        <x:v>1380952.3809523808</x:v>
      </x:c>
      <x:c r="X136" s="203" t="n">
        <x:f>IFERROR(V136/((1-Anyag_Beallitasok!$B$3)*(1+Anyag_Beallitasok!$B$2)),"")</x:f>
        <x:v>1355294.0497822384</x:v>
      </x:c>
      <x:c r="Y136" s="203" t="n">
        <x:f>IFERROR(V136/((1-Anyag_Beallitasok!$B$4)*(1+Anyag_Beallitasok!$B$2)),"")</x:f>
        <x:v>1761882.26471691</x:v>
      </x:c>
      <x:c r="Z136" s="203" t="n">
        <x:f>IFERROR(ROUNDUP(MAX(W136,X136)/Anyag_Beallitasok!$B$6,0)*Anyag_Beallitasok!$B$6,"")</x:f>
        <x:v>1381000</x:v>
      </x:c>
      <x:c r="AA136" s="204" t="n">
        <x:f>Anyag_Beallitasok!$B$2</x:f>
        <x:v>0.05</x:v>
      </x:c>
      <x:c r="AB136" s="203" t="n">
        <x:f>IFERROR(Z136*(1+AA136),"")</x:f>
        <x:v>1450050</x:v>
      </x:c>
      <x:c r="AC136" s="204" t="n">
        <x:f>IFERROR(1-V136/H136,"")</x:f>
        <x:v>0.3620771110507739</x:v>
      </x:c>
      <x:c r="AD136" s="204" t="n">
        <x:f>IFERROR(1-V136/AB136,"")</x:f>
        <x:v>0.36209910763326936</x:v>
      </x:c>
      <x:c r="AE136" s="19" t="str">
        <x:f>IF(AC136&lt;Anyag_Beallitasok!$B$3,"NEM ÉRI EL A 35%-OT",IF(AC136&lt;Anyag_Beallitasok!$B$4,"MINIMUM 35–49,9%",IF(AC136&lt;Anyag_Beallitasok!$B$5,"IDEÁLIS 50–59,9%","KIEMELKEDŐ ≥60%")))</x:f>
        <x:v>MINIMUM 35–49,9%</x:v>
      </x:c>
      <x:c r="AF136" s="204" t="n">
        <x:f>IFERROR(AB136/H136-1,"")</x:f>
        <x:v>0.00003448275862072414</x:v>
      </x:c>
      <x:c r="AG136" s="19" t="str">
        <x:f>IF(AND(P136="IGEN",O136&gt;0),IF(AF136&gt;Anyag_Beallitasok!$B$10,"0%-OS SZÁMLA + ÖNADÓZÁS; FELÁR SZÜKSÉGES","0%-OS SZÁMLA + ÖNADÓZÁS"),IF(AF136&gt;Anyag_Beallitasok!$B$10,"FELÁR SZÜKSÉGES A 35%-HOZ",IF(AC136&lt;Anyag_Beallitasok!$B$3,"PIACI ÁRON NEM TARTHATÓ A 35%","OK")))</x:f>
        <x:v>0%-OS SZÁMLA + ÖNADÓZÁS</x:v>
      </x:c>
      <x:c r="AH136" s="207" t="n">
        <x:v>1</x:v>
      </x:c>
      <x:c r="AI136" s="207" t="n">
        <x:v>1</x:v>
      </x:c>
      <x:c r="AJ136" s="207" t="n">
        <x:v>1</x:v>
      </x:c>
      <x:c r="AK136" s="208"/>
      <x:c r="AL136" s="203" t="str">
        <x:f>IF(AK136="","",V136*AK136)</x:f>
      </x:c>
      <x:c r="AM136" s="203" t="str">
        <x:f>IF(AK136="","",AB136*AK136)</x:f>
      </x:c>
      <x:c r="AN136" s="204" t="str">
        <x:f>IFERROR(1-AL136/AM136,"")</x:f>
      </x:c>
      <x:c r="AO136" s="19" t="str">
        <x:v>https://ablakland.hu/arlistak-arak-c-540.html?view=all</x:v>
      </x:c>
      <x:c r="AP136" s="19" t="str">
        <x:v>Projektfüggő piaci becslés</x:v>
      </x:c>
      <x:c r="AQ136" s="19" t="str"/>
    </x:row>
    <x:row r="137">
      <x:c r="A137" s="19" t="str">
        <x:v>ANY-0136</x:v>
      </x:c>
      <x:c r="B137" s="19" t="str">
        <x:v>09 Nyílászáró</x:v>
      </x:c>
      <x:c r="C137" s="19" t="str">
        <x:v>Ablak, ajtó, árnyékolás</x:v>
      </x:c>
      <x:c r="D137" s="19" t="str">
        <x:v>Mindegyik</x:v>
      </x:c>
      <x:c r="E137" s="19" t="str">
        <x:v>Bejárati ajtó hőszigetelt</x:v>
      </x:c>
      <x:c r="F137" s="19" t="str">
        <x:v>alumínium/műanyag középkategória</x:v>
      </x:c>
      <x:c r="G137" s="19" t="str">
        <x:v>db</x:v>
      </x:c>
      <x:c r="H137" s="203" t="n">
        <x:v>650000</x:v>
      </x:c>
      <x:c r="I137" s="204" t="n">
        <x:v>0.27</x:v>
      </x:c>
      <x:c r="J137" s="203" t="n">
        <x:f>IFERROR(H137/(1+I137),"")</x:f>
        <x:v>511811.0236220472</x:v>
      </x:c>
      <x:c r="K137" s="205" t="n">
        <x:v>0.25</x:v>
      </x:c>
      <x:c r="L137" s="203" t="n">
        <x:f>IFERROR(J137*(1-K137),"")</x:f>
        <x:v>383858.2677165354</x:v>
      </x:c>
      <x:c r="M137" s="19" t="str">
        <x:v>0% számla – Közösségi beszerzés; 27% önadózás</x:v>
      </x:c>
      <x:c r="N137" s="204" t="n">
        <x:v>0</x:v>
      </x:c>
      <x:c r="O137" s="204" t="n">
        <x:v>0.27</x:v>
      </x:c>
      <x:c r="P137" s="19" t="str">
        <x:v>IGEN</x:v>
      </x:c>
      <x:c r="Q137" s="203" t="n">
        <x:f>IFERROR(L137*(1+N137),"")</x:f>
        <x:v>383858.2677165354</x:v>
      </x:c>
      <x:c r="R137" s="205" t="n">
        <x:v>0.03</x:v>
      </x:c>
      <x:c r="S137" s="203" t="n">
        <x:f>IFERROR(Q137*(1+R137),"")</x:f>
        <x:v>395374.0157480315</x:v>
      </x:c>
      <x:c r="T137" s="206" t="n">
        <x:v>18000</x:v>
      </x:c>
      <x:c r="U137" s="206" t="n">
        <x:v>5000</x:v>
      </x:c>
      <x:c r="V137" s="203" t="n">
        <x:f>IFERROR(S137+T137+U137,"")</x:f>
        <x:v>418374.0157480315</x:v>
      </x:c>
      <x:c r="W137" s="203" t="n">
        <x:f>IFERROR(H137/(1+Anyag_Beallitasok!$B$2)*Anyag_Beallitasok!$B$9,"")</x:f>
        <x:v>619047.619047619</x:v>
      </x:c>
      <x:c r="X137" s="203" t="n">
        <x:f>IFERROR(V137/((1-Anyag_Beallitasok!$B$3)*(1+Anyag_Beallitasok!$B$2)),"")</x:f>
        <x:v>613002.2208762366</x:v>
      </x:c>
      <x:c r="Y137" s="203" t="n">
        <x:f>IFERROR(V137/((1-Anyag_Beallitasok!$B$4)*(1+Anyag_Beallitasok!$B$2)),"")</x:f>
        <x:v>796902.8871391076</x:v>
      </x:c>
      <x:c r="Z137" s="203" t="n">
        <x:f>IFERROR(ROUNDUP(MAX(W137,X137)/Anyag_Beallitasok!$B$6,0)*Anyag_Beallitasok!$B$6,"")</x:f>
        <x:v>619050</x:v>
      </x:c>
      <x:c r="AA137" s="204" t="n">
        <x:f>Anyag_Beallitasok!$B$2</x:f>
        <x:v>0.05</x:v>
      </x:c>
      <x:c r="AB137" s="203" t="n">
        <x:f>IFERROR(Z137*(1+AA137),"")</x:f>
        <x:v>650002.5</x:v>
      </x:c>
      <x:c r="AC137" s="204" t="n">
        <x:f>IFERROR(1-V137/H137,"")</x:f>
        <x:v>0.35634766807995155</x:v>
      </x:c>
      <x:c r="AD137" s="204" t="n">
        <x:f>IFERROR(1-V137/AB137,"")</x:f>
        <x:v>0.3563501436563221</x:v>
      </x:c>
      <x:c r="AE137" s="19" t="str">
        <x:f>IF(AC137&lt;Anyag_Beallitasok!$B$3,"NEM ÉRI EL A 35%-OT",IF(AC137&lt;Anyag_Beallitasok!$B$4,"MINIMUM 35–49,9%",IF(AC137&lt;Anyag_Beallitasok!$B$5,"IDEÁLIS 50–59,9%","KIEMELKEDŐ ≥60%")))</x:f>
        <x:v>MINIMUM 35–49,9%</x:v>
      </x:c>
      <x:c r="AF137" s="204" t="n">
        <x:f>IFERROR(AB137/H137-1,"")</x:f>
        <x:v>0.000003846153846076561</x:v>
      </x:c>
      <x:c r="AG137" s="19" t="str">
        <x:f>IF(AND(P137="IGEN",O137&gt;0),IF(AF137&gt;Anyag_Beallitasok!$B$10,"0%-OS SZÁMLA + ÖNADÓZÁS; FELÁR SZÜKSÉGES","0%-OS SZÁMLA + ÖNADÓZÁS"),IF(AF137&gt;Anyag_Beallitasok!$B$10,"FELÁR SZÜKSÉGES A 35%-HOZ",IF(AC137&lt;Anyag_Beallitasok!$B$3,"PIACI ÁRON NEM TARTHATÓ A 35%","OK")))</x:f>
        <x:v>0%-OS SZÁMLA + ÖNADÓZÁS</x:v>
      </x:c>
      <x:c r="AH137" s="207" t="n">
        <x:v>1</x:v>
      </x:c>
      <x:c r="AI137" s="207" t="n">
        <x:v>1</x:v>
      </x:c>
      <x:c r="AJ137" s="207" t="n">
        <x:v>1</x:v>
      </x:c>
      <x:c r="AK137" s="208"/>
      <x:c r="AL137" s="203" t="str">
        <x:f>IF(AK137="","",V137*AK137)</x:f>
      </x:c>
      <x:c r="AM137" s="203" t="str">
        <x:f>IF(AK137="","",AB137*AK137)</x:f>
      </x:c>
      <x:c r="AN137" s="204" t="str">
        <x:f>IFERROR(1-AL137/AM137,"")</x:f>
      </x:c>
      <x:c r="AO137" s="19" t="str">
        <x:v>https://ablakland.hu/arlistak-arak-c-540.html?view=all</x:v>
      </x:c>
      <x:c r="AP137" s="19" t="str">
        <x:v>Projektfüggő piaci becslés</x:v>
      </x:c>
      <x:c r="AQ137" s="19" t="str"/>
    </x:row>
    <x:row r="138">
      <x:c r="A138" s="19" t="str">
        <x:v>ANY-0137</x:v>
      </x:c>
      <x:c r="B138" s="19" t="str">
        <x:v>09 Nyílászáró</x:v>
      </x:c>
      <x:c r="C138" s="19" t="str">
        <x:v>Ablak, ajtó, árnyékolás</x:v>
      </x:c>
      <x:c r="D138" s="19" t="str">
        <x:v>Mindegyik</x:v>
      </x:c>
      <x:c r="E138" s="19" t="str">
        <x:v>Beltéri ajtó tokostul</x:v>
      </x:c>
      <x:c r="F138" s="19" t="str">
        <x:v>CPL középkategória</x:v>
      </x:c>
      <x:c r="G138" s="19" t="str">
        <x:v>db</x:v>
      </x:c>
      <x:c r="H138" s="203" t="n">
        <x:v>125000</x:v>
      </x:c>
      <x:c r="I138" s="204" t="n">
        <x:v>0.27</x:v>
      </x:c>
      <x:c r="J138" s="203" t="n">
        <x:f>IFERROR(H138/(1+I138),"")</x:f>
        <x:v>98425.1968503937</x:v>
      </x:c>
      <x:c r="K138" s="205" t="n">
        <x:v>0.22</x:v>
      </x:c>
      <x:c r="L138" s="203" t="n">
        <x:f>IFERROR(J138*(1-K138),"")</x:f>
        <x:v>76771.65354330708</x:v>
      </x:c>
      <x:c r="M138" s="19" t="str">
        <x:v>27% normál belföldi</x:v>
      </x:c>
      <x:c r="N138" s="204" t="n">
        <x:v>0.27</x:v>
      </x:c>
      <x:c r="O138" s="204" t="n">
        <x:v>0</x:v>
      </x:c>
      <x:c r="P138" s="19" t="str">
        <x:v>NEM</x:v>
      </x:c>
      <x:c r="Q138" s="203" t="n">
        <x:f>IFERROR(L138*(1+N138),"")</x:f>
        <x:v>97500</x:v>
      </x:c>
      <x:c r="R138" s="205" t="n">
        <x:v>0.03</x:v>
      </x:c>
      <x:c r="S138" s="203" t="n">
        <x:f>IFERROR(Q138*(1+R138),"")</x:f>
        <x:v>100425</x:v>
      </x:c>
      <x:c r="T138" s="206" t="n">
        <x:v>3500</x:v>
      </x:c>
      <x:c r="U138" s="206" t="n">
        <x:v>800</x:v>
      </x:c>
      <x:c r="V138" s="203" t="n">
        <x:f>IFERROR(S138+T138+U138,"")</x:f>
        <x:v>104725</x:v>
      </x:c>
      <x:c r="W138" s="203" t="n">
        <x:f>IFERROR(H138/(1+Anyag_Beallitasok!$B$2)*Anyag_Beallitasok!$B$9,"")</x:f>
        <x:v>119047.61904761904</x:v>
      </x:c>
      <x:c r="X138" s="203" t="n">
        <x:f>IFERROR(V138/((1-Anyag_Beallitasok!$B$3)*(1+Anyag_Beallitasok!$B$2)),"")</x:f>
        <x:v>153443.22344322343</x:v>
      </x:c>
      <x:c r="Y138" s="203" t="n">
        <x:f>IFERROR(V138/((1-Anyag_Beallitasok!$B$4)*(1+Anyag_Beallitasok!$B$2)),"")</x:f>
        <x:v>199476.19047619047</x:v>
      </x:c>
      <x:c r="Z138" s="203" t="n">
        <x:f>IFERROR(ROUNDUP(MAX(W138,X138)/Anyag_Beallitasok!$B$6,0)*Anyag_Beallitasok!$B$6,"")</x:f>
        <x:v>153450</x:v>
      </x:c>
      <x:c r="AA138" s="204" t="n">
        <x:f>Anyag_Beallitasok!$B$2</x:f>
        <x:v>0.05</x:v>
      </x:c>
      <x:c r="AB138" s="203" t="n">
        <x:f>IFERROR(Z138*(1+AA138),"")</x:f>
        <x:v>161122.5</x:v>
      </x:c>
      <x:c r="AC138" s="204" t="n">
        <x:f>IFERROR(1-V138/H138,"")</x:f>
        <x:v>0.1622</x:v>
      </x:c>
      <x:c r="AD138" s="204" t="n">
        <x:f>IFERROR(1-V138/AB138,"")</x:f>
        <x:v>0.35002870486741455</x:v>
      </x:c>
      <x:c r="AE138" s="19" t="str">
        <x:f>IF(AC138&lt;Anyag_Beallitasok!$B$3,"NEM ÉRI EL A 35%-OT",IF(AC138&lt;Anyag_Beallitasok!$B$4,"MINIMUM 35–49,9%",IF(AC138&lt;Anyag_Beallitasok!$B$5,"IDEÁLIS 50–59,9%","KIEMELKEDŐ ≥60%")))</x:f>
        <x:v>NEM ÉRI EL A 35%-OT</x:v>
      </x:c>
      <x:c r="AF138" s="204" t="n">
        <x:f>IFERROR(AB138/H138-1,"")</x:f>
        <x:v>0.28898</x:v>
      </x:c>
      <x:c r="AG138" s="19" t="str">
        <x:f>IF(AND(P138="IGEN",O138&gt;0),IF(AF138&gt;Anyag_Beallitasok!$B$10,"0%-OS SZÁMLA + ÖNADÓZÁS; FELÁR SZÜKSÉGES","0%-OS SZÁMLA + ÖNADÓZÁS"),IF(AF138&gt;Anyag_Beallitasok!$B$10,"FELÁR SZÜKSÉGES A 35%-HOZ",IF(AC138&lt;Anyag_Beallitasok!$B$3,"PIACI ÁRON NEM TARTHATÓ A 35%","OK")))</x:f>
        <x:v>FELÁR SZÜKSÉGES A 35%-HOZ</x:v>
      </x:c>
      <x:c r="AH138" s="207" t="n">
        <x:v>9</x:v>
      </x:c>
      <x:c r="AI138" s="207" t="n">
        <x:v>9</x:v>
      </x:c>
      <x:c r="AJ138" s="207" t="n">
        <x:v>9</x:v>
      </x:c>
      <x:c r="AK138" s="208"/>
      <x:c r="AL138" s="203" t="str">
        <x:f>IF(AK138="","",V138*AK138)</x:f>
      </x:c>
      <x:c r="AM138" s="203" t="str">
        <x:f>IF(AK138="","",AB138*AK138)</x:f>
      </x:c>
      <x:c r="AN138" s="204" t="str">
        <x:f>IFERROR(1-AL138/AM138,"")</x:f>
      </x:c>
      <x:c r="AO138" s="19" t="str">
        <x:v>https://ablakland.hu/arlistak-arak-c-540.html?view=all</x:v>
      </x:c>
      <x:c r="AP138" s="19" t="str">
        <x:v>2026 piaci becslés</x:v>
      </x:c>
      <x:c r="AQ138" s="19" t="str"/>
    </x:row>
    <x:row r="139">
      <x:c r="A139" s="19" t="str">
        <x:v>ANY-0138</x:v>
      </x:c>
      <x:c r="B139" s="19" t="str">
        <x:v>09 Nyílászáró</x:v>
      </x:c>
      <x:c r="C139" s="19" t="str">
        <x:v>Ablak, ajtó, árnyékolás</x:v>
      </x:c>
      <x:c r="D139" s="19" t="str">
        <x:v>Mindegyik</x:v>
      </x:c>
      <x:c r="E139" s="19" t="str">
        <x:v>Motoros alumínium redőny</x:v>
      </x:c>
      <x:c r="F139" s="19" t="str">
        <x:v>vakolható tok</x:v>
      </x:c>
      <x:c r="G139" s="19" t="str">
        <x:v>m²</x:v>
      </x:c>
      <x:c r="H139" s="203" t="n">
        <x:v>62000</x:v>
      </x:c>
      <x:c r="I139" s="204" t="n">
        <x:v>0.27</x:v>
      </x:c>
      <x:c r="J139" s="203" t="n">
        <x:f>IFERROR(H139/(1+I139),"")</x:f>
        <x:v>48818.89763779527</x:v>
      </x:c>
      <x:c r="K139" s="205" t="n">
        <x:v>0.25</x:v>
      </x:c>
      <x:c r="L139" s="203" t="n">
        <x:f>IFERROR(J139*(1-K139),"")</x:f>
        <x:v>36614.17322834645</x:v>
      </x:c>
      <x:c r="M139" s="19" t="str">
        <x:v>0% számla – Közösségi beszerzés; 27% önadózás</x:v>
      </x:c>
      <x:c r="N139" s="204" t="n">
        <x:v>0</x:v>
      </x:c>
      <x:c r="O139" s="204" t="n">
        <x:v>0.27</x:v>
      </x:c>
      <x:c r="P139" s="19" t="str">
        <x:v>IGEN</x:v>
      </x:c>
      <x:c r="Q139" s="203" t="n">
        <x:f>IFERROR(L139*(1+N139),"")</x:f>
        <x:v>36614.17322834645</x:v>
      </x:c>
      <x:c r="R139" s="205" t="n">
        <x:v>0.04</x:v>
      </x:c>
      <x:c r="S139" s="203" t="n">
        <x:f>IFERROR(Q139*(1+R139),"")</x:f>
        <x:v>38078.74015748031</x:v>
      </x:c>
      <x:c r="T139" s="206" t="n">
        <x:v>2500</x:v>
      </x:c>
      <x:c r="U139" s="206" t="n">
        <x:v>600</x:v>
      </x:c>
      <x:c r="V139" s="203" t="n">
        <x:f>IFERROR(S139+T139+U139,"")</x:f>
        <x:v>41178.74015748031</x:v>
      </x:c>
      <x:c r="W139" s="203" t="n">
        <x:f>IFERROR(H139/(1+Anyag_Beallitasok!$B$2)*Anyag_Beallitasok!$B$9,"")</x:f>
        <x:v>59047.619047619046</x:v>
      </x:c>
      <x:c r="X139" s="203" t="n">
        <x:f>IFERROR(V139/((1-Anyag_Beallitasok!$B$3)*(1+Anyag_Beallitasok!$B$2)),"")</x:f>
        <x:v>60335.15041389055</x:v>
      </x:c>
      <x:c r="Y139" s="203" t="n">
        <x:f>IFERROR(V139/((1-Anyag_Beallitasok!$B$4)*(1+Anyag_Beallitasok!$B$2)),"")</x:f>
        <x:v>78435.69553805773</x:v>
      </x:c>
      <x:c r="Z139" s="203" t="n">
        <x:f>IFERROR(ROUNDUP(MAX(W139,X139)/Anyag_Beallitasok!$B$6,0)*Anyag_Beallitasok!$B$6,"")</x:f>
        <x:v>60350</x:v>
      </x:c>
      <x:c r="AA139" s="204" t="n">
        <x:f>Anyag_Beallitasok!$B$2</x:f>
        <x:v>0.05</x:v>
      </x:c>
      <x:c r="AB139" s="203" t="n">
        <x:f>IFERROR(Z139*(1+AA139),"")</x:f>
        <x:v>63367.5</x:v>
      </x:c>
      <x:c r="AC139" s="204" t="n">
        <x:f>IFERROR(1-V139/H139,"")</x:f>
        <x:v>0.33582677165354347</x:v>
      </x:c>
      <x:c r="AD139" s="204" t="n">
        <x:f>IFERROR(1-V139/AB139,"")</x:f>
        <x:v>0.35015993754716046</x:v>
      </x:c>
      <x:c r="AE139" s="19" t="str">
        <x:f>IF(AC139&lt;Anyag_Beallitasok!$B$3,"NEM ÉRI EL A 35%-OT",IF(AC139&lt;Anyag_Beallitasok!$B$4,"MINIMUM 35–49,9%",IF(AC139&lt;Anyag_Beallitasok!$B$5,"IDEÁLIS 50–59,9%","KIEMELKEDŐ ≥60%")))</x:f>
        <x:v>NEM ÉRI EL A 35%-OT</x:v>
      </x:c>
      <x:c r="AF139" s="204" t="n">
        <x:f>IFERROR(AB139/H139-1,"")</x:f>
        <x:v>0.02205645161290315</x:v>
      </x:c>
      <x:c r="AG139" s="19" t="str">
        <x:f>IF(AND(P139="IGEN",O139&gt;0),IF(AF139&gt;Anyag_Beallitasok!$B$10,"0%-OS SZÁMLA + ÖNADÓZÁS; FELÁR SZÜKSÉGES","0%-OS SZÁMLA + ÖNADÓZÁS"),IF(AF139&gt;Anyag_Beallitasok!$B$10,"FELÁR SZÜKSÉGES A 35%-HOZ",IF(AC139&lt;Anyag_Beallitasok!$B$3,"PIACI ÁRON NEM TARTHATÓ A 35%","OK")))</x:f>
        <x:v>0%-OS SZÁMLA + ÖNADÓZÁS</x:v>
      </x:c>
      <x:c r="AH139" s="207" t="n">
        <x:v>20</x:v>
      </x:c>
      <x:c r="AI139" s="207" t="n">
        <x:v>20</x:v>
      </x:c>
      <x:c r="AJ139" s="207" t="n">
        <x:v>20</x:v>
      </x:c>
      <x:c r="AK139" s="208"/>
      <x:c r="AL139" s="203" t="str">
        <x:f>IF(AK139="","",V139*AK139)</x:f>
      </x:c>
      <x:c r="AM139" s="203" t="str">
        <x:f>IF(AK139="","",AB139*AK139)</x:f>
      </x:c>
      <x:c r="AN139" s="204" t="str">
        <x:f>IFERROR(1-AL139/AM139,"")</x:f>
      </x:c>
      <x:c r="AO139" s="19" t="str">
        <x:v>https://ablakland.hu/arlistak-arak-c-540.html?view=all</x:v>
      </x:c>
      <x:c r="AP139" s="19" t="str">
        <x:v>2026 piaci becslés</x:v>
      </x:c>
      <x:c r="AQ139" s="19" t="str"/>
    </x:row>
    <x:row r="140">
      <x:c r="A140" s="19" t="str">
        <x:v>ANY-0139</x:v>
      </x:c>
      <x:c r="B140" s="19" t="str">
        <x:v>09 Nyílászáró</x:v>
      </x:c>
      <x:c r="C140" s="19" t="str">
        <x:v>Ablak, ajtó, árnyékolás</x:v>
      </x:c>
      <x:c r="D140" s="19" t="str">
        <x:v>Mindegyik</x:v>
      </x:c>
      <x:c r="E140" s="19" t="str">
        <x:v>Zsaluzia</x:v>
      </x:c>
      <x:c r="F140" s="19" t="str">
        <x:v>motoros, standard lamella</x:v>
      </x:c>
      <x:c r="G140" s="19" t="str">
        <x:v>m²</x:v>
      </x:c>
      <x:c r="H140" s="203" t="n">
        <x:v>125000</x:v>
      </x:c>
      <x:c r="I140" s="204" t="n">
        <x:v>0.27</x:v>
      </x:c>
      <x:c r="J140" s="203" t="n">
        <x:f>IFERROR(H140/(1+I140),"")</x:f>
        <x:v>98425.1968503937</x:v>
      </x:c>
      <x:c r="K140" s="205" t="n">
        <x:v>0.25</x:v>
      </x:c>
      <x:c r="L140" s="203" t="n">
        <x:f>IFERROR(J140*(1-K140),"")</x:f>
        <x:v>73818.89763779528</x:v>
      </x:c>
      <x:c r="M140" s="19" t="str">
        <x:v>0% számla – Közösségi beszerzés; 27% önadózás</x:v>
      </x:c>
      <x:c r="N140" s="204" t="n">
        <x:v>0</x:v>
      </x:c>
      <x:c r="O140" s="204" t="n">
        <x:v>0.27</x:v>
      </x:c>
      <x:c r="P140" s="19" t="str">
        <x:v>IGEN</x:v>
      </x:c>
      <x:c r="Q140" s="203" t="n">
        <x:f>IFERROR(L140*(1+N140),"")</x:f>
        <x:v>73818.89763779528</x:v>
      </x:c>
      <x:c r="R140" s="205" t="n">
        <x:v>0.04</x:v>
      </x:c>
      <x:c r="S140" s="203" t="n">
        <x:f>IFERROR(Q140*(1+R140),"")</x:f>
        <x:v>76771.6535433071</x:v>
      </x:c>
      <x:c r="T140" s="206" t="n">
        <x:v>3000</x:v>
      </x:c>
      <x:c r="U140" s="206" t="n">
        <x:v>800</x:v>
      </x:c>
      <x:c r="V140" s="203" t="n">
        <x:f>IFERROR(S140+T140+U140,"")</x:f>
        <x:v>80571.6535433071</x:v>
      </x:c>
      <x:c r="W140" s="203" t="n">
        <x:f>IFERROR(H140/(1+Anyag_Beallitasok!$B$2)*Anyag_Beallitasok!$B$9,"")</x:f>
        <x:v>119047.61904761904</x:v>
      </x:c>
      <x:c r="X140" s="203" t="n">
        <x:f>IFERROR(V140/((1-Anyag_Beallitasok!$B$3)*(1+Anyag_Beallitasok!$B$2)),"")</x:f>
        <x:v>118053.70482535836</x:v>
      </x:c>
      <x:c r="Y140" s="203" t="n">
        <x:f>IFERROR(V140/((1-Anyag_Beallitasok!$B$4)*(1+Anyag_Beallitasok!$B$2)),"")</x:f>
        <x:v>153469.8162729659</x:v>
      </x:c>
      <x:c r="Z140" s="203" t="n">
        <x:f>IFERROR(ROUNDUP(MAX(W140,X140)/Anyag_Beallitasok!$B$6,0)*Anyag_Beallitasok!$B$6,"")</x:f>
        <x:v>119050</x:v>
      </x:c>
      <x:c r="AA140" s="204" t="n">
        <x:f>Anyag_Beallitasok!$B$2</x:f>
        <x:v>0.05</x:v>
      </x:c>
      <x:c r="AB140" s="203" t="n">
        <x:f>IFERROR(Z140*(1+AA140),"")</x:f>
        <x:v>125002.5</x:v>
      </x:c>
      <x:c r="AC140" s="204" t="n">
        <x:f>IFERROR(1-V140/H140,"")</x:f>
        <x:v>0.3554267716535432</x:v>
      </x:c>
      <x:c r="AD140" s="204" t="n">
        <x:f>IFERROR(1-V140/AB140,"")</x:f>
        <x:v>0.35543966286028605</x:v>
      </x:c>
      <x:c r="AE140" s="19" t="str">
        <x:f>IF(AC140&lt;Anyag_Beallitasok!$B$3,"NEM ÉRI EL A 35%-OT",IF(AC140&lt;Anyag_Beallitasok!$B$4,"MINIMUM 35–49,9%",IF(AC140&lt;Anyag_Beallitasok!$B$5,"IDEÁLIS 50–59,9%","KIEMELKEDŐ ≥60%")))</x:f>
        <x:v>MINIMUM 35–49,9%</x:v>
      </x:c>
      <x:c r="AF140" s="204" t="n">
        <x:f>IFERROR(AB140/H140-1,"")</x:f>
        <x:v>0.00001999999999990898</x:v>
      </x:c>
      <x:c r="AG140" s="19" t="str">
        <x:f>IF(AND(P140="IGEN",O140&gt;0),IF(AF140&gt;Anyag_Beallitasok!$B$10,"0%-OS SZÁMLA + ÖNADÓZÁS; FELÁR SZÜKSÉGES","0%-OS SZÁMLA + ÖNADÓZÁS"),IF(AF140&gt;Anyag_Beallitasok!$B$10,"FELÁR SZÜKSÉGES A 35%-HOZ",IF(AC140&lt;Anyag_Beallitasok!$B$3,"PIACI ÁRON NEM TARTHATÓ A 35%","OK")))</x:f>
        <x:v>0%-OS SZÁMLA + ÖNADÓZÁS</x:v>
      </x:c>
      <x:c r="AH140" s="207" t="n">
        <x:v>0</x:v>
      </x:c>
      <x:c r="AI140" s="207" t="n">
        <x:v>0</x:v>
      </x:c>
      <x:c r="AJ140" s="207" t="n">
        <x:v>0</x:v>
      </x:c>
      <x:c r="AK140" s="208"/>
      <x:c r="AL140" s="203" t="str">
        <x:f>IF(AK140="","",V140*AK140)</x:f>
      </x:c>
      <x:c r="AM140" s="203" t="str">
        <x:f>IF(AK140="","",AB140*AK140)</x:f>
      </x:c>
      <x:c r="AN140" s="204" t="str">
        <x:f>IFERROR(1-AL140/AM140,"")</x:f>
      </x:c>
      <x:c r="AO140" s="19" t="str">
        <x:v>https://ablakland.hu/arlistak-arak-c-540.html?view=all</x:v>
      </x:c>
      <x:c r="AP140" s="19" t="str">
        <x:v>2026 piaci becslés</x:v>
      </x:c>
      <x:c r="AQ140" s="19" t="str">
        <x:v>Prémium alternatíva.</x:v>
      </x:c>
    </x:row>
    <x:row r="141">
      <x:c r="A141" s="19" t="str">
        <x:v>ANY-0140</x:v>
      </x:c>
      <x:c r="B141" s="19" t="str">
        <x:v>09 Nyílászáró</x:v>
      </x:c>
      <x:c r="C141" s="19" t="str">
        <x:v>Ablak, ajtó, árnyékolás</x:v>
      </x:c>
      <x:c r="D141" s="19" t="str">
        <x:v>Mindegyik</x:v>
      </x:c>
      <x:c r="E141" s="19" t="str">
        <x:v>Belső könyöklő</x:v>
      </x:c>
      <x:c r="F141" s="19" t="str">
        <x:v>laminált</x:v>
      </x:c>
      <x:c r="G141" s="19" t="str">
        <x:v>fm</x:v>
      </x:c>
      <x:c r="H141" s="203" t="n">
        <x:v>6500</x:v>
      </x:c>
      <x:c r="I141" s="204" t="n">
        <x:v>0.27</x:v>
      </x:c>
      <x:c r="J141" s="203" t="n">
        <x:f>IFERROR(H141/(1+I141),"")</x:f>
        <x:v>5118.110236220472</x:v>
      </x:c>
      <x:c r="K141" s="205" t="n">
        <x:v>0.2</x:v>
      </x:c>
      <x:c r="L141" s="203" t="n">
        <x:f>IFERROR(J141*(1-K141),"")</x:f>
        <x:v>4094.488188976378</x:v>
      </x:c>
      <x:c r="M141" s="19" t="str">
        <x:v>27% normál belföldi</x:v>
      </x:c>
      <x:c r="N141" s="204" t="n">
        <x:v>0.27</x:v>
      </x:c>
      <x:c r="O141" s="204" t="n">
        <x:v>0</x:v>
      </x:c>
      <x:c r="P141" s="19" t="str">
        <x:v>NEM</x:v>
      </x:c>
      <x:c r="Q141" s="203" t="n">
        <x:f>IFERROR(L141*(1+N141),"")</x:f>
        <x:v>5200</x:v>
      </x:c>
      <x:c r="R141" s="205" t="n">
        <x:v>0.08</x:v>
      </x:c>
      <x:c r="S141" s="203" t="n">
        <x:f>IFERROR(Q141*(1+R141),"")</x:f>
        <x:v>5616</x:v>
      </x:c>
      <x:c r="T141" s="206" t="n">
        <x:v>200</x:v>
      </x:c>
      <x:c r="U141" s="206" t="n">
        <x:v>0</x:v>
      </x:c>
      <x:c r="V141" s="203" t="n">
        <x:f>IFERROR(S141+T141+U141,"")</x:f>
        <x:v>5816</x:v>
      </x:c>
      <x:c r="W141" s="203" t="n">
        <x:f>IFERROR(H141/(1+Anyag_Beallitasok!$B$2)*Anyag_Beallitasok!$B$9,"")</x:f>
        <x:v>6190.47619047619</x:v>
      </x:c>
      <x:c r="X141" s="203" t="n">
        <x:f>IFERROR(V141/((1-Anyag_Beallitasok!$B$3)*(1+Anyag_Beallitasok!$B$2)),"")</x:f>
        <x:v>8521.61172161172</x:v>
      </x:c>
      <x:c r="Y141" s="203" t="n">
        <x:f>IFERROR(V141/((1-Anyag_Beallitasok!$B$4)*(1+Anyag_Beallitasok!$B$2)),"")</x:f>
        <x:v>11078.095238095239</x:v>
      </x:c>
      <x:c r="Z141" s="203" t="n">
        <x:f>IFERROR(ROUNDUP(MAX(W141,X141)/Anyag_Beallitasok!$B$6,0)*Anyag_Beallitasok!$B$6,"")</x:f>
        <x:v>8550</x:v>
      </x:c>
      <x:c r="AA141" s="204" t="n">
        <x:f>Anyag_Beallitasok!$B$2</x:f>
        <x:v>0.05</x:v>
      </x:c>
      <x:c r="AB141" s="203" t="n">
        <x:f>IFERROR(Z141*(1+AA141),"")</x:f>
        <x:v>8977.5</x:v>
      </x:c>
      <x:c r="AC141" s="204" t="n">
        <x:f>IFERROR(1-V141/H141,"")</x:f>
        <x:v>0.10523076923076924</x:v>
      </x:c>
      <x:c r="AD141" s="204" t="n">
        <x:f>IFERROR(1-V141/AB141,"")</x:f>
        <x:v>0.3521581732108048</x:v>
      </x:c>
      <x:c r="AE141" s="19" t="str">
        <x:f>IF(AC141&lt;Anyag_Beallitasok!$B$3,"NEM ÉRI EL A 35%-OT",IF(AC141&lt;Anyag_Beallitasok!$B$4,"MINIMUM 35–49,9%",IF(AC141&lt;Anyag_Beallitasok!$B$5,"IDEÁLIS 50–59,9%","KIEMELKEDŐ ≥60%")))</x:f>
        <x:v>NEM ÉRI EL A 35%-OT</x:v>
      </x:c>
      <x:c r="AF141" s="204" t="n">
        <x:f>IFERROR(AB141/H141-1,"")</x:f>
        <x:v>0.3811538461538462</x:v>
      </x:c>
      <x:c r="AG141" s="19" t="str">
        <x:f>IF(AND(P141="IGEN",O141&gt;0),IF(AF141&gt;Anyag_Beallitasok!$B$10,"0%-OS SZÁMLA + ÖNADÓZÁS; FELÁR SZÜKSÉGES","0%-OS SZÁMLA + ÖNADÓZÁS"),IF(AF141&gt;Anyag_Beallitasok!$B$10,"FELÁR SZÜKSÉGES A 35%-HOZ",IF(AC141&lt;Anyag_Beallitasok!$B$3,"PIACI ÁRON NEM TARTHATÓ A 35%","OK")))</x:f>
        <x:v>FELÁR SZÜKSÉGES A 35%-HOZ</x:v>
      </x:c>
      <x:c r="AH141" s="207" t="n">
        <x:v>20</x:v>
      </x:c>
      <x:c r="AI141" s="207" t="n">
        <x:v>20</x:v>
      </x:c>
      <x:c r="AJ141" s="207" t="n">
        <x:v>20</x:v>
      </x:c>
      <x:c r="AK141" s="208"/>
      <x:c r="AL141" s="203" t="str">
        <x:f>IF(AK141="","",V141*AK141)</x:f>
      </x:c>
      <x:c r="AM141" s="203" t="str">
        <x:f>IF(AK141="","",AB141*AK141)</x:f>
      </x:c>
      <x:c r="AN141" s="204" t="str">
        <x:f>IFERROR(1-AL141/AM141,"")</x:f>
      </x:c>
      <x:c r="AO141" s="19" t="str">
        <x:v>https://ablakland.hu/arlistak-arak-c-540.html?view=all</x:v>
      </x:c>
      <x:c r="AP141" s="19" t="str">
        <x:v>2026 piaci becslés</x:v>
      </x:c>
      <x:c r="AQ141" s="19" t="str"/>
    </x:row>
    <x:row r="142">
      <x:c r="A142" s="19" t="str">
        <x:v>ANY-0141</x:v>
      </x:c>
      <x:c r="B142" s="19" t="str">
        <x:v>09 Nyílászáró</x:v>
      </x:c>
      <x:c r="C142" s="19" t="str">
        <x:v>Ablak, ajtó, árnyékolás</x:v>
      </x:c>
      <x:c r="D142" s="19" t="str">
        <x:v>Mindegyik</x:v>
      </x:c>
      <x:c r="E142" s="19" t="str">
        <x:v>Külső párkány alumínium</x:v>
      </x:c>
      <x:c r="F142" s="19" t="str">
        <x:v>színterezett</x:v>
      </x:c>
      <x:c r="G142" s="19" t="str">
        <x:v>fm</x:v>
      </x:c>
      <x:c r="H142" s="203" t="n">
        <x:v>8500</x:v>
      </x:c>
      <x:c r="I142" s="204" t="n">
        <x:v>0.27</x:v>
      </x:c>
      <x:c r="J142" s="203" t="n">
        <x:f>IFERROR(H142/(1+I142),"")</x:f>
        <x:v>6692.913385826771</x:v>
      </x:c>
      <x:c r="K142" s="205" t="n">
        <x:v>0.2</x:v>
      </x:c>
      <x:c r="L142" s="203" t="n">
        <x:f>IFERROR(J142*(1-K142),"")</x:f>
        <x:v>5354.330708661418</x:v>
      </x:c>
      <x:c r="M142" s="19" t="str">
        <x:v>27% normál belföldi</x:v>
      </x:c>
      <x:c r="N142" s="204" t="n">
        <x:v>0.27</x:v>
      </x:c>
      <x:c r="O142" s="204" t="n">
        <x:v>0</x:v>
      </x:c>
      <x:c r="P142" s="19" t="str">
        <x:v>NEM</x:v>
      </x:c>
      <x:c r="Q142" s="203" t="n">
        <x:f>IFERROR(L142*(1+N142),"")</x:f>
        <x:v>6800.000000000001</x:v>
      </x:c>
      <x:c r="R142" s="205" t="n">
        <x:v>0.08</x:v>
      </x:c>
      <x:c r="S142" s="203" t="n">
        <x:f>IFERROR(Q142*(1+R142),"")</x:f>
        <x:v>7344.000000000002</x:v>
      </x:c>
      <x:c r="T142" s="206" t="n">
        <x:v>250</x:v>
      </x:c>
      <x:c r="U142" s="206" t="n">
        <x:v>0</x:v>
      </x:c>
      <x:c r="V142" s="203" t="n">
        <x:f>IFERROR(S142+T142+U142,"")</x:f>
        <x:v>7594.000000000002</x:v>
      </x:c>
      <x:c r="W142" s="203" t="n">
        <x:f>IFERROR(H142/(1+Anyag_Beallitasok!$B$2)*Anyag_Beallitasok!$B$9,"")</x:f>
        <x:v>8095.2380952380945</x:v>
      </x:c>
      <x:c r="X142" s="203" t="n">
        <x:f>IFERROR(V142/((1-Anyag_Beallitasok!$B$3)*(1+Anyag_Beallitasok!$B$2)),"")</x:f>
        <x:v>11126.739926739927</x:v>
      </x:c>
      <x:c r="Y142" s="203" t="n">
        <x:f>IFERROR(V142/((1-Anyag_Beallitasok!$B$4)*(1+Anyag_Beallitasok!$B$2)),"")</x:f>
        <x:v>14464.761904761908</x:v>
      </x:c>
      <x:c r="Z142" s="203" t="n">
        <x:f>IFERROR(ROUNDUP(MAX(W142,X142)/Anyag_Beallitasok!$B$6,0)*Anyag_Beallitasok!$B$6,"")</x:f>
        <x:v>11150</x:v>
      </x:c>
      <x:c r="AA142" s="204" t="n">
        <x:f>Anyag_Beallitasok!$B$2</x:f>
        <x:v>0.05</x:v>
      </x:c>
      <x:c r="AB142" s="203" t="n">
        <x:f>IFERROR(Z142*(1+AA142),"")</x:f>
        <x:v>11707.5</x:v>
      </x:c>
      <x:c r="AC142" s="204" t="n">
        <x:f>IFERROR(1-V142/H142,"")</x:f>
        <x:v>0.10658823529411743</x:v>
      </x:c>
      <x:c r="AD142" s="204" t="n">
        <x:f>IFERROR(1-V142/AB142,"")</x:f>
        <x:v>0.351355968396327</x:v>
      </x:c>
      <x:c r="AE142" s="19" t="str">
        <x:f>IF(AC142&lt;Anyag_Beallitasok!$B$3,"NEM ÉRI EL A 35%-OT",IF(AC142&lt;Anyag_Beallitasok!$B$4,"MINIMUM 35–49,9%",IF(AC142&lt;Anyag_Beallitasok!$B$5,"IDEÁLIS 50–59,9%","KIEMELKEDŐ ≥60%")))</x:f>
        <x:v>NEM ÉRI EL A 35%-OT</x:v>
      </x:c>
      <x:c r="AF142" s="204" t="n">
        <x:f>IFERROR(AB142/H142-1,"")</x:f>
        <x:v>0.37735294117647067</x:v>
      </x:c>
      <x:c r="AG142" s="19" t="str">
        <x:f>IF(AND(P142="IGEN",O142&gt;0),IF(AF142&gt;Anyag_Beallitasok!$B$10,"0%-OS SZÁMLA + ÖNADÓZÁS; FELÁR SZÜKSÉGES","0%-OS SZÁMLA + ÖNADÓZÁS"),IF(AF142&gt;Anyag_Beallitasok!$B$10,"FELÁR SZÜKSÉGES A 35%-HOZ",IF(AC142&lt;Anyag_Beallitasok!$B$3,"PIACI ÁRON NEM TARTHATÓ A 35%","OK")))</x:f>
        <x:v>FELÁR SZÜKSÉGES A 35%-HOZ</x:v>
      </x:c>
      <x:c r="AH142" s="207" t="n">
        <x:v>25</x:v>
      </x:c>
      <x:c r="AI142" s="207" t="n">
        <x:v>25</x:v>
      </x:c>
      <x:c r="AJ142" s="207" t="n">
        <x:v>25</x:v>
      </x:c>
      <x:c r="AK142" s="208"/>
      <x:c r="AL142" s="203" t="str">
        <x:f>IF(AK142="","",V142*AK142)</x:f>
      </x:c>
      <x:c r="AM142" s="203" t="str">
        <x:f>IF(AK142="","",AB142*AK142)</x:f>
      </x:c>
      <x:c r="AN142" s="204" t="str">
        <x:f>IFERROR(1-AL142/AM142,"")</x:f>
      </x:c>
      <x:c r="AO142" s="19" t="str">
        <x:v>https://ablakland.hu/arlistak-arak-c-540.html?view=all</x:v>
      </x:c>
      <x:c r="AP142" s="19" t="str">
        <x:v>2026 piaci becslés</x:v>
      </x:c>
      <x:c r="AQ142" s="19" t="str"/>
    </x:row>
    <x:row r="143">
      <x:c r="A143" s="19" t="str">
        <x:v>ANY-0142</x:v>
      </x:c>
      <x:c r="B143" s="19" t="str">
        <x:v>09 Nyílászáró</x:v>
      </x:c>
      <x:c r="C143" s="19" t="str">
        <x:v>Ablak, ajtó, árnyékolás</x:v>
      </x:c>
      <x:c r="D143" s="19" t="str">
        <x:v>Mindegyik</x:v>
      </x:c>
      <x:c r="E143" s="19" t="str">
        <x:v>PUR szerelőhab</x:v>
      </x:c>
      <x:c r="F143" s="19" t="str">
        <x:v>pisztolyos 750 ml</x:v>
      </x:c>
      <x:c r="G143" s="19" t="str">
        <x:v>flakon</x:v>
      </x:c>
      <x:c r="H143" s="203" t="n">
        <x:v>3200</x:v>
      </x:c>
      <x:c r="I143" s="204" t="n">
        <x:v>0.27</x:v>
      </x:c>
      <x:c r="J143" s="203" t="n">
        <x:f>IFERROR(H143/(1+I143),"")</x:f>
        <x:v>2519.685039370079</x:v>
      </x:c>
      <x:c r="K143" s="205" t="n">
        <x:v>0.2</x:v>
      </x:c>
      <x:c r="L143" s="203" t="n">
        <x:f>IFERROR(J143*(1-K143),"")</x:f>
        <x:v>2015.748031496063</x:v>
      </x:c>
      <x:c r="M143" s="19" t="str">
        <x:v>27% normál belföldi</x:v>
      </x:c>
      <x:c r="N143" s="204" t="n">
        <x:v>0.27</x:v>
      </x:c>
      <x:c r="O143" s="204" t="n">
        <x:v>0</x:v>
      </x:c>
      <x:c r="P143" s="19" t="str">
        <x:v>NEM</x:v>
      </x:c>
      <x:c r="Q143" s="203" t="n">
        <x:f>IFERROR(L143*(1+N143),"")</x:f>
        <x:v>2560</x:v>
      </x:c>
      <x:c r="R143" s="205" t="n">
        <x:v>0.1</x:v>
      </x:c>
      <x:c r="S143" s="203" t="n">
        <x:f>IFERROR(Q143*(1+R143),"")</x:f>
        <x:v>2816</x:v>
      </x:c>
      <x:c r="T143" s="206" t="n">
        <x:v>60</x:v>
      </x:c>
      <x:c r="U143" s="206" t="n">
        <x:v>0</x:v>
      </x:c>
      <x:c r="V143" s="203" t="n">
        <x:f>IFERROR(S143+T143+U143,"")</x:f>
        <x:v>2876</x:v>
      </x:c>
      <x:c r="W143" s="203" t="n">
        <x:f>IFERROR(H143/(1+Anyag_Beallitasok!$B$2)*Anyag_Beallitasok!$B$9,"")</x:f>
        <x:v>3047.6190476190477</x:v>
      </x:c>
      <x:c r="X143" s="203" t="n">
        <x:f>IFERROR(V143/((1-Anyag_Beallitasok!$B$3)*(1+Anyag_Beallitasok!$B$2)),"")</x:f>
        <x:v>4213.919413919413</x:v>
      </x:c>
      <x:c r="Y143" s="203" t="n">
        <x:f>IFERROR(V143/((1-Anyag_Beallitasok!$B$4)*(1+Anyag_Beallitasok!$B$2)),"")</x:f>
        <x:v>5478.095238095238</x:v>
      </x:c>
      <x:c r="Z143" s="203" t="n">
        <x:f>IFERROR(ROUNDUP(MAX(W143,X143)/Anyag_Beallitasok!$B$6,0)*Anyag_Beallitasok!$B$6,"")</x:f>
        <x:v>4250</x:v>
      </x:c>
      <x:c r="AA143" s="204" t="n">
        <x:f>Anyag_Beallitasok!$B$2</x:f>
        <x:v>0.05</x:v>
      </x:c>
      <x:c r="AB143" s="203" t="n">
        <x:f>IFERROR(Z143*(1+AA143),"")</x:f>
        <x:v>4462.5</x:v>
      </x:c>
      <x:c r="AC143" s="204" t="n">
        <x:f>IFERROR(1-V143/H143,"")</x:f>
        <x:v>0.10124999999999995</x:v>
      </x:c>
      <x:c r="AD143" s="204" t="n">
        <x:f>IFERROR(1-V143/AB143,"")</x:f>
        <x:v>0.35551820728291317</x:v>
      </x:c>
      <x:c r="AE143" s="19" t="str">
        <x:f>IF(AC143&lt;Anyag_Beallitasok!$B$3,"NEM ÉRI EL A 35%-OT",IF(AC143&lt;Anyag_Beallitasok!$B$4,"MINIMUM 35–49,9%",IF(AC143&lt;Anyag_Beallitasok!$B$5,"IDEÁLIS 50–59,9%","KIEMELKEDŐ ≥60%")))</x:f>
        <x:v>NEM ÉRI EL A 35%-OT</x:v>
      </x:c>
      <x:c r="AF143" s="204" t="n">
        <x:f>IFERROR(AB143/H143-1,"")</x:f>
        <x:v>0.39453125</x:v>
      </x:c>
      <x:c r="AG143" s="19" t="str">
        <x:f>IF(AND(P143="IGEN",O143&gt;0),IF(AF143&gt;Anyag_Beallitasok!$B$10,"0%-OS SZÁMLA + ÖNADÓZÁS; FELÁR SZÜKSÉGES","0%-OS SZÁMLA + ÖNADÓZÁS"),IF(AF143&gt;Anyag_Beallitasok!$B$10,"FELÁR SZÜKSÉGES A 35%-HOZ",IF(AC143&lt;Anyag_Beallitasok!$B$3,"PIACI ÁRON NEM TARTHATÓ A 35%","OK")))</x:f>
        <x:v>FELÁR SZÜKSÉGES A 35%-HOZ</x:v>
      </x:c>
      <x:c r="AH143" s="207" t="n">
        <x:v>40</x:v>
      </x:c>
      <x:c r="AI143" s="207" t="n">
        <x:v>40</x:v>
      </x:c>
      <x:c r="AJ143" s="207" t="n">
        <x:v>40</x:v>
      </x:c>
      <x:c r="AK143" s="208"/>
      <x:c r="AL143" s="203" t="str">
        <x:f>IF(AK143="","",V143*AK143)</x:f>
      </x:c>
      <x:c r="AM143" s="203" t="str">
        <x:f>IF(AK143="","",AB143*AK143)</x:f>
      </x:c>
      <x:c r="AN143" s="204" t="str">
        <x:f>IFERROR(1-AL143/AM143,"")</x:f>
      </x:c>
      <x:c r="AO143" s="19" t="str">
        <x:v>https://www.winklertuzep.hu/arlista-web/Sz%C3%A1raz%C3%A9p%C3%ADt%C3%A9s</x:v>
      </x:c>
      <x:c r="AP143" s="19" t="str">
        <x:v>2026 piaci becslés</x:v>
      </x:c>
      <x:c r="AQ143" s="19" t="str"/>
    </x:row>
    <x:row r="144">
      <x:c r="A144" s="19" t="str">
        <x:v>ANY-0143</x:v>
      </x:c>
      <x:c r="B144" s="19" t="str">
        <x:v>09 Nyílászáró</x:v>
      </x:c>
      <x:c r="C144" s="19" t="str">
        <x:v>Ablak, ajtó, árnyékolás</x:v>
      </x:c>
      <x:c r="D144" s="19" t="str">
        <x:v>Mindegyik</x:v>
      </x:c>
      <x:c r="E144" s="19" t="str">
        <x:v>RAL belső légzáró szalag</x:v>
      </x:c>
      <x:c r="F144" s="19" t="str">
        <x:v>nyílászáróhoz</x:v>
      </x:c>
      <x:c r="G144" s="19" t="str">
        <x:v>fm</x:v>
      </x:c>
      <x:c r="H144" s="203" t="n">
        <x:v>950</x:v>
      </x:c>
      <x:c r="I144" s="204" t="n">
        <x:v>0.27</x:v>
      </x:c>
      <x:c r="J144" s="203" t="n">
        <x:f>IFERROR(H144/(1+I144),"")</x:f>
        <x:v>748.0314960629921</x:v>
      </x:c>
      <x:c r="K144" s="205" t="n">
        <x:v>0.2</x:v>
      </x:c>
      <x:c r="L144" s="203" t="n">
        <x:f>IFERROR(J144*(1-K144),"")</x:f>
        <x:v>598.4251968503937</x:v>
      </x:c>
      <x:c r="M144" s="19" t="str">
        <x:v>27% normál belföldi</x:v>
      </x:c>
      <x:c r="N144" s="204" t="n">
        <x:v>0.27</x:v>
      </x:c>
      <x:c r="O144" s="204" t="n">
        <x:v>0</x:v>
      </x:c>
      <x:c r="P144" s="19" t="str">
        <x:v>NEM</x:v>
      </x:c>
      <x:c r="Q144" s="203" t="n">
        <x:f>IFERROR(L144*(1+N144),"")</x:f>
        <x:v>760</x:v>
      </x:c>
      <x:c r="R144" s="205" t="n">
        <x:v>0.1</x:v>
      </x:c>
      <x:c r="S144" s="203" t="n">
        <x:f>IFERROR(Q144*(1+R144),"")</x:f>
        <x:v>836.0000000000001</x:v>
      </x:c>
      <x:c r="T144" s="206" t="n">
        <x:v>20</x:v>
      </x:c>
      <x:c r="U144" s="206" t="n">
        <x:v>0</x:v>
      </x:c>
      <x:c r="V144" s="203" t="n">
        <x:f>IFERROR(S144+T144+U144,"")</x:f>
        <x:v>856.0000000000001</x:v>
      </x:c>
      <x:c r="W144" s="203" t="n">
        <x:f>IFERROR(H144/(1+Anyag_Beallitasok!$B$2)*Anyag_Beallitasok!$B$9,"")</x:f>
        <x:v>904.7619047619047</x:v>
      </x:c>
      <x:c r="X144" s="203" t="n">
        <x:f>IFERROR(V144/((1-Anyag_Beallitasok!$B$3)*(1+Anyag_Beallitasok!$B$2)),"")</x:f>
        <x:v>1254.212454212454</x:v>
      </x:c>
      <x:c r="Y144" s="203" t="n">
        <x:f>IFERROR(V144/((1-Anyag_Beallitasok!$B$4)*(1+Anyag_Beallitasok!$B$2)),"")</x:f>
        <x:v>1630.4761904761906</x:v>
      </x:c>
      <x:c r="Z144" s="203" t="n">
        <x:f>IFERROR(ROUNDUP(MAX(W144,X144)/Anyag_Beallitasok!$B$6,0)*Anyag_Beallitasok!$B$6,"")</x:f>
        <x:v>1300</x:v>
      </x:c>
      <x:c r="AA144" s="204" t="n">
        <x:f>Anyag_Beallitasok!$B$2</x:f>
        <x:v>0.05</x:v>
      </x:c>
      <x:c r="AB144" s="203" t="n">
        <x:f>IFERROR(Z144*(1+AA144),"")</x:f>
        <x:v>1365</x:v>
      </x:c>
      <x:c r="AC144" s="204" t="n">
        <x:f>IFERROR(1-V144/H144,"")</x:f>
        <x:v>0.09894736842105256</x:v>
      </x:c>
      <x:c r="AD144" s="204" t="n">
        <x:f>IFERROR(1-V144/AB144,"")</x:f>
        <x:v>0.3728937728937728</x:v>
      </x:c>
      <x:c r="AE144" s="19" t="str">
        <x:f>IF(AC144&lt;Anyag_Beallitasok!$B$3,"NEM ÉRI EL A 35%-OT",IF(AC144&lt;Anyag_Beallitasok!$B$4,"MINIMUM 35–49,9%",IF(AC144&lt;Anyag_Beallitasok!$B$5,"IDEÁLIS 50–59,9%","KIEMELKEDŐ ≥60%")))</x:f>
        <x:v>NEM ÉRI EL A 35%-OT</x:v>
      </x:c>
      <x:c r="AF144" s="204" t="n">
        <x:f>IFERROR(AB144/H144-1,"")</x:f>
        <x:v>0.4368421052631579</x:v>
      </x:c>
      <x:c r="AG144" s="19" t="str">
        <x:f>IF(AND(P144="IGEN",O144&gt;0),IF(AF144&gt;Anyag_Beallitasok!$B$10,"0%-OS SZÁMLA + ÖNADÓZÁS; FELÁR SZÜKSÉGES","0%-OS SZÁMLA + ÖNADÓZÁS"),IF(AF144&gt;Anyag_Beallitasok!$B$10,"FELÁR SZÜKSÉGES A 35%-HOZ",IF(AC144&lt;Anyag_Beallitasok!$B$3,"PIACI ÁRON NEM TARTHATÓ A 35%","OK")))</x:f>
        <x:v>FELÁR SZÜKSÉGES A 35%-HOZ</x:v>
      </x:c>
      <x:c r="AH144" s="207" t="n">
        <x:v>150</x:v>
      </x:c>
      <x:c r="AI144" s="207" t="n">
        <x:v>150</x:v>
      </x:c>
      <x:c r="AJ144" s="207" t="n">
        <x:v>150</x:v>
      </x:c>
      <x:c r="AK144" s="208"/>
      <x:c r="AL144" s="203" t="str">
        <x:f>IF(AK144="","",V144*AK144)</x:f>
      </x:c>
      <x:c r="AM144" s="203" t="str">
        <x:f>IF(AK144="","",AB144*AK144)</x:f>
      </x:c>
      <x:c r="AN144" s="204" t="str">
        <x:f>IFERROR(1-AL144/AM144,"")</x:f>
      </x:c>
      <x:c r="AO144" s="19" t="str">
        <x:v>https://www.winklertuzep.hu/arlista-web/Sz%C3%A1raz%C3%A9p%C3%ADt%C3%A9s</x:v>
      </x:c>
      <x:c r="AP144" s="19" t="str">
        <x:v>2026 piaci becslés</x:v>
      </x:c>
      <x:c r="AQ144" s="19" t="str"/>
    </x:row>
    <x:row r="145">
      <x:c r="A145" s="19" t="str">
        <x:v>ANY-0144</x:v>
      </x:c>
      <x:c r="B145" s="19" t="str">
        <x:v>09 Nyílászáró</x:v>
      </x:c>
      <x:c r="C145" s="19" t="str">
        <x:v>Ablak, ajtó, árnyékolás</x:v>
      </x:c>
      <x:c r="D145" s="19" t="str">
        <x:v>Mindegyik</x:v>
      </x:c>
      <x:c r="E145" s="19" t="str">
        <x:v>RAL külső páraáteresztő szalag</x:v>
      </x:c>
      <x:c r="F145" s="19" t="str">
        <x:v>nyílászáróhoz</x:v>
      </x:c>
      <x:c r="G145" s="19" t="str">
        <x:v>fm</x:v>
      </x:c>
      <x:c r="H145" s="203" t="n">
        <x:v>1100</x:v>
      </x:c>
      <x:c r="I145" s="204" t="n">
        <x:v>0.27</x:v>
      </x:c>
      <x:c r="J145" s="203" t="n">
        <x:f>IFERROR(H145/(1+I145),"")</x:f>
        <x:v>866.1417322834645</x:v>
      </x:c>
      <x:c r="K145" s="205" t="n">
        <x:v>0.2</x:v>
      </x:c>
      <x:c r="L145" s="203" t="n">
        <x:f>IFERROR(J145*(1-K145),"")</x:f>
        <x:v>692.9133858267717</x:v>
      </x:c>
      <x:c r="M145" s="19" t="str">
        <x:v>27% normál belföldi</x:v>
      </x:c>
      <x:c r="N145" s="204" t="n">
        <x:v>0.27</x:v>
      </x:c>
      <x:c r="O145" s="204" t="n">
        <x:v>0</x:v>
      </x:c>
      <x:c r="P145" s="19" t="str">
        <x:v>NEM</x:v>
      </x:c>
      <x:c r="Q145" s="203" t="n">
        <x:f>IFERROR(L145*(1+N145),"")</x:f>
        <x:v>880</x:v>
      </x:c>
      <x:c r="R145" s="205" t="n">
        <x:v>0.1</x:v>
      </x:c>
      <x:c r="S145" s="203" t="n">
        <x:f>IFERROR(Q145*(1+R145),"")</x:f>
        <x:v>968.0000000000001</x:v>
      </x:c>
      <x:c r="T145" s="206" t="n">
        <x:v>25</x:v>
      </x:c>
      <x:c r="U145" s="206" t="n">
        <x:v>0</x:v>
      </x:c>
      <x:c r="V145" s="203" t="n">
        <x:f>IFERROR(S145+T145+U145,"")</x:f>
        <x:v>993.0000000000001</x:v>
      </x:c>
      <x:c r="W145" s="203" t="n">
        <x:f>IFERROR(H145/(1+Anyag_Beallitasok!$B$2)*Anyag_Beallitasok!$B$9,"")</x:f>
        <x:v>1047.6190476190475</x:v>
      </x:c>
      <x:c r="X145" s="203" t="n">
        <x:f>IFERROR(V145/((1-Anyag_Beallitasok!$B$3)*(1+Anyag_Beallitasok!$B$2)),"")</x:f>
        <x:v>1454.9450549450548</x:v>
      </x:c>
      <x:c r="Y145" s="203" t="n">
        <x:f>IFERROR(V145/((1-Anyag_Beallitasok!$B$4)*(1+Anyag_Beallitasok!$B$2)),"")</x:f>
        <x:v>1891.4285714285716</x:v>
      </x:c>
      <x:c r="Z145" s="203" t="n">
        <x:f>IFERROR(ROUNDUP(MAX(W145,X145)/Anyag_Beallitasok!$B$6,0)*Anyag_Beallitasok!$B$6,"")</x:f>
        <x:v>1500</x:v>
      </x:c>
      <x:c r="AA145" s="204" t="n">
        <x:f>Anyag_Beallitasok!$B$2</x:f>
        <x:v>0.05</x:v>
      </x:c>
      <x:c r="AB145" s="203" t="n">
        <x:f>IFERROR(Z145*(1+AA145),"")</x:f>
        <x:v>1575</x:v>
      </x:c>
      <x:c r="AC145" s="204" t="n">
        <x:f>IFERROR(1-V145/H145,"")</x:f>
        <x:v>0.09727272727272718</x:v>
      </x:c>
      <x:c r="AD145" s="204" t="n">
        <x:f>IFERROR(1-V145/AB145,"")</x:f>
        <x:v>0.3695238095238095</x:v>
      </x:c>
      <x:c r="AE145" s="19" t="str">
        <x:f>IF(AC145&lt;Anyag_Beallitasok!$B$3,"NEM ÉRI EL A 35%-OT",IF(AC145&lt;Anyag_Beallitasok!$B$4,"MINIMUM 35–49,9%",IF(AC145&lt;Anyag_Beallitasok!$B$5,"IDEÁLIS 50–59,9%","KIEMELKEDŐ ≥60%")))</x:f>
        <x:v>NEM ÉRI EL A 35%-OT</x:v>
      </x:c>
      <x:c r="AF145" s="204" t="n">
        <x:f>IFERROR(AB145/H145-1,"")</x:f>
        <x:v>0.4318181818181819</x:v>
      </x:c>
      <x:c r="AG145" s="19" t="str">
        <x:f>IF(AND(P145="IGEN",O145&gt;0),IF(AF145&gt;Anyag_Beallitasok!$B$10,"0%-OS SZÁMLA + ÖNADÓZÁS; FELÁR SZÜKSÉGES","0%-OS SZÁMLA + ÖNADÓZÁS"),IF(AF145&gt;Anyag_Beallitasok!$B$10,"FELÁR SZÜKSÉGES A 35%-HOZ",IF(AC145&lt;Anyag_Beallitasok!$B$3,"PIACI ÁRON NEM TARTHATÓ A 35%","OK")))</x:f>
        <x:v>FELÁR SZÜKSÉGES A 35%-HOZ</x:v>
      </x:c>
      <x:c r="AH145" s="207" t="n">
        <x:v>150</x:v>
      </x:c>
      <x:c r="AI145" s="207" t="n">
        <x:v>150</x:v>
      </x:c>
      <x:c r="AJ145" s="207" t="n">
        <x:v>150</x:v>
      </x:c>
      <x:c r="AK145" s="208"/>
      <x:c r="AL145" s="203" t="str">
        <x:f>IF(AK145="","",V145*AK145)</x:f>
      </x:c>
      <x:c r="AM145" s="203" t="str">
        <x:f>IF(AK145="","",AB145*AK145)</x:f>
      </x:c>
      <x:c r="AN145" s="204" t="str">
        <x:f>IFERROR(1-AL145/AM145,"")</x:f>
      </x:c>
      <x:c r="AO145" s="19" t="str">
        <x:v>https://www.winklertuzep.hu/arlista-web/Sz%C3%A1raz%C3%A9p%C3%ADt%C3%A9s</x:v>
      </x:c>
      <x:c r="AP145" s="19" t="str">
        <x:v>2026 piaci becslés</x:v>
      </x:c>
      <x:c r="AQ145" s="19" t="str"/>
    </x:row>
    <x:row r="146">
      <x:c r="A146" s="19" t="str">
        <x:v>ANY-0145</x:v>
      </x:c>
      <x:c r="B146" s="19" t="str">
        <x:v>10 Belső alapfelületek</x:v>
      </x:c>
      <x:c r="C146" s="19" t="str">
        <x:v>Gipszkarton, vakolat, esztrich</x:v>
      </x:c>
      <x:c r="D146" s="19" t="str">
        <x:v>Mindegyik</x:v>
      </x:c>
      <x:c r="E146" s="19" t="str">
        <x:v>Normál gipszkarton RB 12,5 mm</x:v>
      </x:c>
      <x:c r="F146" s="19" t="str">
        <x:v>1,2×2 m</x:v>
      </x:c>
      <x:c r="G146" s="19" t="str">
        <x:v>m²</x:v>
      </x:c>
      <x:c r="H146" s="203" t="n">
        <x:v>1876</x:v>
      </x:c>
      <x:c r="I146" s="204" t="n">
        <x:v>0.27</x:v>
      </x:c>
      <x:c r="J146" s="203" t="n">
        <x:f>IFERROR(H146/(1+I146),"")</x:f>
        <x:v>1477.1653543307086</x:v>
      </x:c>
      <x:c r="K146" s="205" t="n">
        <x:v>0.18</x:v>
      </x:c>
      <x:c r="L146" s="203" t="n">
        <x:f>IFERROR(J146*(1-K146),"")</x:f>
        <x:v>1211.2755905511813</x:v>
      </x:c>
      <x:c r="M146" s="19" t="str">
        <x:v>27% normál belföldi</x:v>
      </x:c>
      <x:c r="N146" s="204" t="n">
        <x:v>0.27</x:v>
      </x:c>
      <x:c r="O146" s="204" t="n">
        <x:v>0</x:v>
      </x:c>
      <x:c r="P146" s="19" t="str">
        <x:v>NEM</x:v>
      </x:c>
      <x:c r="Q146" s="203" t="n">
        <x:f>IFERROR(L146*(1+N146),"")</x:f>
        <x:v>1538.3200000000002</x:v>
      </x:c>
      <x:c r="R146" s="205" t="n">
        <x:v>0.08</x:v>
      </x:c>
      <x:c r="S146" s="203" t="n">
        <x:f>IFERROR(Q146*(1+R146),"")</x:f>
        <x:v>1661.3856000000003</x:v>
      </x:c>
      <x:c r="T146" s="206" t="n">
        <x:v>80</x:v>
      </x:c>
      <x:c r="U146" s="206" t="n">
        <x:v>0</x:v>
      </x:c>
      <x:c r="V146" s="203" t="n">
        <x:f>IFERROR(S146+T146+U146,"")</x:f>
        <x:v>1741.3856000000003</x:v>
      </x:c>
      <x:c r="W146" s="203" t="n">
        <x:f>IFERROR(H146/(1+Anyag_Beallitasok!$B$2)*Anyag_Beallitasok!$B$9,"")</x:f>
        <x:v>1786.6666666666665</x:v>
      </x:c>
      <x:c r="X146" s="203" t="n">
        <x:f>IFERROR(V146/((1-Anyag_Beallitasok!$B$3)*(1+Anyag_Beallitasok!$B$2)),"")</x:f>
        <x:v>2551.4807326007326</x:v>
      </x:c>
      <x:c r="Y146" s="203" t="n">
        <x:f>IFERROR(V146/((1-Anyag_Beallitasok!$B$4)*(1+Anyag_Beallitasok!$B$2)),"")</x:f>
        <x:v>3316.9249523809526</x:v>
      </x:c>
      <x:c r="Z146" s="203" t="n">
        <x:f>IFERROR(ROUNDUP(MAX(W146,X146)/Anyag_Beallitasok!$B$6,0)*Anyag_Beallitasok!$B$6,"")</x:f>
        <x:v>2600</x:v>
      </x:c>
      <x:c r="AA146" s="204" t="n">
        <x:f>Anyag_Beallitasok!$B$2</x:f>
        <x:v>0.05</x:v>
      </x:c>
      <x:c r="AB146" s="203" t="n">
        <x:f>IFERROR(Z146*(1+AA146),"")</x:f>
        <x:v>2730</x:v>
      </x:c>
      <x:c r="AC146" s="204" t="n">
        <x:f>IFERROR(1-V146/H146,"")</x:f>
        <x:v>0.0717560767590617</x:v>
      </x:c>
      <x:c r="AD146" s="204" t="n">
        <x:f>IFERROR(1-V146/AB146,"")</x:f>
        <x:v>0.3621298168498167</x:v>
      </x:c>
      <x:c r="AE146" s="19" t="str">
        <x:f>IF(AC146&lt;Anyag_Beallitasok!$B$3,"NEM ÉRI EL A 35%-OT",IF(AC146&lt;Anyag_Beallitasok!$B$4,"MINIMUM 35–49,9%",IF(AC146&lt;Anyag_Beallitasok!$B$5,"IDEÁLIS 50–59,9%","KIEMELKEDŐ ≥60%")))</x:f>
        <x:v>NEM ÉRI EL A 35%-OT</x:v>
      </x:c>
      <x:c r="AF146" s="204" t="n">
        <x:f>IFERROR(AB146/H146-1,"")</x:f>
        <x:v>0.455223880597015</x:v>
      </x:c>
      <x:c r="AG146" s="19" t="str">
        <x:f>IF(AND(P146="IGEN",O146&gt;0),IF(AF146&gt;Anyag_Beallitasok!$B$10,"0%-OS SZÁMLA + ÖNADÓZÁS; FELÁR SZÜKSÉGES","0%-OS SZÁMLA + ÖNADÓZÁS"),IF(AF146&gt;Anyag_Beallitasok!$B$10,"FELÁR SZÜKSÉGES A 35%-HOZ",IF(AC146&lt;Anyag_Beallitasok!$B$3,"PIACI ÁRON NEM TARTHATÓ A 35%","OK")))</x:f>
        <x:v>FELÁR SZÜKSÉGES A 35%-HOZ</x:v>
      </x:c>
      <x:c r="AH146" s="207" t="n">
        <x:v>260</x:v>
      </x:c>
      <x:c r="AI146" s="207" t="n">
        <x:v>340</x:v>
      </x:c>
      <x:c r="AJ146" s="207" t="n">
        <x:v>260</x:v>
      </x:c>
      <x:c r="AK146" s="208"/>
      <x:c r="AL146" s="203" t="str">
        <x:f>IF(AK146="","",V146*AK146)</x:f>
      </x:c>
      <x:c r="AM146" s="203" t="str">
        <x:f>IF(AK146="","",AB146*AK146)</x:f>
      </x:c>
      <x:c r="AN146" s="204" t="str">
        <x:f>IFERROR(1-AL146/AM146,"")</x:f>
      </x:c>
      <x:c r="AO146" s="19" t="str">
        <x:v>https://www.winklertuzep.hu/arlista-web/Sz%C3%A1raz%C3%A9p%C3%ADt%C3%A9s</x:v>
      </x:c>
      <x:c r="AP146" s="19" t="str">
        <x:v>Közvetlen 2026 webár</x:v>
      </x:c>
      <x:c r="AQ146" s="19" t="str"/>
    </x:row>
    <x:row r="147">
      <x:c r="A147" s="19" t="str">
        <x:v>ANY-0146</x:v>
      </x:c>
      <x:c r="B147" s="19" t="str">
        <x:v>10 Belső alapfelületek</x:v>
      </x:c>
      <x:c r="C147" s="19" t="str">
        <x:v>Gipszkarton, vakolat, esztrich</x:v>
      </x:c>
      <x:c r="D147" s="19" t="str">
        <x:v>Mindegyik</x:v>
      </x:c>
      <x:c r="E147" s="19" t="str">
        <x:v>Impregnált gipszkarton RBI 12,5 mm</x:v>
      </x:c>
      <x:c r="F147" s="19" t="str">
        <x:v>nedves helyiség</x:v>
      </x:c>
      <x:c r="G147" s="19" t="str">
        <x:v>m²</x:v>
      </x:c>
      <x:c r="H147" s="203" t="n">
        <x:v>3200</x:v>
      </x:c>
      <x:c r="I147" s="204" t="n">
        <x:v>0.27</x:v>
      </x:c>
      <x:c r="J147" s="203" t="n">
        <x:f>IFERROR(H147/(1+I147),"")</x:f>
        <x:v>2519.685039370079</x:v>
      </x:c>
      <x:c r="K147" s="205" t="n">
        <x:v>0.18</x:v>
      </x:c>
      <x:c r="L147" s="203" t="n">
        <x:f>IFERROR(J147*(1-K147),"")</x:f>
        <x:v>2066.141732283465</x:v>
      </x:c>
      <x:c r="M147" s="19" t="str">
        <x:v>27% normál belföldi</x:v>
      </x:c>
      <x:c r="N147" s="204" t="n">
        <x:v>0.27</x:v>
      </x:c>
      <x:c r="O147" s="204" t="n">
        <x:v>0</x:v>
      </x:c>
      <x:c r="P147" s="19" t="str">
        <x:v>NEM</x:v>
      </x:c>
      <x:c r="Q147" s="203" t="n">
        <x:f>IFERROR(L147*(1+N147),"")</x:f>
        <x:v>2624.0000000000005</x:v>
      </x:c>
      <x:c r="R147" s="205" t="n">
        <x:v>0.08</x:v>
      </x:c>
      <x:c r="S147" s="203" t="n">
        <x:f>IFERROR(Q147*(1+R147),"")</x:f>
        <x:v>2833.9200000000005</x:v>
      </x:c>
      <x:c r="T147" s="206" t="n">
        <x:v>90</x:v>
      </x:c>
      <x:c r="U147" s="206" t="n">
        <x:v>0</x:v>
      </x:c>
      <x:c r="V147" s="203" t="n">
        <x:f>IFERROR(S147+T147+U147,"")</x:f>
        <x:v>2923.9200000000005</x:v>
      </x:c>
      <x:c r="W147" s="203" t="n">
        <x:f>IFERROR(H147/(1+Anyag_Beallitasok!$B$2)*Anyag_Beallitasok!$B$9,"")</x:f>
        <x:v>3047.6190476190477</x:v>
      </x:c>
      <x:c r="X147" s="203" t="n">
        <x:f>IFERROR(V147/((1-Anyag_Beallitasok!$B$3)*(1+Anyag_Beallitasok!$B$2)),"")</x:f>
        <x:v>4284.131868131868</x:v>
      </x:c>
      <x:c r="Y147" s="203" t="n">
        <x:f>IFERROR(V147/((1-Anyag_Beallitasok!$B$4)*(1+Anyag_Beallitasok!$B$2)),"")</x:f>
        <x:v>5569.3714285714295</x:v>
      </x:c>
      <x:c r="Z147" s="203" t="n">
        <x:f>IFERROR(ROUNDUP(MAX(W147,X147)/Anyag_Beallitasok!$B$6,0)*Anyag_Beallitasok!$B$6,"")</x:f>
        <x:v>4300</x:v>
      </x:c>
      <x:c r="AA147" s="204" t="n">
        <x:f>Anyag_Beallitasok!$B$2</x:f>
        <x:v>0.05</x:v>
      </x:c>
      <x:c r="AB147" s="203" t="n">
        <x:f>IFERROR(Z147*(1+AA147),"")</x:f>
        <x:v>4515</x:v>
      </x:c>
      <x:c r="AC147" s="204" t="n">
        <x:f>IFERROR(1-V147/H147,"")</x:f>
        <x:v>0.08627499999999988</x:v>
      </x:c>
      <x:c r="AD147" s="204" t="n">
        <x:f>IFERROR(1-V147/AB147,"")</x:f>
        <x:v>0.3523986710963454</x:v>
      </x:c>
      <x:c r="AE147" s="19" t="str">
        <x:f>IF(AC147&lt;Anyag_Beallitasok!$B$3,"NEM ÉRI EL A 35%-OT",IF(AC147&lt;Anyag_Beallitasok!$B$4,"MINIMUM 35–49,9%",IF(AC147&lt;Anyag_Beallitasok!$B$5,"IDEÁLIS 50–59,9%","KIEMELKEDŐ ≥60%")))</x:f>
        <x:v>NEM ÉRI EL A 35%-OT</x:v>
      </x:c>
      <x:c r="AF147" s="204" t="n">
        <x:f>IFERROR(AB147/H147-1,"")</x:f>
        <x:v>0.41093749999999996</x:v>
      </x:c>
      <x:c r="AG147" s="19" t="str">
        <x:f>IF(AND(P147="IGEN",O147&gt;0),IF(AF147&gt;Anyag_Beallitasok!$B$10,"0%-OS SZÁMLA + ÖNADÓZÁS; FELÁR SZÜKSÉGES","0%-OS SZÁMLA + ÖNADÓZÁS"),IF(AF147&gt;Anyag_Beallitasok!$B$10,"FELÁR SZÜKSÉGES A 35%-HOZ",IF(AC147&lt;Anyag_Beallitasok!$B$3,"PIACI ÁRON NEM TARTHATÓ A 35%","OK")))</x:f>
        <x:v>FELÁR SZÜKSÉGES A 35%-HOZ</x:v>
      </x:c>
      <x:c r="AH147" s="207" t="n">
        <x:v>70</x:v>
      </x:c>
      <x:c r="AI147" s="207" t="n">
        <x:v>70</x:v>
      </x:c>
      <x:c r="AJ147" s="207" t="n">
        <x:v>70</x:v>
      </x:c>
      <x:c r="AK147" s="208"/>
      <x:c r="AL147" s="203" t="str">
        <x:f>IF(AK147="","",V147*AK147)</x:f>
      </x:c>
      <x:c r="AM147" s="203" t="str">
        <x:f>IF(AK147="","",AB147*AK147)</x:f>
      </x:c>
      <x:c r="AN147" s="204" t="str">
        <x:f>IFERROR(1-AL147/AM147,"")</x:f>
      </x:c>
      <x:c r="AO147" s="19" t="str">
        <x:v>https://www.winklertuzep.hu/arlista-web/Sz%C3%A1raz%C3%A9p%C3%ADt%C3%A9s</x:v>
      </x:c>
      <x:c r="AP147" s="19" t="str">
        <x:v>2026 termékcsalád becslés</x:v>
      </x:c>
      <x:c r="AQ147" s="19" t="str"/>
    </x:row>
    <x:row r="148">
      <x:c r="A148" s="19" t="str">
        <x:v>ANY-0147</x:v>
      </x:c>
      <x:c r="B148" s="19" t="str">
        <x:v>10 Belső alapfelületek</x:v>
      </x:c>
      <x:c r="C148" s="19" t="str">
        <x:v>Gipszkarton, vakolat, esztrich</x:v>
      </x:c>
      <x:c r="D148" s="19" t="str">
        <x:v>Mindegyik</x:v>
      </x:c>
      <x:c r="E148" s="19" t="str">
        <x:v>Tűzgátló gipszkarton RF 15 mm</x:v>
      </x:c>
      <x:c r="F148" s="19" t="str">
        <x:v>piros</x:v>
      </x:c>
      <x:c r="G148" s="19" t="str">
        <x:v>m²</x:v>
      </x:c>
      <x:c r="H148" s="203" t="n">
        <x:v>3900</x:v>
      </x:c>
      <x:c r="I148" s="204" t="n">
        <x:v>0.27</x:v>
      </x:c>
      <x:c r="J148" s="203" t="n">
        <x:f>IFERROR(H148/(1+I148),"")</x:f>
        <x:v>3070.8661417322833</x:v>
      </x:c>
      <x:c r="K148" s="205" t="n">
        <x:v>0.18</x:v>
      </x:c>
      <x:c r="L148" s="203" t="n">
        <x:f>IFERROR(J148*(1-K148),"")</x:f>
        <x:v>2518.1102362204724</x:v>
      </x:c>
      <x:c r="M148" s="19" t="str">
        <x:v>27% normál belföldi</x:v>
      </x:c>
      <x:c r="N148" s="204" t="n">
        <x:v>0.27</x:v>
      </x:c>
      <x:c r="O148" s="204" t="n">
        <x:v>0</x:v>
      </x:c>
      <x:c r="P148" s="19" t="str">
        <x:v>NEM</x:v>
      </x:c>
      <x:c r="Q148" s="203" t="n">
        <x:f>IFERROR(L148*(1+N148),"")</x:f>
        <x:v>3198</x:v>
      </x:c>
      <x:c r="R148" s="205" t="n">
        <x:v>0.08</x:v>
      </x:c>
      <x:c r="S148" s="203" t="n">
        <x:f>IFERROR(Q148*(1+R148),"")</x:f>
        <x:v>3453.84</x:v>
      </x:c>
      <x:c r="T148" s="206" t="n">
        <x:v>100</x:v>
      </x:c>
      <x:c r="U148" s="206" t="n">
        <x:v>0</x:v>
      </x:c>
      <x:c r="V148" s="203" t="n">
        <x:f>IFERROR(S148+T148+U148,"")</x:f>
        <x:v>3553.84</x:v>
      </x:c>
      <x:c r="W148" s="203" t="n">
        <x:f>IFERROR(H148/(1+Anyag_Beallitasok!$B$2)*Anyag_Beallitasok!$B$9,"")</x:f>
        <x:v>3714.285714285714</x:v>
      </x:c>
      <x:c r="X148" s="203" t="n">
        <x:f>IFERROR(V148/((1-Anyag_Beallitasok!$B$3)*(1+Anyag_Beallitasok!$B$2)),"")</x:f>
        <x:v>5207.091575091575</x:v>
      </x:c>
      <x:c r="Y148" s="203" t="n">
        <x:f>IFERROR(V148/((1-Anyag_Beallitasok!$B$4)*(1+Anyag_Beallitasok!$B$2)),"")</x:f>
        <x:v>6769.219047619047</x:v>
      </x:c>
      <x:c r="Z148" s="203" t="n">
        <x:f>IFERROR(ROUNDUP(MAX(W148,X148)/Anyag_Beallitasok!$B$6,0)*Anyag_Beallitasok!$B$6,"")</x:f>
        <x:v>5250</x:v>
      </x:c>
      <x:c r="AA148" s="204" t="n">
        <x:f>Anyag_Beallitasok!$B$2</x:f>
        <x:v>0.05</x:v>
      </x:c>
      <x:c r="AB148" s="203" t="n">
        <x:f>IFERROR(Z148*(1+AA148),"")</x:f>
        <x:v>5512.5</x:v>
      </x:c>
      <x:c r="AC148" s="204" t="n">
        <x:f>IFERROR(1-V148/H148,"")</x:f>
        <x:v>0.08875897435897429</x:v>
      </x:c>
      <x:c r="AD148" s="204" t="n">
        <x:f>IFERROR(1-V148/AB148,"")</x:f>
        <x:v>0.35531247165532875</x:v>
      </x:c>
      <x:c r="AE148" s="19" t="str">
        <x:f>IF(AC148&lt;Anyag_Beallitasok!$B$3,"NEM ÉRI EL A 35%-OT",IF(AC148&lt;Anyag_Beallitasok!$B$4,"MINIMUM 35–49,9%",IF(AC148&lt;Anyag_Beallitasok!$B$5,"IDEÁLIS 50–59,9%","KIEMELKEDŐ ≥60%")))</x:f>
        <x:v>NEM ÉRI EL A 35%-OT</x:v>
      </x:c>
      <x:c r="AF148" s="204" t="n">
        <x:f>IFERROR(AB148/H148-1,"")</x:f>
        <x:v>0.41346153846153855</x:v>
      </x:c>
      <x:c r="AG148" s="19" t="str">
        <x:f>IF(AND(P148="IGEN",O148&gt;0),IF(AF148&gt;Anyag_Beallitasok!$B$10,"0%-OS SZÁMLA + ÖNADÓZÁS; FELÁR SZÜKSÉGES","0%-OS SZÁMLA + ÖNADÓZÁS"),IF(AF148&gt;Anyag_Beallitasok!$B$10,"FELÁR SZÜKSÉGES A 35%-HOZ",IF(AC148&lt;Anyag_Beallitasok!$B$3,"PIACI ÁRON NEM TARTHATÓ A 35%","OK")))</x:f>
        <x:v>FELÁR SZÜKSÉGES A 35%-HOZ</x:v>
      </x:c>
      <x:c r="AH148" s="207" t="n">
        <x:v>0</x:v>
      </x:c>
      <x:c r="AI148" s="207" t="n">
        <x:v>0</x:v>
      </x:c>
      <x:c r="AJ148" s="207" t="n">
        <x:v>0</x:v>
      </x:c>
      <x:c r="AK148" s="208"/>
      <x:c r="AL148" s="203" t="str">
        <x:f>IF(AK148="","",V148*AK148)</x:f>
      </x:c>
      <x:c r="AM148" s="203" t="str">
        <x:f>IF(AK148="","",AB148*AK148)</x:f>
      </x:c>
      <x:c r="AN148" s="204" t="str">
        <x:f>IFERROR(1-AL148/AM148,"")</x:f>
      </x:c>
      <x:c r="AO148" s="19" t="str">
        <x:v>https://www.winklertuzep.hu/arlista-web/Sz%C3%A1raz%C3%A9p%C3%ADt%C3%A9s</x:v>
      </x:c>
      <x:c r="AP148" s="19" t="str">
        <x:v>2026 termékcsalád becslés</x:v>
      </x:c>
      <x:c r="AQ148" s="19" t="str"/>
    </x:row>
    <x:row r="149">
      <x:c r="A149" s="19" t="str">
        <x:v>ANY-0148</x:v>
      </x:c>
      <x:c r="B149" s="19" t="str">
        <x:v>10 Belső alapfelületek</x:v>
      </x:c>
      <x:c r="C149" s="19" t="str">
        <x:v>Gipszkarton, vakolat, esztrich</x:v>
      </x:c>
      <x:c r="D149" s="19" t="str">
        <x:v>Mindegyik</x:v>
      </x:c>
      <x:c r="E149" s="19" t="str">
        <x:v>Hanggátló gipszkarton lap</x:v>
      </x:c>
      <x:c r="F149" s="19" t="str">
        <x:v>nagy testsűrűség</x:v>
      </x:c>
      <x:c r="G149" s="19" t="str">
        <x:v>m²</x:v>
      </x:c>
      <x:c r="H149" s="203" t="n">
        <x:v>5200</x:v>
      </x:c>
      <x:c r="I149" s="204" t="n">
        <x:v>0.27</x:v>
      </x:c>
      <x:c r="J149" s="203" t="n">
        <x:f>IFERROR(H149/(1+I149),"")</x:f>
        <x:v>4094.488188976378</x:v>
      </x:c>
      <x:c r="K149" s="205" t="n">
        <x:v>0.18</x:v>
      </x:c>
      <x:c r="L149" s="203" t="n">
        <x:f>IFERROR(J149*(1-K149),"")</x:f>
        <x:v>3357.48031496063</x:v>
      </x:c>
      <x:c r="M149" s="19" t="str">
        <x:v>27% normál belföldi</x:v>
      </x:c>
      <x:c r="N149" s="204" t="n">
        <x:v>0.27</x:v>
      </x:c>
      <x:c r="O149" s="204" t="n">
        <x:v>0</x:v>
      </x:c>
      <x:c r="P149" s="19" t="str">
        <x:v>NEM</x:v>
      </x:c>
      <x:c r="Q149" s="203" t="n">
        <x:f>IFERROR(L149*(1+N149),"")</x:f>
        <x:v>4264</x:v>
      </x:c>
      <x:c r="R149" s="205" t="n">
        <x:v>0.08</x:v>
      </x:c>
      <x:c r="S149" s="203" t="n">
        <x:f>IFERROR(Q149*(1+R149),"")</x:f>
        <x:v>4605.12</x:v>
      </x:c>
      <x:c r="T149" s="206" t="n">
        <x:v>110</x:v>
      </x:c>
      <x:c r="U149" s="206" t="n">
        <x:v>0</x:v>
      </x:c>
      <x:c r="V149" s="203" t="n">
        <x:f>IFERROR(S149+T149+U149,"")</x:f>
        <x:v>4715.12</x:v>
      </x:c>
      <x:c r="W149" s="203" t="n">
        <x:f>IFERROR(H149/(1+Anyag_Beallitasok!$B$2)*Anyag_Beallitasok!$B$9,"")</x:f>
        <x:v>4952.380952380952</x:v>
      </x:c>
      <x:c r="X149" s="203" t="n">
        <x:f>IFERROR(V149/((1-Anyag_Beallitasok!$B$3)*(1+Anyag_Beallitasok!$B$2)),"")</x:f>
        <x:v>6908.600732600731</x:v>
      </x:c>
      <x:c r="Y149" s="203" t="n">
        <x:f>IFERROR(V149/((1-Anyag_Beallitasok!$B$4)*(1+Anyag_Beallitasok!$B$2)),"")</x:f>
        <x:v>8981.180952380952</x:v>
      </x:c>
      <x:c r="Z149" s="203" t="n">
        <x:f>IFERROR(ROUNDUP(MAX(W149,X149)/Anyag_Beallitasok!$B$6,0)*Anyag_Beallitasok!$B$6,"")</x:f>
        <x:v>6950</x:v>
      </x:c>
      <x:c r="AA149" s="204" t="n">
        <x:f>Anyag_Beallitasok!$B$2</x:f>
        <x:v>0.05</x:v>
      </x:c>
      <x:c r="AB149" s="203" t="n">
        <x:f>IFERROR(Z149*(1+AA149),"")</x:f>
        <x:v>7297.5</x:v>
      </x:c>
      <x:c r="AC149" s="204" t="n">
        <x:f>IFERROR(1-V149/H149,"")</x:f>
        <x:v>0.09324615384615387</x:v>
      </x:c>
      <x:c r="AD149" s="204" t="n">
        <x:f>IFERROR(1-V149/AB149,"")</x:f>
        <x:v>0.35387187392942787</x:v>
      </x:c>
      <x:c r="AE149" s="19" t="str">
        <x:f>IF(AC149&lt;Anyag_Beallitasok!$B$3,"NEM ÉRI EL A 35%-OT",IF(AC149&lt;Anyag_Beallitasok!$B$4,"MINIMUM 35–49,9%",IF(AC149&lt;Anyag_Beallitasok!$B$5,"IDEÁLIS 50–59,9%","KIEMELKEDŐ ≥60%")))</x:f>
        <x:v>NEM ÉRI EL A 35%-OT</x:v>
      </x:c>
      <x:c r="AF149" s="204" t="n">
        <x:f>IFERROR(AB149/H149-1,"")</x:f>
        <x:v>0.4033653846153846</x:v>
      </x:c>
      <x:c r="AG149" s="19" t="str">
        <x:f>IF(AND(P149="IGEN",O149&gt;0),IF(AF149&gt;Anyag_Beallitasok!$B$10,"0%-OS SZÁMLA + ÖNADÓZÁS; FELÁR SZÜKSÉGES","0%-OS SZÁMLA + ÖNADÓZÁS"),IF(AF149&gt;Anyag_Beallitasok!$B$10,"FELÁR SZÜKSÉGES A 35%-HOZ",IF(AC149&lt;Anyag_Beallitasok!$B$3,"PIACI ÁRON NEM TARTHATÓ A 35%","OK")))</x:f>
        <x:v>FELÁR SZÜKSÉGES A 35%-HOZ</x:v>
      </x:c>
      <x:c r="AH149" s="207" t="n">
        <x:v>0</x:v>
      </x:c>
      <x:c r="AI149" s="207" t="n">
        <x:v>0</x:v>
      </x:c>
      <x:c r="AJ149" s="207" t="n">
        <x:v>0</x:v>
      </x:c>
      <x:c r="AK149" s="208"/>
      <x:c r="AL149" s="203" t="str">
        <x:f>IF(AK149="","",V149*AK149)</x:f>
      </x:c>
      <x:c r="AM149" s="203" t="str">
        <x:f>IF(AK149="","",AB149*AK149)</x:f>
      </x:c>
      <x:c r="AN149" s="204" t="str">
        <x:f>IFERROR(1-AL149/AM149,"")</x:f>
      </x:c>
      <x:c r="AO149" s="19" t="str">
        <x:v>https://www.winklertuzep.hu/arlista-web/Sz%C3%A1raz%C3%A9p%C3%ADt%C3%A9s</x:v>
      </x:c>
      <x:c r="AP149" s="19" t="str">
        <x:v>2026 termékcsalád becslés</x:v>
      </x:c>
      <x:c r="AQ149" s="19" t="str"/>
    </x:row>
    <x:row r="150">
      <x:c r="A150" s="19" t="str">
        <x:v>ANY-0149</x:v>
      </x:c>
      <x:c r="B150" s="19" t="str">
        <x:v>10 Belső alapfelületek</x:v>
      </x:c>
      <x:c r="C150" s="19" t="str">
        <x:v>Gipszkarton, vakolat, esztrich</x:v>
      </x:c>
      <x:c r="D150" s="19" t="str">
        <x:v>Mindegyik</x:v>
      </x:c>
      <x:c r="E150" s="19" t="str">
        <x:v>CW 50 válaszfalprofil</x:v>
      </x:c>
      <x:c r="F150" s="19" t="str">
        <x:v>0,6 mm</x:v>
      </x:c>
      <x:c r="G150" s="19" t="str">
        <x:v>fm</x:v>
      </x:c>
      <x:c r="H150" s="203" t="n">
        <x:v>650</x:v>
      </x:c>
      <x:c r="I150" s="204" t="n">
        <x:v>0.27</x:v>
      </x:c>
      <x:c r="J150" s="203" t="n">
        <x:f>IFERROR(H150/(1+I150),"")</x:f>
        <x:v>511.81102362204723</x:v>
      </x:c>
      <x:c r="K150" s="205" t="n">
        <x:v>0.18</x:v>
      </x:c>
      <x:c r="L150" s="203" t="n">
        <x:f>IFERROR(J150*(1-K150),"")</x:f>
        <x:v>419.68503937007875</x:v>
      </x:c>
      <x:c r="M150" s="19" t="str">
        <x:v>27% normál belföldi</x:v>
      </x:c>
      <x:c r="N150" s="204" t="n">
        <x:v>0.27</x:v>
      </x:c>
      <x:c r="O150" s="204" t="n">
        <x:v>0</x:v>
      </x:c>
      <x:c r="P150" s="19" t="str">
        <x:v>NEM</x:v>
      </x:c>
      <x:c r="Q150" s="203" t="n">
        <x:f>IFERROR(L150*(1+N150),"")</x:f>
        <x:v>533</x:v>
      </x:c>
      <x:c r="R150" s="205" t="n">
        <x:v>0.08</x:v>
      </x:c>
      <x:c r="S150" s="203" t="n">
        <x:f>IFERROR(Q150*(1+R150),"")</x:f>
        <x:v>575.64</x:v>
      </x:c>
      <x:c r="T150" s="206" t="n">
        <x:v>25</x:v>
      </x:c>
      <x:c r="U150" s="206" t="n">
        <x:v>0</x:v>
      </x:c>
      <x:c r="V150" s="203" t="n">
        <x:f>IFERROR(S150+T150+U150,"")</x:f>
        <x:v>600.64</x:v>
      </x:c>
      <x:c r="W150" s="203" t="n">
        <x:f>IFERROR(H150/(1+Anyag_Beallitasok!$B$2)*Anyag_Beallitasok!$B$9,"")</x:f>
        <x:v>619.047619047619</x:v>
      </x:c>
      <x:c r="X150" s="203" t="n">
        <x:f>IFERROR(V150/((1-Anyag_Beallitasok!$B$3)*(1+Anyag_Beallitasok!$B$2)),"")</x:f>
        <x:v>880.0586080586079</x:v>
      </x:c>
      <x:c r="Y150" s="203" t="n">
        <x:f>IFERROR(V150/((1-Anyag_Beallitasok!$B$4)*(1+Anyag_Beallitasok!$B$2)),"")</x:f>
        <x:v>1144.0761904761905</x:v>
      </x:c>
      <x:c r="Z150" s="203" t="n">
        <x:f>IFERROR(ROUNDUP(MAX(W150,X150)/Anyag_Beallitasok!$B$6,0)*Anyag_Beallitasok!$B$6,"")</x:f>
        <x:v>900</x:v>
      </x:c>
      <x:c r="AA150" s="204" t="n">
        <x:f>Anyag_Beallitasok!$B$2</x:f>
        <x:v>0.05</x:v>
      </x:c>
      <x:c r="AB150" s="203" t="n">
        <x:f>IFERROR(Z150*(1+AA150),"")</x:f>
        <x:v>945</x:v>
      </x:c>
      <x:c r="AC150" s="204" t="n">
        <x:f>IFERROR(1-V150/H150,"")</x:f>
        <x:v>0.07593846153846151</x:v>
      </x:c>
      <x:c r="AD150" s="204" t="n">
        <x:f>IFERROR(1-V150/AB150,"")</x:f>
        <x:v>0.3644021164021164</x:v>
      </x:c>
      <x:c r="AE150" s="19" t="str">
        <x:f>IF(AC150&lt;Anyag_Beallitasok!$B$3,"NEM ÉRI EL A 35%-OT",IF(AC150&lt;Anyag_Beallitasok!$B$4,"MINIMUM 35–49,9%",IF(AC150&lt;Anyag_Beallitasok!$B$5,"IDEÁLIS 50–59,9%","KIEMELKEDŐ ≥60%")))</x:f>
        <x:v>NEM ÉRI EL A 35%-OT</x:v>
      </x:c>
      <x:c r="AF150" s="204" t="n">
        <x:f>IFERROR(AB150/H150-1,"")</x:f>
        <x:v>0.4538461538461538</x:v>
      </x:c>
      <x:c r="AG150" s="19" t="str">
        <x:f>IF(AND(P150="IGEN",O150&gt;0),IF(AF150&gt;Anyag_Beallitasok!$B$10,"0%-OS SZÁMLA + ÖNADÓZÁS; FELÁR SZÜKSÉGES","0%-OS SZÁMLA + ÖNADÓZÁS"),IF(AF150&gt;Anyag_Beallitasok!$B$10,"FELÁR SZÜKSÉGES A 35%-HOZ",IF(AC150&lt;Anyag_Beallitasok!$B$3,"PIACI ÁRON NEM TARTHATÓ A 35%","OK")))</x:f>
        <x:v>FELÁR SZÜKSÉGES A 35%-HOZ</x:v>
      </x:c>
      <x:c r="AH150" s="207" t="n">
        <x:v>250</x:v>
      </x:c>
      <x:c r="AI150" s="207" t="n">
        <x:v>300</x:v>
      </x:c>
      <x:c r="AJ150" s="207" t="n">
        <x:v>250</x:v>
      </x:c>
      <x:c r="AK150" s="208"/>
      <x:c r="AL150" s="203" t="str">
        <x:f>IF(AK150="","",V150*AK150)</x:f>
      </x:c>
      <x:c r="AM150" s="203" t="str">
        <x:f>IF(AK150="","",AB150*AK150)</x:f>
      </x:c>
      <x:c r="AN150" s="204" t="str">
        <x:f>IFERROR(1-AL150/AM150,"")</x:f>
      </x:c>
      <x:c r="AO150" s="19" t="str">
        <x:v>https://www.winklertuzep.hu/arlista-web/Sz%C3%A1raz%C3%A9p%C3%ADt%C3%A9s</x:v>
      </x:c>
      <x:c r="AP150" s="19" t="str">
        <x:v>2026 piaci becslés</x:v>
      </x:c>
      <x:c r="AQ150" s="19" t="str"/>
    </x:row>
    <x:row r="151">
      <x:c r="A151" s="19" t="str">
        <x:v>ANY-0150</x:v>
      </x:c>
      <x:c r="B151" s="19" t="str">
        <x:v>10 Belső alapfelületek</x:v>
      </x:c>
      <x:c r="C151" s="19" t="str">
        <x:v>Gipszkarton, vakolat, esztrich</x:v>
      </x:c>
      <x:c r="D151" s="19" t="str">
        <x:v>Mindegyik</x:v>
      </x:c>
      <x:c r="E151" s="19" t="str">
        <x:v>CW 75 válaszfalprofil</x:v>
      </x:c>
      <x:c r="F151" s="19" t="str">
        <x:v>0,6 mm</x:v>
      </x:c>
      <x:c r="G151" s="19" t="str">
        <x:v>fm</x:v>
      </x:c>
      <x:c r="H151" s="203" t="n">
        <x:v>850</x:v>
      </x:c>
      <x:c r="I151" s="204" t="n">
        <x:v>0.27</x:v>
      </x:c>
      <x:c r="J151" s="203" t="n">
        <x:f>IFERROR(H151/(1+I151),"")</x:f>
        <x:v>669.2913385826772</x:v>
      </x:c>
      <x:c r="K151" s="205" t="n">
        <x:v>0.18</x:v>
      </x:c>
      <x:c r="L151" s="203" t="n">
        <x:f>IFERROR(J151*(1-K151),"")</x:f>
        <x:v>548.8188976377953</x:v>
      </x:c>
      <x:c r="M151" s="19" t="str">
        <x:v>27% normál belföldi</x:v>
      </x:c>
      <x:c r="N151" s="204" t="n">
        <x:v>0.27</x:v>
      </x:c>
      <x:c r="O151" s="204" t="n">
        <x:v>0</x:v>
      </x:c>
      <x:c r="P151" s="19" t="str">
        <x:v>NEM</x:v>
      </x:c>
      <x:c r="Q151" s="203" t="n">
        <x:f>IFERROR(L151*(1+N151),"")</x:f>
        <x:v>697.0000000000001</x:v>
      </x:c>
      <x:c r="R151" s="205" t="n">
        <x:v>0.08</x:v>
      </x:c>
      <x:c r="S151" s="203" t="n">
        <x:f>IFERROR(Q151*(1+R151),"")</x:f>
        <x:v>752.7600000000002</x:v>
      </x:c>
      <x:c r="T151" s="206" t="n">
        <x:v>30</x:v>
      </x:c>
      <x:c r="U151" s="206" t="n">
        <x:v>0</x:v>
      </x:c>
      <x:c r="V151" s="203" t="n">
        <x:f>IFERROR(S151+T151+U151,"")</x:f>
        <x:v>782.7600000000002</x:v>
      </x:c>
      <x:c r="W151" s="203" t="n">
        <x:f>IFERROR(H151/(1+Anyag_Beallitasok!$B$2)*Anyag_Beallitasok!$B$9,"")</x:f>
        <x:v>809.5238095238095</x:v>
      </x:c>
      <x:c r="X151" s="203" t="n">
        <x:f>IFERROR(V151/((1-Anyag_Beallitasok!$B$3)*(1+Anyag_Beallitasok!$B$2)),"")</x:f>
        <x:v>1146.901098901099</x:v>
      </x:c>
      <x:c r="Y151" s="203" t="n">
        <x:f>IFERROR(V151/((1-Anyag_Beallitasok!$B$4)*(1+Anyag_Beallitasok!$B$2)),"")</x:f>
        <x:v>1490.971428571429</x:v>
      </x:c>
      <x:c r="Z151" s="203" t="n">
        <x:f>IFERROR(ROUNDUP(MAX(W151,X151)/Anyag_Beallitasok!$B$6,0)*Anyag_Beallitasok!$B$6,"")</x:f>
        <x:v>1150</x:v>
      </x:c>
      <x:c r="AA151" s="204" t="n">
        <x:f>Anyag_Beallitasok!$B$2</x:f>
        <x:v>0.05</x:v>
      </x:c>
      <x:c r="AB151" s="203" t="n">
        <x:f>IFERROR(Z151*(1+AA151),"")</x:f>
        <x:v>1207.5</x:v>
      </x:c>
      <x:c r="AC151" s="204" t="n">
        <x:f>IFERROR(1-V151/H151,"")</x:f>
        <x:v>0.07910588235294091</x:v>
      </x:c>
      <x:c r="AD151" s="204" t="n">
        <x:f>IFERROR(1-V151/AB151,"")</x:f>
        <x:v>0.3517515527950309</x:v>
      </x:c>
      <x:c r="AE151" s="19" t="str">
        <x:f>IF(AC151&lt;Anyag_Beallitasok!$B$3,"NEM ÉRI EL A 35%-OT",IF(AC151&lt;Anyag_Beallitasok!$B$4,"MINIMUM 35–49,9%",IF(AC151&lt;Anyag_Beallitasok!$B$5,"IDEÁLIS 50–59,9%","KIEMELKEDŐ ≥60%")))</x:f>
        <x:v>NEM ÉRI EL A 35%-OT</x:v>
      </x:c>
      <x:c r="AF151" s="204" t="n">
        <x:f>IFERROR(AB151/H151-1,"")</x:f>
        <x:v>0.4205882352941177</x:v>
      </x:c>
      <x:c r="AG151" s="19" t="str">
        <x:f>IF(AND(P151="IGEN",O151&gt;0),IF(AF151&gt;Anyag_Beallitasok!$B$10,"0%-OS SZÁMLA + ÖNADÓZÁS; FELÁR SZÜKSÉGES","0%-OS SZÁMLA + ÖNADÓZÁS"),IF(AF151&gt;Anyag_Beallitasok!$B$10,"FELÁR SZÜKSÉGES A 35%-HOZ",IF(AC151&lt;Anyag_Beallitasok!$B$3,"PIACI ÁRON NEM TARTHATÓ A 35%","OK")))</x:f>
        <x:v>FELÁR SZÜKSÉGES A 35%-HOZ</x:v>
      </x:c>
      <x:c r="AH151" s="207" t="n">
        <x:v>200</x:v>
      </x:c>
      <x:c r="AI151" s="207" t="n">
        <x:v>250</x:v>
      </x:c>
      <x:c r="AJ151" s="207" t="n">
        <x:v>200</x:v>
      </x:c>
      <x:c r="AK151" s="208"/>
      <x:c r="AL151" s="203" t="str">
        <x:f>IF(AK151="","",V151*AK151)</x:f>
      </x:c>
      <x:c r="AM151" s="203" t="str">
        <x:f>IF(AK151="","",AB151*AK151)</x:f>
      </x:c>
      <x:c r="AN151" s="204" t="str">
        <x:f>IFERROR(1-AL151/AM151,"")</x:f>
      </x:c>
      <x:c r="AO151" s="19" t="str">
        <x:v>https://www.winklertuzep.hu/arlista-web/Sz%C3%A1raz%C3%A9p%C3%ADt%C3%A9s</x:v>
      </x:c>
      <x:c r="AP151" s="19" t="str">
        <x:v>2026 piaci becslés</x:v>
      </x:c>
      <x:c r="AQ151" s="19" t="str"/>
    </x:row>
    <x:row r="152">
      <x:c r="A152" s="19" t="str">
        <x:v>ANY-0151</x:v>
      </x:c>
      <x:c r="B152" s="19" t="str">
        <x:v>10 Belső alapfelületek</x:v>
      </x:c>
      <x:c r="C152" s="19" t="str">
        <x:v>Gipszkarton, vakolat, esztrich</x:v>
      </x:c>
      <x:c r="D152" s="19" t="str">
        <x:v>Mindegyik</x:v>
      </x:c>
      <x:c r="E152" s="19" t="str">
        <x:v>UW 50 vezetőprofil</x:v>
      </x:c>
      <x:c r="F152" s="19" t="str">
        <x:v>0,6 mm</x:v>
      </x:c>
      <x:c r="G152" s="19" t="str">
        <x:v>fm</x:v>
      </x:c>
      <x:c r="H152" s="203" t="n">
        <x:v>520</x:v>
      </x:c>
      <x:c r="I152" s="204" t="n">
        <x:v>0.27</x:v>
      </x:c>
      <x:c r="J152" s="203" t="n">
        <x:f>IFERROR(H152/(1+I152),"")</x:f>
        <x:v>409.4488188976378</x:v>
      </x:c>
      <x:c r="K152" s="205" t="n">
        <x:v>0.18</x:v>
      </x:c>
      <x:c r="L152" s="203" t="n">
        <x:f>IFERROR(J152*(1-K152),"")</x:f>
        <x:v>335.74803149606305</x:v>
      </x:c>
      <x:c r="M152" s="19" t="str">
        <x:v>27% normál belföldi</x:v>
      </x:c>
      <x:c r="N152" s="204" t="n">
        <x:v>0.27</x:v>
      </x:c>
      <x:c r="O152" s="204" t="n">
        <x:v>0</x:v>
      </x:c>
      <x:c r="P152" s="19" t="str">
        <x:v>NEM</x:v>
      </x:c>
      <x:c r="Q152" s="203" t="n">
        <x:f>IFERROR(L152*(1+N152),"")</x:f>
        <x:v>426.4000000000001</x:v>
      </x:c>
      <x:c r="R152" s="205" t="n">
        <x:v>0.08</x:v>
      </x:c>
      <x:c r="S152" s="203" t="n">
        <x:f>IFERROR(Q152*(1+R152),"")</x:f>
        <x:v>460.5120000000001</x:v>
      </x:c>
      <x:c r="T152" s="206" t="n">
        <x:v>25</x:v>
      </x:c>
      <x:c r="U152" s="206" t="n">
        <x:v>0</x:v>
      </x:c>
      <x:c r="V152" s="203" t="n">
        <x:f>IFERROR(S152+T152+U152,"")</x:f>
        <x:v>485.5120000000001</x:v>
      </x:c>
      <x:c r="W152" s="203" t="n">
        <x:f>IFERROR(H152/(1+Anyag_Beallitasok!$B$2)*Anyag_Beallitasok!$B$9,"")</x:f>
        <x:v>495.23809523809524</x:v>
      </x:c>
      <x:c r="X152" s="203" t="n">
        <x:f>IFERROR(V152/((1-Anyag_Beallitasok!$B$3)*(1+Anyag_Beallitasok!$B$2)),"")</x:f>
        <x:v>711.3728937728938</x:v>
      </x:c>
      <x:c r="Y152" s="203" t="n">
        <x:f>IFERROR(V152/((1-Anyag_Beallitasok!$B$4)*(1+Anyag_Beallitasok!$B$2)),"")</x:f>
        <x:v>924.784761904762</x:v>
      </x:c>
      <x:c r="Z152" s="203" t="n">
        <x:f>IFERROR(ROUNDUP(MAX(W152,X152)/Anyag_Beallitasok!$B$6,0)*Anyag_Beallitasok!$B$6,"")</x:f>
        <x:v>750</x:v>
      </x:c>
      <x:c r="AA152" s="204" t="n">
        <x:f>Anyag_Beallitasok!$B$2</x:f>
        <x:v>0.05</x:v>
      </x:c>
      <x:c r="AB152" s="203" t="n">
        <x:f>IFERROR(Z152*(1+AA152),"")</x:f>
        <x:v>787.5</x:v>
      </x:c>
      <x:c r="AC152" s="204" t="n">
        <x:f>IFERROR(1-V152/H152,"")</x:f>
        <x:v>0.06632307692307671</x:v>
      </x:c>
      <x:c r="AD152" s="204" t="n">
        <x:f>IFERROR(1-V152/AB152,"")</x:f>
        <x:v>0.38347682539682526</x:v>
      </x:c>
      <x:c r="AE152" s="19" t="str">
        <x:f>IF(AC152&lt;Anyag_Beallitasok!$B$3,"NEM ÉRI EL A 35%-OT",IF(AC152&lt;Anyag_Beallitasok!$B$4,"MINIMUM 35–49,9%",IF(AC152&lt;Anyag_Beallitasok!$B$5,"IDEÁLIS 50–59,9%","KIEMELKEDŐ ≥60%")))</x:f>
        <x:v>NEM ÉRI EL A 35%-OT</x:v>
      </x:c>
      <x:c r="AF152" s="204" t="n">
        <x:f>IFERROR(AB152/H152-1,"")</x:f>
        <x:v>0.5144230769230769</x:v>
      </x:c>
      <x:c r="AG152" s="19" t="str">
        <x:f>IF(AND(P152="IGEN",O152&gt;0),IF(AF152&gt;Anyag_Beallitasok!$B$10,"0%-OS SZÁMLA + ÖNADÓZÁS; FELÁR SZÜKSÉGES","0%-OS SZÁMLA + ÖNADÓZÁS"),IF(AF152&gt;Anyag_Beallitasok!$B$10,"FELÁR SZÜKSÉGES A 35%-HOZ",IF(AC152&lt;Anyag_Beallitasok!$B$3,"PIACI ÁRON NEM TARTHATÓ A 35%","OK")))</x:f>
        <x:v>FELÁR SZÜKSÉGES A 35%-HOZ</x:v>
      </x:c>
      <x:c r="AH152" s="207" t="n">
        <x:v>120</x:v>
      </x:c>
      <x:c r="AI152" s="207" t="n">
        <x:v>150</x:v>
      </x:c>
      <x:c r="AJ152" s="207" t="n">
        <x:v>120</x:v>
      </x:c>
      <x:c r="AK152" s="208"/>
      <x:c r="AL152" s="203" t="str">
        <x:f>IF(AK152="","",V152*AK152)</x:f>
      </x:c>
      <x:c r="AM152" s="203" t="str">
        <x:f>IF(AK152="","",AB152*AK152)</x:f>
      </x:c>
      <x:c r="AN152" s="204" t="str">
        <x:f>IFERROR(1-AL152/AM152,"")</x:f>
      </x:c>
      <x:c r="AO152" s="19" t="str">
        <x:v>https://www.winklertuzep.hu/arlista-web/Sz%C3%A1raz%C3%A9p%C3%ADt%C3%A9s</x:v>
      </x:c>
      <x:c r="AP152" s="19" t="str">
        <x:v>2026 piaci becslés</x:v>
      </x:c>
      <x:c r="AQ152" s="19" t="str"/>
    </x:row>
    <x:row r="153">
      <x:c r="A153" s="19" t="str">
        <x:v>ANY-0152</x:v>
      </x:c>
      <x:c r="B153" s="19" t="str">
        <x:v>10 Belső alapfelületek</x:v>
      </x:c>
      <x:c r="C153" s="19" t="str">
        <x:v>Gipszkarton, vakolat, esztrich</x:v>
      </x:c>
      <x:c r="D153" s="19" t="str">
        <x:v>Mindegyik</x:v>
      </x:c>
      <x:c r="E153" s="19" t="str">
        <x:v>CD 60 mennyezeti profil</x:v>
      </x:c>
      <x:c r="F153" s="19" t="str">
        <x:v>3–4 m</x:v>
      </x:c>
      <x:c r="G153" s="19" t="str">
        <x:v>fm</x:v>
      </x:c>
      <x:c r="H153" s="203" t="n">
        <x:v>377</x:v>
      </x:c>
      <x:c r="I153" s="204" t="n">
        <x:v>0.27</x:v>
      </x:c>
      <x:c r="J153" s="203" t="n">
        <x:f>IFERROR(H153/(1+I153),"")</x:f>
        <x:v>296.8503937007874</x:v>
      </x:c>
      <x:c r="K153" s="205" t="n">
        <x:v>0.18</x:v>
      </x:c>
      <x:c r="L153" s="203" t="n">
        <x:f>IFERROR(J153*(1-K153),"")</x:f>
        <x:v>243.41732283464566</x:v>
      </x:c>
      <x:c r="M153" s="19" t="str">
        <x:v>27% normál belföldi</x:v>
      </x:c>
      <x:c r="N153" s="204" t="n">
        <x:v>0.27</x:v>
      </x:c>
      <x:c r="O153" s="204" t="n">
        <x:v>0</x:v>
      </x:c>
      <x:c r="P153" s="19" t="str">
        <x:v>NEM</x:v>
      </x:c>
      <x:c r="Q153" s="203" t="n">
        <x:f>IFERROR(L153*(1+N153),"")</x:f>
        <x:v>309.14</x:v>
      </x:c>
      <x:c r="R153" s="205" t="n">
        <x:v>0.08</x:v>
      </x:c>
      <x:c r="S153" s="203" t="n">
        <x:f>IFERROR(Q153*(1+R153),"")</x:f>
        <x:v>333.8712</x:v>
      </x:c>
      <x:c r="T153" s="206" t="n">
        <x:v>20</x:v>
      </x:c>
      <x:c r="U153" s="206" t="n">
        <x:v>0</x:v>
      </x:c>
      <x:c r="V153" s="203" t="n">
        <x:f>IFERROR(S153+T153+U153,"")</x:f>
        <x:v>353.8712</x:v>
      </x:c>
      <x:c r="W153" s="203" t="n">
        <x:f>IFERROR(H153/(1+Anyag_Beallitasok!$B$2)*Anyag_Beallitasok!$B$9,"")</x:f>
        <x:v>359.04761904761904</x:v>
      </x:c>
      <x:c r="X153" s="203" t="n">
        <x:f>IFERROR(V153/((1-Anyag_Beallitasok!$B$3)*(1+Anyag_Beallitasok!$B$2)),"")</x:f>
        <x:v>518.4926007326006</x:v>
      </x:c>
      <x:c r="Y153" s="203" t="n">
        <x:f>IFERROR(V153/((1-Anyag_Beallitasok!$B$4)*(1+Anyag_Beallitasok!$B$2)),"")</x:f>
        <x:v>674.0403809523809</x:v>
      </x:c>
      <x:c r="Z153" s="203" t="n">
        <x:f>IFERROR(ROUNDUP(MAX(W153,X153)/Anyag_Beallitasok!$B$6,0)*Anyag_Beallitasok!$B$6,"")</x:f>
        <x:v>550</x:v>
      </x:c>
      <x:c r="AA153" s="204" t="n">
        <x:f>Anyag_Beallitasok!$B$2</x:f>
        <x:v>0.05</x:v>
      </x:c>
      <x:c r="AB153" s="203" t="n">
        <x:f>IFERROR(Z153*(1+AA153),"")</x:f>
        <x:v>577.5</x:v>
      </x:c>
      <x:c r="AC153" s="204" t="n">
        <x:f>IFERROR(1-V153/H153,"")</x:f>
        <x:v>0.0613496021220159</x:v>
      </x:c>
      <x:c r="AD153" s="204" t="n">
        <x:f>IFERROR(1-V153/AB153,"")</x:f>
        <x:v>0.3872360173160173</x:v>
      </x:c>
      <x:c r="AE153" s="19" t="str">
        <x:f>IF(AC153&lt;Anyag_Beallitasok!$B$3,"NEM ÉRI EL A 35%-OT",IF(AC153&lt;Anyag_Beallitasok!$B$4,"MINIMUM 35–49,9%",IF(AC153&lt;Anyag_Beallitasok!$B$5,"IDEÁLIS 50–59,9%","KIEMELKEDŐ ≥60%")))</x:f>
        <x:v>NEM ÉRI EL A 35%-OT</x:v>
      </x:c>
      <x:c r="AF153" s="204" t="n">
        <x:f>IFERROR(AB153/H153-1,"")</x:f>
        <x:v>0.5318302387267904</x:v>
      </x:c>
      <x:c r="AG153" s="19" t="str">
        <x:f>IF(AND(P153="IGEN",O153&gt;0),IF(AF153&gt;Anyag_Beallitasok!$B$10,"0%-OS SZÁMLA + ÖNADÓZÁS; FELÁR SZÜKSÉGES","0%-OS SZÁMLA + ÖNADÓZÁS"),IF(AF153&gt;Anyag_Beallitasok!$B$10,"FELÁR SZÜKSÉGES A 35%-HOZ",IF(AC153&lt;Anyag_Beallitasok!$B$3,"PIACI ÁRON NEM TARTHATÓ A 35%","OK")))</x:f>
        <x:v>FELÁR SZÜKSÉGES A 35%-HOZ</x:v>
      </x:c>
      <x:c r="AH153" s="207" t="n">
        <x:v>520</x:v>
      </x:c>
      <x:c r="AI153" s="207" t="n">
        <x:v>650</x:v>
      </x:c>
      <x:c r="AJ153" s="207" t="n">
        <x:v>520</x:v>
      </x:c>
      <x:c r="AK153" s="208"/>
      <x:c r="AL153" s="203" t="str">
        <x:f>IF(AK153="","",V153*AK153)</x:f>
      </x:c>
      <x:c r="AM153" s="203" t="str">
        <x:f>IF(AK153="","",AB153*AK153)</x:f>
      </x:c>
      <x:c r="AN153" s="204" t="str">
        <x:f>IFERROR(1-AL153/AM153,"")</x:f>
      </x:c>
      <x:c r="AO153" s="19" t="str">
        <x:v>https://www.winklertuzep.hu/arlista-web/Sz%C3%A1raz%C3%A9p%C3%ADt%C3%A9s</x:v>
      </x:c>
      <x:c r="AP153" s="19" t="str">
        <x:v>Közvetlen 2026 webár</x:v>
      </x:c>
      <x:c r="AQ153" s="19" t="str"/>
    </x:row>
    <x:row r="154">
      <x:c r="A154" s="19" t="str">
        <x:v>ANY-0153</x:v>
      </x:c>
      <x:c r="B154" s="19" t="str">
        <x:v>10 Belső alapfelületek</x:v>
      </x:c>
      <x:c r="C154" s="19" t="str">
        <x:v>Gipszkarton, vakolat, esztrich</x:v>
      </x:c>
      <x:c r="D154" s="19" t="str">
        <x:v>Mindegyik</x:v>
      </x:c>
      <x:c r="E154" s="19" t="str">
        <x:v>UD 30 szegélyprofil</x:v>
      </x:c>
      <x:c r="F154" s="19" t="str">
        <x:v>3 m</x:v>
      </x:c>
      <x:c r="G154" s="19" t="str">
        <x:v>fm</x:v>
      </x:c>
      <x:c r="H154" s="203" t="n">
        <x:v>300</x:v>
      </x:c>
      <x:c r="I154" s="204" t="n">
        <x:v>0.27</x:v>
      </x:c>
      <x:c r="J154" s="203" t="n">
        <x:f>IFERROR(H154/(1+I154),"")</x:f>
        <x:v>236.2204724409449</x:v>
      </x:c>
      <x:c r="K154" s="205" t="n">
        <x:v>0.18</x:v>
      </x:c>
      <x:c r="L154" s="203" t="n">
        <x:f>IFERROR(J154*(1-K154),"")</x:f>
        <x:v>193.70078740157481</x:v>
      </x:c>
      <x:c r="M154" s="19" t="str">
        <x:v>27% normál belföldi</x:v>
      </x:c>
      <x:c r="N154" s="204" t="n">
        <x:v>0.27</x:v>
      </x:c>
      <x:c r="O154" s="204" t="n">
        <x:v>0</x:v>
      </x:c>
      <x:c r="P154" s="19" t="str">
        <x:v>NEM</x:v>
      </x:c>
      <x:c r="Q154" s="203" t="n">
        <x:f>IFERROR(L154*(1+N154),"")</x:f>
        <x:v>246.00000000000003</x:v>
      </x:c>
      <x:c r="R154" s="205" t="n">
        <x:v>0.08</x:v>
      </x:c>
      <x:c r="S154" s="203" t="n">
        <x:f>IFERROR(Q154*(1+R154),"")</x:f>
        <x:v>265.68000000000006</x:v>
      </x:c>
      <x:c r="T154" s="206" t="n">
        <x:v>20</x:v>
      </x:c>
      <x:c r="U154" s="206" t="n">
        <x:v>0</x:v>
      </x:c>
      <x:c r="V154" s="203" t="n">
        <x:f>IFERROR(S154+T154+U154,"")</x:f>
        <x:v>285.68000000000006</x:v>
      </x:c>
      <x:c r="W154" s="203" t="n">
        <x:f>IFERROR(H154/(1+Anyag_Beallitasok!$B$2)*Anyag_Beallitasok!$B$9,"")</x:f>
        <x:v>285.7142857142857</x:v>
      </x:c>
      <x:c r="X154" s="203" t="n">
        <x:f>IFERROR(V154/((1-Anyag_Beallitasok!$B$3)*(1+Anyag_Beallitasok!$B$2)),"")</x:f>
        <x:v>418.5787545787546</x:v>
      </x:c>
      <x:c r="Y154" s="203" t="n">
        <x:f>IFERROR(V154/((1-Anyag_Beallitasok!$B$4)*(1+Anyag_Beallitasok!$B$2)),"")</x:f>
        <x:v>544.152380952381</x:v>
      </x:c>
      <x:c r="Z154" s="203" t="n">
        <x:f>IFERROR(ROUNDUP(MAX(W154,X154)/Anyag_Beallitasok!$B$6,0)*Anyag_Beallitasok!$B$6,"")</x:f>
        <x:v>450</x:v>
      </x:c>
      <x:c r="AA154" s="204" t="n">
        <x:f>Anyag_Beallitasok!$B$2</x:f>
        <x:v>0.05</x:v>
      </x:c>
      <x:c r="AB154" s="203" t="n">
        <x:f>IFERROR(Z154*(1+AA154),"")</x:f>
        <x:v>472.5</x:v>
      </x:c>
      <x:c r="AC154" s="204" t="n">
        <x:f>IFERROR(1-V154/H154,"")</x:f>
        <x:v>0.04773333333333307</x:v>
      </x:c>
      <x:c r="AD154" s="204" t="n">
        <x:f>IFERROR(1-V154/AB154,"")</x:f>
        <x:v>0.3953862433862433</x:v>
      </x:c>
      <x:c r="AE154" s="19" t="str">
        <x:f>IF(AC154&lt;Anyag_Beallitasok!$B$3,"NEM ÉRI EL A 35%-OT",IF(AC154&lt;Anyag_Beallitasok!$B$4,"MINIMUM 35–49,9%",IF(AC154&lt;Anyag_Beallitasok!$B$5,"IDEÁLIS 50–59,9%","KIEMELKEDŐ ≥60%")))</x:f>
        <x:v>NEM ÉRI EL A 35%-OT</x:v>
      </x:c>
      <x:c r="AF154" s="204" t="n">
        <x:f>IFERROR(AB154/H154-1,"")</x:f>
        <x:v>0.575</x:v>
      </x:c>
      <x:c r="AG154" s="19" t="str">
        <x:f>IF(AND(P154="IGEN",O154&gt;0),IF(AF154&gt;Anyag_Beallitasok!$B$10,"0%-OS SZÁMLA + ÖNADÓZÁS; FELÁR SZÜKSÉGES","0%-OS SZÁMLA + ÖNADÓZÁS"),IF(AF154&gt;Anyag_Beallitasok!$B$10,"FELÁR SZÜKSÉGES A 35%-HOZ",IF(AC154&lt;Anyag_Beallitasok!$B$3,"PIACI ÁRON NEM TARTHATÓ A 35%","OK")))</x:f>
        <x:v>FELÁR SZÜKSÉGES A 35%-HOZ</x:v>
      </x:c>
      <x:c r="AH154" s="207" t="n">
        <x:v>160</x:v>
      </x:c>
      <x:c r="AI154" s="207" t="n">
        <x:v>180</x:v>
      </x:c>
      <x:c r="AJ154" s="207" t="n">
        <x:v>160</x:v>
      </x:c>
      <x:c r="AK154" s="208"/>
      <x:c r="AL154" s="203" t="str">
        <x:f>IF(AK154="","",V154*AK154)</x:f>
      </x:c>
      <x:c r="AM154" s="203" t="str">
        <x:f>IF(AK154="","",AB154*AK154)</x:f>
      </x:c>
      <x:c r="AN154" s="204" t="str">
        <x:f>IFERROR(1-AL154/AM154,"")</x:f>
      </x:c>
      <x:c r="AO154" s="19" t="str">
        <x:v>https://www.winklertuzep.hu/arlista-web/Sz%C3%A1raz%C3%A9p%C3%ADt%C3%A9s</x:v>
      </x:c>
      <x:c r="AP154" s="19" t="str">
        <x:v>2026 piaci becslés</x:v>
      </x:c>
      <x:c r="AQ154" s="19" t="str"/>
    </x:row>
    <x:row r="155">
      <x:c r="A155" s="19" t="str">
        <x:v>ANY-0154</x:v>
      </x:c>
      <x:c r="B155" s="19" t="str">
        <x:v>10 Belső alapfelületek</x:v>
      </x:c>
      <x:c r="C155" s="19" t="str">
        <x:v>Gipszkarton, vakolat, esztrich</x:v>
      </x:c>
      <x:c r="D155" s="19" t="str">
        <x:v>Mindegyik</x:v>
      </x:c>
      <x:c r="E155" s="19" t="str">
        <x:v>Gipszkarton gyorscsavar TN25</x:v>
      </x:c>
      <x:c r="F155" s="19" t="str">
        <x:v>1000 db dobozra vetítve</x:v>
      </x:c>
      <x:c r="G155" s="19" t="str">
        <x:v>db</x:v>
      </x:c>
      <x:c r="H155" s="203" t="n">
        <x:v>6.5</x:v>
      </x:c>
      <x:c r="I155" s="204" t="n">
        <x:v>0.27</x:v>
      </x:c>
      <x:c r="J155" s="203" t="n">
        <x:f>IFERROR(H155/(1+I155),"")</x:f>
        <x:v>5.118110236220472</x:v>
      </x:c>
      <x:c r="K155" s="205" t="n">
        <x:v>0.2</x:v>
      </x:c>
      <x:c r="L155" s="203" t="n">
        <x:f>IFERROR(J155*(1-K155),"")</x:f>
        <x:v>4.094488188976378</x:v>
      </x:c>
      <x:c r="M155" s="19" t="str">
        <x:v>27% normál belföldi</x:v>
      </x:c>
      <x:c r="N155" s="204" t="n">
        <x:v>0.27</x:v>
      </x:c>
      <x:c r="O155" s="204" t="n">
        <x:v>0</x:v>
      </x:c>
      <x:c r="P155" s="19" t="str">
        <x:v>NEM</x:v>
      </x:c>
      <x:c r="Q155" s="203" t="n">
        <x:f>IFERROR(L155*(1+N155),"")</x:f>
        <x:v>5.2</x:v>
      </x:c>
      <x:c r="R155" s="205" t="n">
        <x:v>0.1</x:v>
      </x:c>
      <x:c r="S155" s="203" t="n">
        <x:f>IFERROR(Q155*(1+R155),"")</x:f>
        <x:v>5.720000000000001</x:v>
      </x:c>
      <x:c r="T155" s="206" t="n">
        <x:v>0.2</x:v>
      </x:c>
      <x:c r="U155" s="206" t="n">
        <x:v>0</x:v>
      </x:c>
      <x:c r="V155" s="203" t="n">
        <x:f>IFERROR(S155+T155+U155,"")</x:f>
        <x:v>5.920000000000001</x:v>
      </x:c>
      <x:c r="W155" s="203" t="n">
        <x:f>IFERROR(H155/(1+Anyag_Beallitasok!$B$2)*Anyag_Beallitasok!$B$9,"")</x:f>
        <x:v>6.19047619047619</x:v>
      </x:c>
      <x:c r="X155" s="203" t="n">
        <x:f>IFERROR(V155/((1-Anyag_Beallitasok!$B$3)*(1+Anyag_Beallitasok!$B$2)),"")</x:f>
        <x:v>8.673992673992673</x:v>
      </x:c>
      <x:c r="Y155" s="203" t="n">
        <x:f>IFERROR(V155/((1-Anyag_Beallitasok!$B$4)*(1+Anyag_Beallitasok!$B$2)),"")</x:f>
        <x:v>11.276190476190477</x:v>
      </x:c>
      <x:c r="Z155" s="203" t="n">
        <x:f>IFERROR(ROUNDUP(MAX(W155,X155)/Anyag_Beallitasok!$B$6,0)*Anyag_Beallitasok!$B$6,"")</x:f>
        <x:v>50</x:v>
      </x:c>
      <x:c r="AA155" s="204" t="n">
        <x:f>Anyag_Beallitasok!$B$2</x:f>
        <x:v>0.05</x:v>
      </x:c>
      <x:c r="AB155" s="203" t="n">
        <x:f>IFERROR(Z155*(1+AA155),"")</x:f>
        <x:v>52.5</x:v>
      </x:c>
      <x:c r="AC155" s="204" t="n">
        <x:f>IFERROR(1-V155/H155,"")</x:f>
        <x:v>0.08923076923076911</x:v>
      </x:c>
      <x:c r="AD155" s="204" t="n">
        <x:f>IFERROR(1-V155/AB155,"")</x:f>
        <x:v>0.8872380952380953</x:v>
      </x:c>
      <x:c r="AE155" s="19" t="str">
        <x:f>IF(AC155&lt;Anyag_Beallitasok!$B$3,"NEM ÉRI EL A 35%-OT",IF(AC155&lt;Anyag_Beallitasok!$B$4,"MINIMUM 35–49,9%",IF(AC155&lt;Anyag_Beallitasok!$B$5,"IDEÁLIS 50–59,9%","KIEMELKEDŐ ≥60%")))</x:f>
        <x:v>NEM ÉRI EL A 35%-OT</x:v>
      </x:c>
      <x:c r="AF155" s="204" t="n">
        <x:f>IFERROR(AB155/H155-1,"")</x:f>
        <x:v>7.076923076923077</x:v>
      </x:c>
      <x:c r="AG155" s="19" t="str">
        <x:f>IF(AND(P155="IGEN",O155&gt;0),IF(AF155&gt;Anyag_Beallitasok!$B$10,"0%-OS SZÁMLA + ÖNADÓZÁS; FELÁR SZÜKSÉGES","0%-OS SZÁMLA + ÖNADÓZÁS"),IF(AF155&gt;Anyag_Beallitasok!$B$10,"FELÁR SZÜKSÉGES A 35%-HOZ",IF(AC155&lt;Anyag_Beallitasok!$B$3,"PIACI ÁRON NEM TARTHATÓ A 35%","OK")))</x:f>
        <x:v>FELÁR SZÜKSÉGES A 35%-HOZ</x:v>
      </x:c>
      <x:c r="AH155" s="207" t="n">
        <x:v>12000</x:v>
      </x:c>
      <x:c r="AI155" s="207" t="n">
        <x:v>16000</x:v>
      </x:c>
      <x:c r="AJ155" s="207" t="n">
        <x:v>12000</x:v>
      </x:c>
      <x:c r="AK155" s="208"/>
      <x:c r="AL155" s="203" t="str">
        <x:f>IF(AK155="","",V155*AK155)</x:f>
      </x:c>
      <x:c r="AM155" s="203" t="str">
        <x:f>IF(AK155="","",AB155*AK155)</x:f>
      </x:c>
      <x:c r="AN155" s="204" t="str">
        <x:f>IFERROR(1-AL155/AM155,"")</x:f>
      </x:c>
      <x:c r="AO155" s="19" t="str">
        <x:v>https://www.winklertuzep.hu/arlista-web/Sz%C3%A1raz%C3%A9p%C3%ADt%C3%A9s</x:v>
      </x:c>
      <x:c r="AP155" s="19" t="str">
        <x:v>2026 piaci becslés</x:v>
      </x:c>
      <x:c r="AQ155" s="19" t="str"/>
    </x:row>
    <x:row r="156">
      <x:c r="A156" s="19" t="str">
        <x:v>ANY-0155</x:v>
      </x:c>
      <x:c r="B156" s="19" t="str">
        <x:v>10 Belső alapfelületek</x:v>
      </x:c>
      <x:c r="C156" s="19" t="str">
        <x:v>Gipszkarton, vakolat, esztrich</x:v>
      </x:c>
      <x:c r="D156" s="19" t="str">
        <x:v>Mindegyik</x:v>
      </x:c>
      <x:c r="E156" s="19" t="str">
        <x:v>Gipszkarton gyorscsavar TN35</x:v>
      </x:c>
      <x:c r="F156" s="19" t="str">
        <x:v>1000 db dobozra vetítve</x:v>
      </x:c>
      <x:c r="G156" s="19" t="str">
        <x:v>db</x:v>
      </x:c>
      <x:c r="H156" s="203" t="n">
        <x:v>8.5</x:v>
      </x:c>
      <x:c r="I156" s="204" t="n">
        <x:v>0.27</x:v>
      </x:c>
      <x:c r="J156" s="203" t="n">
        <x:f>IFERROR(H156/(1+I156),"")</x:f>
        <x:v>6.692913385826771</x:v>
      </x:c>
      <x:c r="K156" s="205" t="n">
        <x:v>0.2</x:v>
      </x:c>
      <x:c r="L156" s="203" t="n">
        <x:f>IFERROR(J156*(1-K156),"")</x:f>
        <x:v>5.354330708661418</x:v>
      </x:c>
      <x:c r="M156" s="19" t="str">
        <x:v>27% normál belföldi</x:v>
      </x:c>
      <x:c r="N156" s="204" t="n">
        <x:v>0.27</x:v>
      </x:c>
      <x:c r="O156" s="204" t="n">
        <x:v>0</x:v>
      </x:c>
      <x:c r="P156" s="19" t="str">
        <x:v>NEM</x:v>
      </x:c>
      <x:c r="Q156" s="203" t="n">
        <x:f>IFERROR(L156*(1+N156),"")</x:f>
        <x:v>6.800000000000001</x:v>
      </x:c>
      <x:c r="R156" s="205" t="n">
        <x:v>0.1</x:v>
      </x:c>
      <x:c r="S156" s="203" t="n">
        <x:f>IFERROR(Q156*(1+R156),"")</x:f>
        <x:v>7.480000000000001</x:v>
      </x:c>
      <x:c r="T156" s="206" t="n">
        <x:v>0.2</x:v>
      </x:c>
      <x:c r="U156" s="206" t="n">
        <x:v>0</x:v>
      </x:c>
      <x:c r="V156" s="203" t="n">
        <x:f>IFERROR(S156+T156+U156,"")</x:f>
        <x:v>7.6800000000000015</x:v>
      </x:c>
      <x:c r="W156" s="203" t="n">
        <x:f>IFERROR(H156/(1+Anyag_Beallitasok!$B$2)*Anyag_Beallitasok!$B$9,"")</x:f>
        <x:v>8.095238095238095</x:v>
      </x:c>
      <x:c r="X156" s="203" t="n">
        <x:f>IFERROR(V156/((1-Anyag_Beallitasok!$B$3)*(1+Anyag_Beallitasok!$B$2)),"")</x:f>
        <x:v>11.252747252747254</x:v>
      </x:c>
      <x:c r="Y156" s="203" t="n">
        <x:f>IFERROR(V156/((1-Anyag_Beallitasok!$B$4)*(1+Anyag_Beallitasok!$B$2)),"")</x:f>
        <x:v>14.628571428571432</x:v>
      </x:c>
      <x:c r="Z156" s="203" t="n">
        <x:f>IFERROR(ROUNDUP(MAX(W156,X156)/Anyag_Beallitasok!$B$6,0)*Anyag_Beallitasok!$B$6,"")</x:f>
        <x:v>50</x:v>
      </x:c>
      <x:c r="AA156" s="204" t="n">
        <x:f>Anyag_Beallitasok!$B$2</x:f>
        <x:v>0.05</x:v>
      </x:c>
      <x:c r="AB156" s="203" t="n">
        <x:f>IFERROR(Z156*(1+AA156),"")</x:f>
        <x:v>52.5</x:v>
      </x:c>
      <x:c r="AC156" s="204" t="n">
        <x:f>IFERROR(1-V156/H156,"")</x:f>
        <x:v>0.09647058823529397</x:v>
      </x:c>
      <x:c r="AD156" s="204" t="n">
        <x:f>IFERROR(1-V156/AB156,"")</x:f>
        <x:v>0.8537142857142856</x:v>
      </x:c>
      <x:c r="AE156" s="19" t="str">
        <x:f>IF(AC156&lt;Anyag_Beallitasok!$B$3,"NEM ÉRI EL A 35%-OT",IF(AC156&lt;Anyag_Beallitasok!$B$4,"MINIMUM 35–49,9%",IF(AC156&lt;Anyag_Beallitasok!$B$5,"IDEÁLIS 50–59,9%","KIEMELKEDŐ ≥60%")))</x:f>
        <x:v>NEM ÉRI EL A 35%-OT</x:v>
      </x:c>
      <x:c r="AF156" s="204" t="n">
        <x:f>IFERROR(AB156/H156-1,"")</x:f>
        <x:v>5.176470588235294</x:v>
      </x:c>
      <x:c r="AG156" s="19" t="str">
        <x:f>IF(AND(P156="IGEN",O156&gt;0),IF(AF156&gt;Anyag_Beallitasok!$B$10,"0%-OS SZÁMLA + ÖNADÓZÁS; FELÁR SZÜKSÉGES","0%-OS SZÁMLA + ÖNADÓZÁS"),IF(AF156&gt;Anyag_Beallitasok!$B$10,"FELÁR SZÜKSÉGES A 35%-HOZ",IF(AC156&lt;Anyag_Beallitasok!$B$3,"PIACI ÁRON NEM TARTHATÓ A 35%","OK")))</x:f>
        <x:v>FELÁR SZÜKSÉGES A 35%-HOZ</x:v>
      </x:c>
      <x:c r="AH156" s="207" t="n">
        <x:v>6000</x:v>
      </x:c>
      <x:c r="AI156" s="207" t="n">
        <x:v>8000</x:v>
      </x:c>
      <x:c r="AJ156" s="207" t="n">
        <x:v>6000</x:v>
      </x:c>
      <x:c r="AK156" s="208"/>
      <x:c r="AL156" s="203" t="str">
        <x:f>IF(AK156="","",V156*AK156)</x:f>
      </x:c>
      <x:c r="AM156" s="203" t="str">
        <x:f>IF(AK156="","",AB156*AK156)</x:f>
      </x:c>
      <x:c r="AN156" s="204" t="str">
        <x:f>IFERROR(1-AL156/AM156,"")</x:f>
      </x:c>
      <x:c r="AO156" s="19" t="str">
        <x:v>https://www.winklertuzep.hu/arlista-web/Sz%C3%A1raz%C3%A9p%C3%ADt%C3%A9s</x:v>
      </x:c>
      <x:c r="AP156" s="19" t="str">
        <x:v>2026 piaci becslés</x:v>
      </x:c>
      <x:c r="AQ156" s="19" t="str"/>
    </x:row>
    <x:row r="157">
      <x:c r="A157" s="19" t="str">
        <x:v>ANY-0156</x:v>
      </x:c>
      <x:c r="B157" s="19" t="str">
        <x:v>10 Belső alapfelületek</x:v>
      </x:c>
      <x:c r="C157" s="19" t="str">
        <x:v>Gipszkarton, vakolat, esztrich</x:v>
      </x:c>
      <x:c r="D157" s="19" t="str">
        <x:v>Mindegyik</x:v>
      </x:c>
      <x:c r="E157" s="19" t="str">
        <x:v>Hézagerősítő szalag</x:v>
      </x:c>
      <x:c r="F157" s="19" t="str">
        <x:v>papír/üvegszál</x:v>
      </x:c>
      <x:c r="G157" s="19" t="str">
        <x:v>fm</x:v>
      </x:c>
      <x:c r="H157" s="203" t="n">
        <x:v>45</x:v>
      </x:c>
      <x:c r="I157" s="204" t="n">
        <x:v>0.27</x:v>
      </x:c>
      <x:c r="J157" s="203" t="n">
        <x:f>IFERROR(H157/(1+I157),"")</x:f>
        <x:v>35.43307086614173</x:v>
      </x:c>
      <x:c r="K157" s="205" t="n">
        <x:v>0.2</x:v>
      </x:c>
      <x:c r="L157" s="203" t="n">
        <x:f>IFERROR(J157*(1-K157),"")</x:f>
        <x:v>28.34645669291339</x:v>
      </x:c>
      <x:c r="M157" s="19" t="str">
        <x:v>27% normál belföldi</x:v>
      </x:c>
      <x:c r="N157" s="204" t="n">
        <x:v>0.27</x:v>
      </x:c>
      <x:c r="O157" s="204" t="n">
        <x:v>0</x:v>
      </x:c>
      <x:c r="P157" s="19" t="str">
        <x:v>NEM</x:v>
      </x:c>
      <x:c r="Q157" s="203" t="n">
        <x:f>IFERROR(L157*(1+N157),"")</x:f>
        <x:v>36.00000000000001</x:v>
      </x:c>
      <x:c r="R157" s="205" t="n">
        <x:v>0.12</x:v>
      </x:c>
      <x:c r="S157" s="203" t="n">
        <x:f>IFERROR(Q157*(1+R157),"")</x:f>
        <x:v>40.320000000000014</x:v>
      </x:c>
      <x:c r="T157" s="206" t="n">
        <x:v>2</x:v>
      </x:c>
      <x:c r="U157" s="206" t="n">
        <x:v>0</x:v>
      </x:c>
      <x:c r="V157" s="203" t="n">
        <x:f>IFERROR(S157+T157+U157,"")</x:f>
        <x:v>42.320000000000014</x:v>
      </x:c>
      <x:c r="W157" s="203" t="n">
        <x:f>IFERROR(H157/(1+Anyag_Beallitasok!$B$2)*Anyag_Beallitasok!$B$9,"")</x:f>
        <x:v>42.857142857142854</x:v>
      </x:c>
      <x:c r="X157" s="203" t="n">
        <x:f>IFERROR(V157/((1-Anyag_Beallitasok!$B$3)*(1+Anyag_Beallitasok!$B$2)),"")</x:f>
        <x:v>62.00732600732602</x:v>
      </x:c>
      <x:c r="Y157" s="203" t="n">
        <x:f>IFERROR(V157/((1-Anyag_Beallitasok!$B$4)*(1+Anyag_Beallitasok!$B$2)),"")</x:f>
        <x:v>80.60952380952384</x:v>
      </x:c>
      <x:c r="Z157" s="203" t="n">
        <x:f>IFERROR(ROUNDUP(MAX(W157,X157)/Anyag_Beallitasok!$B$6,0)*Anyag_Beallitasok!$B$6,"")</x:f>
        <x:v>100</x:v>
      </x:c>
      <x:c r="AA157" s="204" t="n">
        <x:f>Anyag_Beallitasok!$B$2</x:f>
        <x:v>0.05</x:v>
      </x:c>
      <x:c r="AB157" s="203" t="n">
        <x:f>IFERROR(Z157*(1+AA157),"")</x:f>
        <x:v>105</x:v>
      </x:c>
      <x:c r="AC157" s="204" t="n">
        <x:f>IFERROR(1-V157/H157,"")</x:f>
        <x:v>0.05955555555555525</x:v>
      </x:c>
      <x:c r="AD157" s="204" t="n">
        <x:f>IFERROR(1-V157/AB157,"")</x:f>
        <x:v>0.5969523809523808</x:v>
      </x:c>
      <x:c r="AE157" s="19" t="str">
        <x:f>IF(AC157&lt;Anyag_Beallitasok!$B$3,"NEM ÉRI EL A 35%-OT",IF(AC157&lt;Anyag_Beallitasok!$B$4,"MINIMUM 35–49,9%",IF(AC157&lt;Anyag_Beallitasok!$B$5,"IDEÁLIS 50–59,9%","KIEMELKEDŐ ≥60%")))</x:f>
        <x:v>NEM ÉRI EL A 35%-OT</x:v>
      </x:c>
      <x:c r="AF157" s="204" t="n">
        <x:f>IFERROR(AB157/H157-1,"")</x:f>
        <x:v>1.3333333333333335</x:v>
      </x:c>
      <x:c r="AG157" s="19" t="str">
        <x:f>IF(AND(P157="IGEN",O157&gt;0),IF(AF157&gt;Anyag_Beallitasok!$B$10,"0%-OS SZÁMLA + ÖNADÓZÁS; FELÁR SZÜKSÉGES","0%-OS SZÁMLA + ÖNADÓZÁS"),IF(AF157&gt;Anyag_Beallitasok!$B$10,"FELÁR SZÜKSÉGES A 35%-HOZ",IF(AC157&lt;Anyag_Beallitasok!$B$3,"PIACI ÁRON NEM TARTHATÓ A 35%","OK")))</x:f>
        <x:v>FELÁR SZÜKSÉGES A 35%-HOZ</x:v>
      </x:c>
      <x:c r="AH157" s="207" t="n">
        <x:v>1500</x:v>
      </x:c>
      <x:c r="AI157" s="207" t="n">
        <x:v>1800</x:v>
      </x:c>
      <x:c r="AJ157" s="207" t="n">
        <x:v>1500</x:v>
      </x:c>
      <x:c r="AK157" s="208"/>
      <x:c r="AL157" s="203" t="str">
        <x:f>IF(AK157="","",V157*AK157)</x:f>
      </x:c>
      <x:c r="AM157" s="203" t="str">
        <x:f>IF(AK157="","",AB157*AK157)</x:f>
      </x:c>
      <x:c r="AN157" s="204" t="str">
        <x:f>IFERROR(1-AL157/AM157,"")</x:f>
      </x:c>
      <x:c r="AO157" s="19" t="str">
        <x:v>https://www.winklertuzep.hu/arlista-web/Sz%C3%A1raz%C3%A9p%C3%ADt%C3%A9s</x:v>
      </x:c>
      <x:c r="AP157" s="19" t="str">
        <x:v>2026 piaci becslés</x:v>
      </x:c>
      <x:c r="AQ157" s="19" t="str"/>
    </x:row>
    <x:row r="158">
      <x:c r="A158" s="19" t="str">
        <x:v>ANY-0157</x:v>
      </x:c>
      <x:c r="B158" s="19" t="str">
        <x:v>10 Belső alapfelületek</x:v>
      </x:c>
      <x:c r="C158" s="19" t="str">
        <x:v>Gipszkarton, vakolat, esztrich</x:v>
      </x:c>
      <x:c r="D158" s="19" t="str">
        <x:v>Mindegyik</x:v>
      </x:c>
      <x:c r="E158" s="19" t="str">
        <x:v>Hézagoló gipsz</x:v>
      </x:c>
      <x:c r="F158" s="19" t="str">
        <x:v>25 kg</x:v>
      </x:c>
      <x:c r="G158" s="19" t="str">
        <x:v>zsák</x:v>
      </x:c>
      <x:c r="H158" s="203" t="n">
        <x:v>6200</x:v>
      </x:c>
      <x:c r="I158" s="204" t="n">
        <x:v>0.27</x:v>
      </x:c>
      <x:c r="J158" s="203" t="n">
        <x:f>IFERROR(H158/(1+I158),"")</x:f>
        <x:v>4881.889763779527</x:v>
      </x:c>
      <x:c r="K158" s="205" t="n">
        <x:v>0.18</x:v>
      </x:c>
      <x:c r="L158" s="203" t="n">
        <x:f>IFERROR(J158*(1-K158),"")</x:f>
        <x:v>4003.1496062992123</x:v>
      </x:c>
      <x:c r="M158" s="19" t="str">
        <x:v>27% normál belföldi</x:v>
      </x:c>
      <x:c r="N158" s="204" t="n">
        <x:v>0.27</x:v>
      </x:c>
      <x:c r="O158" s="204" t="n">
        <x:v>0</x:v>
      </x:c>
      <x:c r="P158" s="19" t="str">
        <x:v>NEM</x:v>
      </x:c>
      <x:c r="Q158" s="203" t="n">
        <x:f>IFERROR(L158*(1+N158),"")</x:f>
        <x:v>5084</x:v>
      </x:c>
      <x:c r="R158" s="205" t="n">
        <x:v>0.08</x:v>
      </x:c>
      <x:c r="S158" s="203" t="n">
        <x:f>IFERROR(Q158*(1+R158),"")</x:f>
        <x:v>5490.72</x:v>
      </x:c>
      <x:c r="T158" s="206" t="n">
        <x:v>120</x:v>
      </x:c>
      <x:c r="U158" s="206" t="n">
        <x:v>0</x:v>
      </x:c>
      <x:c r="V158" s="203" t="n">
        <x:f>IFERROR(S158+T158+U158,"")</x:f>
        <x:v>5610.72</x:v>
      </x:c>
      <x:c r="W158" s="203" t="n">
        <x:f>IFERROR(H158/(1+Anyag_Beallitasok!$B$2)*Anyag_Beallitasok!$B$9,"")</x:f>
        <x:v>5904.761904761905</x:v>
      </x:c>
      <x:c r="X158" s="203" t="n">
        <x:f>IFERROR(V158/((1-Anyag_Beallitasok!$B$3)*(1+Anyag_Beallitasok!$B$2)),"")</x:f>
        <x:v>8220.835164835164</x:v>
      </x:c>
      <x:c r="Y158" s="203" t="n">
        <x:f>IFERROR(V158/((1-Anyag_Beallitasok!$B$4)*(1+Anyag_Beallitasok!$B$2)),"")</x:f>
        <x:v>10687.085714285715</x:v>
      </x:c>
      <x:c r="Z158" s="203" t="n">
        <x:f>IFERROR(ROUNDUP(MAX(W158,X158)/Anyag_Beallitasok!$B$6,0)*Anyag_Beallitasok!$B$6,"")</x:f>
        <x:v>8250</x:v>
      </x:c>
      <x:c r="AA158" s="204" t="n">
        <x:f>Anyag_Beallitasok!$B$2</x:f>
        <x:v>0.05</x:v>
      </x:c>
      <x:c r="AB158" s="203" t="n">
        <x:f>IFERROR(Z158*(1+AA158),"")</x:f>
        <x:v>8662.5</x:v>
      </x:c>
      <x:c r="AC158" s="204" t="n">
        <x:f>IFERROR(1-V158/H158,"")</x:f>
        <x:v>0.09504516129032259</x:v>
      </x:c>
      <x:c r="AD158" s="204" t="n">
        <x:f>IFERROR(1-V158/AB158,"")</x:f>
        <x:v>0.35229783549783544</x:v>
      </x:c>
      <x:c r="AE158" s="19" t="str">
        <x:f>IF(AC158&lt;Anyag_Beallitasok!$B$3,"NEM ÉRI EL A 35%-OT",IF(AC158&lt;Anyag_Beallitasok!$B$4,"MINIMUM 35–49,9%",IF(AC158&lt;Anyag_Beallitasok!$B$5,"IDEÁLIS 50–59,9%","KIEMELKEDŐ ≥60%")))</x:f>
        <x:v>NEM ÉRI EL A 35%-OT</x:v>
      </x:c>
      <x:c r="AF158" s="204" t="n">
        <x:f>IFERROR(AB158/H158-1,"")</x:f>
        <x:v>0.39717741935483875</x:v>
      </x:c>
      <x:c r="AG158" s="19" t="str">
        <x:f>IF(AND(P158="IGEN",O158&gt;0),IF(AF158&gt;Anyag_Beallitasok!$B$10,"0%-OS SZÁMLA + ÖNADÓZÁS; FELÁR SZÜKSÉGES","0%-OS SZÁMLA + ÖNADÓZÁS"),IF(AF158&gt;Anyag_Beallitasok!$B$10,"FELÁR SZÜKSÉGES A 35%-HOZ",IF(AC158&lt;Anyag_Beallitasok!$B$3,"PIACI ÁRON NEM TARTHATÓ A 35%","OK")))</x:f>
        <x:v>FELÁR SZÜKSÉGES A 35%-HOZ</x:v>
      </x:c>
      <x:c r="AH158" s="207" t="n">
        <x:v>45</x:v>
      </x:c>
      <x:c r="AI158" s="207" t="n">
        <x:v>60</x:v>
      </x:c>
      <x:c r="AJ158" s="207" t="n">
        <x:v>45</x:v>
      </x:c>
      <x:c r="AK158" s="208"/>
      <x:c r="AL158" s="203" t="str">
        <x:f>IF(AK158="","",V158*AK158)</x:f>
      </x:c>
      <x:c r="AM158" s="203" t="str">
        <x:f>IF(AK158="","",AB158*AK158)</x:f>
      </x:c>
      <x:c r="AN158" s="204" t="str">
        <x:f>IFERROR(1-AL158/AM158,"")</x:f>
      </x:c>
      <x:c r="AO158" s="19" t="str">
        <x:v>https://www.winklertuzep.hu/arlista-web/porterm%C3%A9kek</x:v>
      </x:c>
      <x:c r="AP158" s="19" t="str">
        <x:v>2026 piaci becslés</x:v>
      </x:c>
      <x:c r="AQ158" s="19" t="str"/>
    </x:row>
    <x:row r="159">
      <x:c r="A159" s="19" t="str">
        <x:v>ANY-0158</x:v>
      </x:c>
      <x:c r="B159" s="19" t="str">
        <x:v>10 Belső alapfelületek</x:v>
      </x:c>
      <x:c r="C159" s="19" t="str">
        <x:v>Gipszkarton, vakolat, esztrich</x:v>
      </x:c>
      <x:c r="D159" s="19" t="str">
        <x:v>Mindegyik</x:v>
      </x:c>
      <x:c r="E159" s="19" t="str">
        <x:v>Gépi vakolat 25 kg</x:v>
      </x:c>
      <x:c r="F159" s="19" t="str">
        <x:v>mész-cement/gipszes</x:v>
      </x:c>
      <x:c r="G159" s="19" t="str">
        <x:v>zsák</x:v>
      </x:c>
      <x:c r="H159" s="203" t="n">
        <x:v>6125</x:v>
      </x:c>
      <x:c r="I159" s="204" t="n">
        <x:v>0.27</x:v>
      </x:c>
      <x:c r="J159" s="203" t="n">
        <x:f>IFERROR(H159/(1+I159),"")</x:f>
        <x:v>4822.834645669292</x:v>
      </x:c>
      <x:c r="K159" s="205" t="n">
        <x:v>0.15</x:v>
      </x:c>
      <x:c r="L159" s="203" t="n">
        <x:f>IFERROR(J159*(1-K159),"")</x:f>
        <x:v>4099.4094488188975</x:v>
      </x:c>
      <x:c r="M159" s="19" t="str">
        <x:v>27% normál belföldi</x:v>
      </x:c>
      <x:c r="N159" s="204" t="n">
        <x:v>0.27</x:v>
      </x:c>
      <x:c r="O159" s="204" t="n">
        <x:v>0</x:v>
      </x:c>
      <x:c r="P159" s="19" t="str">
        <x:v>NEM</x:v>
      </x:c>
      <x:c r="Q159" s="203" t="n">
        <x:f>IFERROR(L159*(1+N159),"")</x:f>
        <x:v>5206.25</x:v>
      </x:c>
      <x:c r="R159" s="205" t="n">
        <x:v>0.08</x:v>
      </x:c>
      <x:c r="S159" s="203" t="n">
        <x:f>IFERROR(Q159*(1+R159),"")</x:f>
        <x:v>5622.75</x:v>
      </x:c>
      <x:c r="T159" s="206" t="n">
        <x:v>130</x:v>
      </x:c>
      <x:c r="U159" s="206" t="n">
        <x:v>0</x:v>
      </x:c>
      <x:c r="V159" s="203" t="n">
        <x:f>IFERROR(S159+T159+U159,"")</x:f>
        <x:v>5752.75</x:v>
      </x:c>
      <x:c r="W159" s="203" t="n">
        <x:f>IFERROR(H159/(1+Anyag_Beallitasok!$B$2)*Anyag_Beallitasok!$B$9,"")</x:f>
        <x:v>5833.333333333333</x:v>
      </x:c>
      <x:c r="X159" s="203" t="n">
        <x:f>IFERROR(V159/((1-Anyag_Beallitasok!$B$3)*(1+Anyag_Beallitasok!$B$2)),"")</x:f>
        <x:v>8428.937728937728</x:v>
      </x:c>
      <x:c r="Y159" s="203" t="n">
        <x:f>IFERROR(V159/((1-Anyag_Beallitasok!$B$4)*(1+Anyag_Beallitasok!$B$2)),"")</x:f>
        <x:v>10957.619047619048</x:v>
      </x:c>
      <x:c r="Z159" s="203" t="n">
        <x:f>IFERROR(ROUNDUP(MAX(W159,X159)/Anyag_Beallitasok!$B$6,0)*Anyag_Beallitasok!$B$6,"")</x:f>
        <x:v>8450</x:v>
      </x:c>
      <x:c r="AA159" s="204" t="n">
        <x:f>Anyag_Beallitasok!$B$2</x:f>
        <x:v>0.05</x:v>
      </x:c>
      <x:c r="AB159" s="203" t="n">
        <x:f>IFERROR(Z159*(1+AA159),"")</x:f>
        <x:v>8872.5</x:v>
      </x:c>
      <x:c r="AC159" s="204" t="n">
        <x:f>IFERROR(1-V159/H159,"")</x:f>
        <x:v>0.06077551020408167</x:v>
      </x:c>
      <x:c r="AD159" s="204" t="n">
        <x:f>IFERROR(1-V159/AB159,"")</x:f>
        <x:v>0.3516201746970977</x:v>
      </x:c>
      <x:c r="AE159" s="19" t="str">
        <x:f>IF(AC159&lt;Anyag_Beallitasok!$B$3,"NEM ÉRI EL A 35%-OT",IF(AC159&lt;Anyag_Beallitasok!$B$4,"MINIMUM 35–49,9%",IF(AC159&lt;Anyag_Beallitasok!$B$5,"IDEÁLIS 50–59,9%","KIEMELKEDŐ ≥60%")))</x:f>
        <x:v>NEM ÉRI EL A 35%-OT</x:v>
      </x:c>
      <x:c r="AF159" s="204" t="n">
        <x:f>IFERROR(AB159/H159-1,"")</x:f>
        <x:v>0.4485714285714286</x:v>
      </x:c>
      <x:c r="AG159" s="19" t="str">
        <x:f>IF(AND(P159="IGEN",O159&gt;0),IF(AF159&gt;Anyag_Beallitasok!$B$10,"0%-OS SZÁMLA + ÖNADÓZÁS; FELÁR SZÜKSÉGES","0%-OS SZÁMLA + ÖNADÓZÁS"),IF(AF159&gt;Anyag_Beallitasok!$B$10,"FELÁR SZÜKSÉGES A 35%-HOZ",IF(AC159&lt;Anyag_Beallitasok!$B$3,"PIACI ÁRON NEM TARTHATÓ A 35%","OK")))</x:f>
        <x:v>FELÁR SZÜKSÉGES A 35%-HOZ</x:v>
      </x:c>
      <x:c r="AH159" s="207" t="n">
        <x:v>360</x:v>
      </x:c>
      <x:c r="AI159" s="207" t="n">
        <x:v>0</x:v>
      </x:c>
      <x:c r="AJ159" s="207" t="n">
        <x:v>260</x:v>
      </x:c>
      <x:c r="AK159" s="208"/>
      <x:c r="AL159" s="203" t="str">
        <x:f>IF(AK159="","",V159*AK159)</x:f>
      </x:c>
      <x:c r="AM159" s="203" t="str">
        <x:f>IF(AK159="","",AB159*AK159)</x:f>
      </x:c>
      <x:c r="AN159" s="204" t="str">
        <x:f>IFERROR(1-AL159/AM159,"")</x:f>
      </x:c>
      <x:c r="AO159" s="19" t="str">
        <x:v>https://www.winklertuzep.hu/arlista-web/porterm%C3%A9kek</x:v>
      </x:c>
      <x:c r="AP159" s="19" t="str">
        <x:v>2026 webár</x:v>
      </x:c>
      <x:c r="AQ159" s="19" t="str"/>
    </x:row>
    <x:row r="160">
      <x:c r="A160" s="19" t="str">
        <x:v>ANY-0159</x:v>
      </x:c>
      <x:c r="B160" s="19" t="str">
        <x:v>10 Belső alapfelületek</x:v>
      </x:c>
      <x:c r="C160" s="19" t="str">
        <x:v>Gipszkarton, vakolat, esztrich</x:v>
      </x:c>
      <x:c r="D160" s="19" t="str">
        <x:v>Mindegyik</x:v>
      </x:c>
      <x:c r="E160" s="19" t="str">
        <x:v>Kézi vakolat 25 kg</x:v>
      </x:c>
      <x:c r="F160" s="19" t="str">
        <x:v>javító</x:v>
      </x:c>
      <x:c r="G160" s="19" t="str">
        <x:v>zsák</x:v>
      </x:c>
      <x:c r="H160" s="203" t="n">
        <x:v>5878</x:v>
      </x:c>
      <x:c r="I160" s="204" t="n">
        <x:v>0.27</x:v>
      </x:c>
      <x:c r="J160" s="203" t="n">
        <x:f>IFERROR(H160/(1+I160),"")</x:f>
        <x:v>4628.346456692913</x:v>
      </x:c>
      <x:c r="K160" s="205" t="n">
        <x:v>0.15</x:v>
      </x:c>
      <x:c r="L160" s="203" t="n">
        <x:f>IFERROR(J160*(1-K160),"")</x:f>
        <x:v>3934.0944881889764</x:v>
      </x:c>
      <x:c r="M160" s="19" t="str">
        <x:v>27% normál belföldi</x:v>
      </x:c>
      <x:c r="N160" s="204" t="n">
        <x:v>0.27</x:v>
      </x:c>
      <x:c r="O160" s="204" t="n">
        <x:v>0</x:v>
      </x:c>
      <x:c r="P160" s="19" t="str">
        <x:v>NEM</x:v>
      </x:c>
      <x:c r="Q160" s="203" t="n">
        <x:f>IFERROR(L160*(1+N160),"")</x:f>
        <x:v>4996.3</x:v>
      </x:c>
      <x:c r="R160" s="205" t="n">
        <x:v>0.08</x:v>
      </x:c>
      <x:c r="S160" s="203" t="n">
        <x:f>IFERROR(Q160*(1+R160),"")</x:f>
        <x:v>5396.004000000001</x:v>
      </x:c>
      <x:c r="T160" s="206" t="n">
        <x:v>130</x:v>
      </x:c>
      <x:c r="U160" s="206" t="n">
        <x:v>0</x:v>
      </x:c>
      <x:c r="V160" s="203" t="n">
        <x:f>IFERROR(S160+T160+U160,"")</x:f>
        <x:v>5526.004000000001</x:v>
      </x:c>
      <x:c r="W160" s="203" t="n">
        <x:f>IFERROR(H160/(1+Anyag_Beallitasok!$B$2)*Anyag_Beallitasok!$B$9,"")</x:f>
        <x:v>5598.095238095238</x:v>
      </x:c>
      <x:c r="X160" s="203" t="n">
        <x:f>IFERROR(V160/((1-Anyag_Beallitasok!$B$3)*(1+Anyag_Beallitasok!$B$2)),"")</x:f>
        <x:v>8096.709157509157</x:v>
      </x:c>
      <x:c r="Y160" s="203" t="n">
        <x:f>IFERROR(V160/((1-Anyag_Beallitasok!$B$4)*(1+Anyag_Beallitasok!$B$2)),"")</x:f>
        <x:v>10525.721904761906</x:v>
      </x:c>
      <x:c r="Z160" s="203" t="n">
        <x:f>IFERROR(ROUNDUP(MAX(W160,X160)/Anyag_Beallitasok!$B$6,0)*Anyag_Beallitasok!$B$6,"")</x:f>
        <x:v>8100</x:v>
      </x:c>
      <x:c r="AA160" s="204" t="n">
        <x:f>Anyag_Beallitasok!$B$2</x:f>
        <x:v>0.05</x:v>
      </x:c>
      <x:c r="AB160" s="203" t="n">
        <x:f>IFERROR(Z160*(1+AA160),"")</x:f>
        <x:v>8505</x:v>
      </x:c>
      <x:c r="AC160" s="204" t="n">
        <x:f>IFERROR(1-V160/H160,"")</x:f>
        <x:v>0.0598836338890778</x:v>
      </x:c>
      <x:c r="AD160" s="204" t="n">
        <x:f>IFERROR(1-V160/AB160,"")</x:f>
        <x:v>0.3502640799529687</x:v>
      </x:c>
      <x:c r="AE160" s="19" t="str">
        <x:f>IF(AC160&lt;Anyag_Beallitasok!$B$3,"NEM ÉRI EL A 35%-OT",IF(AC160&lt;Anyag_Beallitasok!$B$4,"MINIMUM 35–49,9%",IF(AC160&lt;Anyag_Beallitasok!$B$5,"IDEÁLIS 50–59,9%","KIEMELKEDŐ ≥60%")))</x:f>
        <x:v>NEM ÉRI EL A 35%-OT</x:v>
      </x:c>
      <x:c r="AF160" s="204" t="n">
        <x:f>IFERROR(AB160/H160-1,"")</x:f>
        <x:v>0.4469207213337869</x:v>
      </x:c>
      <x:c r="AG160" s="19" t="str">
        <x:f>IF(AND(P160="IGEN",O160&gt;0),IF(AF160&gt;Anyag_Beallitasok!$B$10,"0%-OS SZÁMLA + ÖNADÓZÁS; FELÁR SZÜKSÉGES","0%-OS SZÁMLA + ÖNADÓZÁS"),IF(AF160&gt;Anyag_Beallitasok!$B$10,"FELÁR SZÜKSÉGES A 35%-HOZ",IF(AC160&lt;Anyag_Beallitasok!$B$3,"PIACI ÁRON NEM TARTHATÓ A 35%","OK")))</x:f>
        <x:v>FELÁR SZÜKSÉGES A 35%-HOZ</x:v>
      </x:c>
      <x:c r="AH160" s="207" t="n">
        <x:v>50</x:v>
      </x:c>
      <x:c r="AI160" s="207" t="n">
        <x:v>30</x:v>
      </x:c>
      <x:c r="AJ160" s="207" t="n">
        <x:v>40</x:v>
      </x:c>
      <x:c r="AK160" s="208"/>
      <x:c r="AL160" s="203" t="str">
        <x:f>IF(AK160="","",V160*AK160)</x:f>
      </x:c>
      <x:c r="AM160" s="203" t="str">
        <x:f>IF(AK160="","",AB160*AK160)</x:f>
      </x:c>
      <x:c r="AN160" s="204" t="str">
        <x:f>IFERROR(1-AL160/AM160,"")</x:f>
      </x:c>
      <x:c r="AO160" s="19" t="str">
        <x:v>https://www.winklertuzep.hu/arlista-web/porterm%C3%A9kek</x:v>
      </x:c>
      <x:c r="AP160" s="19" t="str">
        <x:v>Közvetlen 2026 webár</x:v>
      </x:c>
      <x:c r="AQ160" s="19" t="str"/>
    </x:row>
    <x:row r="161">
      <x:c r="A161" s="19" t="str">
        <x:v>ANY-0160</x:v>
      </x:c>
      <x:c r="B161" s="19" t="str">
        <x:v>10 Belső alapfelületek</x:v>
      </x:c>
      <x:c r="C161" s="19" t="str">
        <x:v>Gipszkarton, vakolat, esztrich</x:v>
      </x:c>
      <x:c r="D161" s="19" t="str">
        <x:v>Mindegyik</x:v>
      </x:c>
      <x:c r="E161" s="19" t="str">
        <x:v>Cementesztrich szárazanyag</x:v>
      </x:c>
      <x:c r="F161" s="19" t="str">
        <x:v>25 kg</x:v>
      </x:c>
      <x:c r="G161" s="19" t="str">
        <x:v>zsák</x:v>
      </x:c>
      <x:c r="H161" s="203" t="n">
        <x:v>3200</x:v>
      </x:c>
      <x:c r="I161" s="204" t="n">
        <x:v>0.27</x:v>
      </x:c>
      <x:c r="J161" s="203" t="n">
        <x:f>IFERROR(H161/(1+I161),"")</x:f>
        <x:v>2519.685039370079</x:v>
      </x:c>
      <x:c r="K161" s="205" t="n">
        <x:v>0.15</x:v>
      </x:c>
      <x:c r="L161" s="203" t="n">
        <x:f>IFERROR(J161*(1-K161),"")</x:f>
        <x:v>2141.732283464567</x:v>
      </x:c>
      <x:c r="M161" s="19" t="str">
        <x:v>27% normál belföldi</x:v>
      </x:c>
      <x:c r="N161" s="204" t="n">
        <x:v>0.27</x:v>
      </x:c>
      <x:c r="O161" s="204" t="n">
        <x:v>0</x:v>
      </x:c>
      <x:c r="P161" s="19" t="str">
        <x:v>NEM</x:v>
      </x:c>
      <x:c r="Q161" s="203" t="n">
        <x:f>IFERROR(L161*(1+N161),"")</x:f>
        <x:v>2720</x:v>
      </x:c>
      <x:c r="R161" s="205" t="n">
        <x:v>0.08</x:v>
      </x:c>
      <x:c r="S161" s="203" t="n">
        <x:f>IFERROR(Q161*(1+R161),"")</x:f>
        <x:v>2937.6000000000004</x:v>
      </x:c>
      <x:c r="T161" s="206" t="n">
        <x:v>100</x:v>
      </x:c>
      <x:c r="U161" s="206" t="n">
        <x:v>0</x:v>
      </x:c>
      <x:c r="V161" s="203" t="n">
        <x:f>IFERROR(S161+T161+U161,"")</x:f>
        <x:v>3037.6000000000004</x:v>
      </x:c>
      <x:c r="W161" s="203" t="n">
        <x:f>IFERROR(H161/(1+Anyag_Beallitasok!$B$2)*Anyag_Beallitasok!$B$9,"")</x:f>
        <x:v>3047.6190476190477</x:v>
      </x:c>
      <x:c r="X161" s="203" t="n">
        <x:f>IFERROR(V161/((1-Anyag_Beallitasok!$B$3)*(1+Anyag_Beallitasok!$B$2)),"")</x:f>
        <x:v>4450.695970695971</x:v>
      </x:c>
      <x:c r="Y161" s="203" t="n">
        <x:f>IFERROR(V161/((1-Anyag_Beallitasok!$B$4)*(1+Anyag_Beallitasok!$B$2)),"")</x:f>
        <x:v>5785.904761904762</x:v>
      </x:c>
      <x:c r="Z161" s="203" t="n">
        <x:f>IFERROR(ROUNDUP(MAX(W161,X161)/Anyag_Beallitasok!$B$6,0)*Anyag_Beallitasok!$B$6,"")</x:f>
        <x:v>4500</x:v>
      </x:c>
      <x:c r="AA161" s="204" t="n">
        <x:f>Anyag_Beallitasok!$B$2</x:f>
        <x:v>0.05</x:v>
      </x:c>
      <x:c r="AB161" s="203" t="n">
        <x:f>IFERROR(Z161*(1+AA161),"")</x:f>
        <x:v>4725</x:v>
      </x:c>
      <x:c r="AC161" s="204" t="n">
        <x:f>IFERROR(1-V161/H161,"")</x:f>
        <x:v>0.05074999999999985</x:v>
      </x:c>
      <x:c r="AD161" s="204" t="n">
        <x:f>IFERROR(1-V161/AB161,"")</x:f>
        <x:v>0.35712169312169306</x:v>
      </x:c>
      <x:c r="AE161" s="19" t="str">
        <x:f>IF(AC161&lt;Anyag_Beallitasok!$B$3,"NEM ÉRI EL A 35%-OT",IF(AC161&lt;Anyag_Beallitasok!$B$4,"MINIMUM 35–49,9%",IF(AC161&lt;Anyag_Beallitasok!$B$5,"IDEÁLIS 50–59,9%","KIEMELKEDŐ ≥60%")))</x:f>
        <x:v>NEM ÉRI EL A 35%-OT</x:v>
      </x:c>
      <x:c r="AF161" s="204" t="n">
        <x:f>IFERROR(AB161/H161-1,"")</x:f>
        <x:v>0.4765625</x:v>
      </x:c>
      <x:c r="AG161" s="19" t="str">
        <x:f>IF(AND(P161="IGEN",O161&gt;0),IF(AF161&gt;Anyag_Beallitasok!$B$10,"0%-OS SZÁMLA + ÖNADÓZÁS; FELÁR SZÜKSÉGES","0%-OS SZÁMLA + ÖNADÓZÁS"),IF(AF161&gt;Anyag_Beallitasok!$B$10,"FELÁR SZÜKSÉGES A 35%-HOZ",IF(AC161&lt;Anyag_Beallitasok!$B$3,"PIACI ÁRON NEM TARTHATÓ A 35%","OK")))</x:f>
        <x:v>FELÁR SZÜKSÉGES A 35%-HOZ</x:v>
      </x:c>
      <x:c r="AH161" s="207" t="n">
        <x:v>0</x:v>
      </x:c>
      <x:c r="AI161" s="207" t="n">
        <x:v>0</x:v>
      </x:c>
      <x:c r="AJ161" s="207" t="n">
        <x:v>0</x:v>
      </x:c>
      <x:c r="AK161" s="208"/>
      <x:c r="AL161" s="203" t="str">
        <x:f>IF(AK161="","",V161*AK161)</x:f>
      </x:c>
      <x:c r="AM161" s="203" t="str">
        <x:f>IF(AK161="","",AB161*AK161)</x:f>
      </x:c>
      <x:c r="AN161" s="204" t="str">
        <x:f>IFERROR(1-AL161/AM161,"")</x:f>
      </x:c>
      <x:c r="AO161" s="19" t="str">
        <x:v>https://www.winklertuzep.hu/arlista-web/porterm%C3%A9kek</x:v>
      </x:c>
      <x:c r="AP161" s="19" t="str">
        <x:v>2026 piaci becslés</x:v>
      </x:c>
      <x:c r="AQ161" s="19" t="str"/>
    </x:row>
    <x:row r="162">
      <x:c r="A162" s="19" t="str">
        <x:v>ANY-0161</x:v>
      </x:c>
      <x:c r="B162" s="19" t="str">
        <x:v>10 Belső alapfelületek</x:v>
      </x:c>
      <x:c r="C162" s="19" t="str">
        <x:v>Gipszkarton, vakolat, esztrich</x:v>
      </x:c>
      <x:c r="D162" s="19" t="str">
        <x:v>Mindegyik</x:v>
      </x:c>
      <x:c r="E162" s="19" t="str">
        <x:v>Esztrich homok/cement helyszíni keveréshez</x:v>
      </x:c>
      <x:c r="F162" s="19" t="str">
        <x:v>anyagcsomag m²-re, 6 cm</x:v>
      </x:c>
      <x:c r="G162" s="19" t="str">
        <x:v>m²</x:v>
      </x:c>
      <x:c r="H162" s="203" t="n">
        <x:v>4200</x:v>
      </x:c>
      <x:c r="I162" s="204" t="n">
        <x:v>0.27</x:v>
      </x:c>
      <x:c r="J162" s="203" t="n">
        <x:f>IFERROR(H162/(1+I162),"")</x:f>
        <x:v>3307.086614173228</x:v>
      </x:c>
      <x:c r="K162" s="205" t="n">
        <x:v>0.1</x:v>
      </x:c>
      <x:c r="L162" s="203" t="n">
        <x:f>IFERROR(J162*(1-K162),"")</x:f>
        <x:v>2976.3779527559054</x:v>
      </x:c>
      <x:c r="M162" s="19" t="str">
        <x:v>27% normál belföldi</x:v>
      </x:c>
      <x:c r="N162" s="204" t="n">
        <x:v>0.27</x:v>
      </x:c>
      <x:c r="O162" s="204" t="n">
        <x:v>0</x:v>
      </x:c>
      <x:c r="P162" s="19" t="str">
        <x:v>NEM</x:v>
      </x:c>
      <x:c r="Q162" s="203" t="n">
        <x:f>IFERROR(L162*(1+N162),"")</x:f>
        <x:v>3780</x:v>
      </x:c>
      <x:c r="R162" s="205" t="n">
        <x:v>0.08</x:v>
      </x:c>
      <x:c r="S162" s="203" t="n">
        <x:f>IFERROR(Q162*(1+R162),"")</x:f>
        <x:v>4082.4</x:v>
      </x:c>
      <x:c r="T162" s="206" t="n">
        <x:v>250</x:v>
      </x:c>
      <x:c r="U162" s="206" t="n">
        <x:v>0</x:v>
      </x:c>
      <x:c r="V162" s="203" t="n">
        <x:f>IFERROR(S162+T162+U162,"")</x:f>
        <x:v>4332.4</x:v>
      </x:c>
      <x:c r="W162" s="203" t="n">
        <x:f>IFERROR(H162/(1+Anyag_Beallitasok!$B$2)*Anyag_Beallitasok!$B$9,"")</x:f>
        <x:v>4000</x:v>
      </x:c>
      <x:c r="X162" s="203" t="n">
        <x:f>IFERROR(V162/((1-Anyag_Beallitasok!$B$3)*(1+Anyag_Beallitasok!$B$2)),"")</x:f>
        <x:v>6347.838827838827</x:v>
      </x:c>
      <x:c r="Y162" s="203" t="n">
        <x:f>IFERROR(V162/((1-Anyag_Beallitasok!$B$4)*(1+Anyag_Beallitasok!$B$2)),"")</x:f>
        <x:v>8252.190476190475</x:v>
      </x:c>
      <x:c r="Z162" s="203" t="n">
        <x:f>IFERROR(ROUNDUP(MAX(W162,X162)/Anyag_Beallitasok!$B$6,0)*Anyag_Beallitasok!$B$6,"")</x:f>
        <x:v>6350</x:v>
      </x:c>
      <x:c r="AA162" s="204" t="n">
        <x:f>Anyag_Beallitasok!$B$2</x:f>
        <x:v>0.05</x:v>
      </x:c>
      <x:c r="AB162" s="203" t="n">
        <x:f>IFERROR(Z162*(1+AA162),"")</x:f>
        <x:v>6667.5</x:v>
      </x:c>
      <x:c r="AC162" s="204" t="n">
        <x:f>IFERROR(1-V162/H162,"")</x:f>
        <x:v>-0.03152380952380951</x:v>
      </x:c>
      <x:c r="AD162" s="204" t="n">
        <x:f>IFERROR(1-V162/AB162,"")</x:f>
        <x:v>0.35022122234720665</x:v>
      </x:c>
      <x:c r="AE162" s="19" t="str">
        <x:f>IF(AC162&lt;Anyag_Beallitasok!$B$3,"NEM ÉRI EL A 35%-OT",IF(AC162&lt;Anyag_Beallitasok!$B$4,"MINIMUM 35–49,9%",IF(AC162&lt;Anyag_Beallitasok!$B$5,"IDEÁLIS 50–59,9%","KIEMELKEDŐ ≥60%")))</x:f>
        <x:v>NEM ÉRI EL A 35%-OT</x:v>
      </x:c>
      <x:c r="AF162" s="204" t="n">
        <x:f>IFERROR(AB162/H162-1,"")</x:f>
        <x:v>0.5874999999999999</x:v>
      </x:c>
      <x:c r="AG162" s="19" t="str">
        <x:f>IF(AND(P162="IGEN",O162&gt;0),IF(AF162&gt;Anyag_Beallitasok!$B$10,"0%-OS SZÁMLA + ÖNADÓZÁS; FELÁR SZÜKSÉGES","0%-OS SZÁMLA + ÖNADÓZÁS"),IF(AF162&gt;Anyag_Beallitasok!$B$10,"FELÁR SZÜKSÉGES A 35%-HOZ",IF(AC162&lt;Anyag_Beallitasok!$B$3,"PIACI ÁRON NEM TARTHATÓ A 35%","OK")))</x:f>
        <x:v>FELÁR SZÜKSÉGES A 35%-HOZ</x:v>
      </x:c>
      <x:c r="AH162" s="207" t="n">
        <x:v>145</x:v>
      </x:c>
      <x:c r="AI162" s="207" t="n">
        <x:v>145</x:v>
      </x:c>
      <x:c r="AJ162" s="207" t="n">
        <x:v>145</x:v>
      </x:c>
      <x:c r="AK162" s="208"/>
      <x:c r="AL162" s="203" t="str">
        <x:f>IF(AK162="","",V162*AK162)</x:f>
      </x:c>
      <x:c r="AM162" s="203" t="str">
        <x:f>IF(AK162="","",AB162*AK162)</x:f>
      </x:c>
      <x:c r="AN162" s="204" t="str">
        <x:f>IFERROR(1-AL162/AM162,"")</x:f>
      </x:c>
      <x:c r="AO162" s="19" t="str">
        <x:v>https://www.betonpartner.hu/www.betonpartner.hu/documents/Budapest_Transzportbeton_arlista_2026_gOX48.pdf</x:v>
      </x:c>
      <x:c r="AP162" s="19" t="str">
        <x:v>Mérnöki norma 2026 árakkal</x:v>
      </x:c>
      <x:c r="AQ162" s="19" t="str"/>
    </x:row>
    <x:row r="163">
      <x:c r="A163" s="19" t="str">
        <x:v>ANY-0162</x:v>
      </x:c>
      <x:c r="B163" s="19" t="str">
        <x:v>10 Belső alapfelületek</x:v>
      </x:c>
      <x:c r="C163" s="19" t="str">
        <x:v>Gipszkarton, vakolat, esztrich</x:v>
      </x:c>
      <x:c r="D163" s="19" t="str">
        <x:v>Mindegyik</x:v>
      </x:c>
      <x:c r="E163" s="19" t="str">
        <x:v>Önterülő aljzatkiegyenlítő</x:v>
      </x:c>
      <x:c r="F163" s="19" t="str">
        <x:v>25 kg zsák</x:v>
      </x:c>
      <x:c r="G163" s="19" t="str">
        <x:v>zsák</x:v>
      </x:c>
      <x:c r="H163" s="203" t="n">
        <x:v>8500</x:v>
      </x:c>
      <x:c r="I163" s="204" t="n">
        <x:v>0.27</x:v>
      </x:c>
      <x:c r="J163" s="203" t="n">
        <x:f>IFERROR(H163/(1+I163),"")</x:f>
        <x:v>6692.913385826771</x:v>
      </x:c>
      <x:c r="K163" s="205" t="n">
        <x:v>0.18</x:v>
      </x:c>
      <x:c r="L163" s="203" t="n">
        <x:f>IFERROR(J163*(1-K163),"")</x:f>
        <x:v>5488.188976377953</x:v>
      </x:c>
      <x:c r="M163" s="19" t="str">
        <x:v>27% normál belföldi</x:v>
      </x:c>
      <x:c r="N163" s="204" t="n">
        <x:v>0.27</x:v>
      </x:c>
      <x:c r="O163" s="204" t="n">
        <x:v>0</x:v>
      </x:c>
      <x:c r="P163" s="19" t="str">
        <x:v>NEM</x:v>
      </x:c>
      <x:c r="Q163" s="203" t="n">
        <x:f>IFERROR(L163*(1+N163),"")</x:f>
        <x:v>6970</x:v>
      </x:c>
      <x:c r="R163" s="205" t="n">
        <x:v>0.08</x:v>
      </x:c>
      <x:c r="S163" s="203" t="n">
        <x:f>IFERROR(Q163*(1+R163),"")</x:f>
        <x:v>7527.6</x:v>
      </x:c>
      <x:c r="T163" s="206" t="n">
        <x:v>150</x:v>
      </x:c>
      <x:c r="U163" s="206" t="n">
        <x:v>0</x:v>
      </x:c>
      <x:c r="V163" s="203" t="n">
        <x:f>IFERROR(S163+T163+U163,"")</x:f>
        <x:v>7677.6</x:v>
      </x:c>
      <x:c r="W163" s="203" t="n">
        <x:f>IFERROR(H163/(1+Anyag_Beallitasok!$B$2)*Anyag_Beallitasok!$B$9,"")</x:f>
        <x:v>8095.2380952380945</x:v>
      </x:c>
      <x:c r="X163" s="203" t="n">
        <x:f>IFERROR(V163/((1-Anyag_Beallitasok!$B$3)*(1+Anyag_Beallitasok!$B$2)),"")</x:f>
        <x:v>11249.230769230768</x:v>
      </x:c>
      <x:c r="Y163" s="203" t="n">
        <x:f>IFERROR(V163/((1-Anyag_Beallitasok!$B$4)*(1+Anyag_Beallitasok!$B$2)),"")</x:f>
        <x:v>14624</x:v>
      </x:c>
      <x:c r="Z163" s="203" t="n">
        <x:f>IFERROR(ROUNDUP(MAX(W163,X163)/Anyag_Beallitasok!$B$6,0)*Anyag_Beallitasok!$B$6,"")</x:f>
        <x:v>11250</x:v>
      </x:c>
      <x:c r="AA163" s="204" t="n">
        <x:f>Anyag_Beallitasok!$B$2</x:f>
        <x:v>0.05</x:v>
      </x:c>
      <x:c r="AB163" s="203" t="n">
        <x:f>IFERROR(Z163*(1+AA163),"")</x:f>
        <x:v>11812.5</x:v>
      </x:c>
      <x:c r="AC163" s="204" t="n">
        <x:f>IFERROR(1-V163/H163,"")</x:f>
        <x:v>0.0967529411764706</x:v>
      </x:c>
      <x:c r="AD163" s="204" t="n">
        <x:f>IFERROR(1-V163/AB163,"")</x:f>
        <x:v>0.3500444444444444</x:v>
      </x:c>
      <x:c r="AE163" s="19" t="str">
        <x:f>IF(AC163&lt;Anyag_Beallitasok!$B$3,"NEM ÉRI EL A 35%-OT",IF(AC163&lt;Anyag_Beallitasok!$B$4,"MINIMUM 35–49,9%",IF(AC163&lt;Anyag_Beallitasok!$B$5,"IDEÁLIS 50–59,9%","KIEMELKEDŐ ≥60%")))</x:f>
        <x:v>NEM ÉRI EL A 35%-OT</x:v>
      </x:c>
      <x:c r="AF163" s="204" t="n">
        <x:f>IFERROR(AB163/H163-1,"")</x:f>
        <x:v>0.3897058823529411</x:v>
      </x:c>
      <x:c r="AG163" s="19" t="str">
        <x:f>IF(AND(P163="IGEN",O163&gt;0),IF(AF163&gt;Anyag_Beallitasok!$B$10,"0%-OS SZÁMLA + ÖNADÓZÁS; FELÁR SZÜKSÉGES","0%-OS SZÁMLA + ÖNADÓZÁS"),IF(AF163&gt;Anyag_Beallitasok!$B$10,"FELÁR SZÜKSÉGES A 35%-HOZ",IF(AC163&lt;Anyag_Beallitasok!$B$3,"PIACI ÁRON NEM TARTHATÓ A 35%","OK")))</x:f>
        <x:v>FELÁR SZÜKSÉGES A 35%-HOZ</x:v>
      </x:c>
      <x:c r="AH163" s="207" t="n">
        <x:v>30</x:v>
      </x:c>
      <x:c r="AI163" s="207" t="n">
        <x:v>30</x:v>
      </x:c>
      <x:c r="AJ163" s="207" t="n">
        <x:v>30</x:v>
      </x:c>
      <x:c r="AK163" s="208"/>
      <x:c r="AL163" s="203" t="str">
        <x:f>IF(AK163="","",V163*AK163)</x:f>
      </x:c>
      <x:c r="AM163" s="203" t="str">
        <x:f>IF(AK163="","",AB163*AK163)</x:f>
      </x:c>
      <x:c r="AN163" s="204" t="str">
        <x:f>IFERROR(1-AL163/AM163,"")</x:f>
      </x:c>
      <x:c r="AO163" s="19" t="str">
        <x:v>https://www.winklertuzep.hu/arlista-web/porterm%C3%A9kek</x:v>
      </x:c>
      <x:c r="AP163" s="19" t="str">
        <x:v>2026 piaci becslés</x:v>
      </x:c>
      <x:c r="AQ163" s="19" t="str"/>
    </x:row>
    <x:row r="164">
      <x:c r="A164" s="19" t="str">
        <x:v>ANY-0163</x:v>
      </x:c>
      <x:c r="B164" s="19" t="str">
        <x:v>10 Belső alapfelületek</x:v>
      </x:c>
      <x:c r="C164" s="19" t="str">
        <x:v>Gipszkarton, vakolat, esztrich</x:v>
      </x:c>
      <x:c r="D164" s="19" t="str">
        <x:v>Mindegyik</x:v>
      </x:c>
      <x:c r="E164" s="19" t="str">
        <x:v>Peremszigetelő csík</x:v>
      </x:c>
      <x:c r="F164" s="19" t="str">
        <x:v>8–10 mm</x:v>
      </x:c>
      <x:c r="G164" s="19" t="str">
        <x:v>fm</x:v>
      </x:c>
      <x:c r="H164" s="203" t="n">
        <x:v>180</x:v>
      </x:c>
      <x:c r="I164" s="204" t="n">
        <x:v>0.27</x:v>
      </x:c>
      <x:c r="J164" s="203" t="n">
        <x:f>IFERROR(H164/(1+I164),"")</x:f>
        <x:v>141.73228346456693</x:v>
      </x:c>
      <x:c r="K164" s="205" t="n">
        <x:v>0.18</x:v>
      </x:c>
      <x:c r="L164" s="203" t="n">
        <x:f>IFERROR(J164*(1-K164),"")</x:f>
        <x:v>116.22047244094489</x:v>
      </x:c>
      <x:c r="M164" s="19" t="str">
        <x:v>27% normál belföldi</x:v>
      </x:c>
      <x:c r="N164" s="204" t="n">
        <x:v>0.27</x:v>
      </x:c>
      <x:c r="O164" s="204" t="n">
        <x:v>0</x:v>
      </x:c>
      <x:c r="P164" s="19" t="str">
        <x:v>NEM</x:v>
      </x:c>
      <x:c r="Q164" s="203" t="n">
        <x:f>IFERROR(L164*(1+N164),"")</x:f>
        <x:v>147.60000000000002</x:v>
      </x:c>
      <x:c r="R164" s="205" t="n">
        <x:v>0.1</x:v>
      </x:c>
      <x:c r="S164" s="203" t="n">
        <x:f>IFERROR(Q164*(1+R164),"")</x:f>
        <x:v>162.36000000000004</x:v>
      </x:c>
      <x:c r="T164" s="206" t="n">
        <x:v>5</x:v>
      </x:c>
      <x:c r="U164" s="206" t="n">
        <x:v>0</x:v>
      </x:c>
      <x:c r="V164" s="203" t="n">
        <x:f>IFERROR(S164+T164+U164,"")</x:f>
        <x:v>167.36000000000004</x:v>
      </x:c>
      <x:c r="W164" s="203" t="n">
        <x:f>IFERROR(H164/(1+Anyag_Beallitasok!$B$2)*Anyag_Beallitasok!$B$9,"")</x:f>
        <x:v>171.42857142857142</x:v>
      </x:c>
      <x:c r="X164" s="203" t="n">
        <x:f>IFERROR(V164/((1-Anyag_Beallitasok!$B$3)*(1+Anyag_Beallitasok!$B$2)),"")</x:f>
        <x:v>245.21611721611723</x:v>
      </x:c>
      <x:c r="Y164" s="203" t="n">
        <x:f>IFERROR(V164/((1-Anyag_Beallitasok!$B$4)*(1+Anyag_Beallitasok!$B$2)),"")</x:f>
        <x:v>318.78095238095244</x:v>
      </x:c>
      <x:c r="Z164" s="203" t="n">
        <x:f>IFERROR(ROUNDUP(MAX(W164,X164)/Anyag_Beallitasok!$B$6,0)*Anyag_Beallitasok!$B$6,"")</x:f>
        <x:v>250</x:v>
      </x:c>
      <x:c r="AA164" s="204" t="n">
        <x:f>Anyag_Beallitasok!$B$2</x:f>
        <x:v>0.05</x:v>
      </x:c>
      <x:c r="AB164" s="203" t="n">
        <x:f>IFERROR(Z164*(1+AA164),"")</x:f>
        <x:v>262.5</x:v>
      </x:c>
      <x:c r="AC164" s="204" t="n">
        <x:f>IFERROR(1-V164/H164,"")</x:f>
        <x:v>0.07022222222222196</x:v>
      </x:c>
      <x:c r="AD164" s="204" t="n">
        <x:f>IFERROR(1-V164/AB164,"")</x:f>
        <x:v>0.3624380952380951</x:v>
      </x:c>
      <x:c r="AE164" s="19" t="str">
        <x:f>IF(AC164&lt;Anyag_Beallitasok!$B$3,"NEM ÉRI EL A 35%-OT",IF(AC164&lt;Anyag_Beallitasok!$B$4,"MINIMUM 35–49,9%",IF(AC164&lt;Anyag_Beallitasok!$B$5,"IDEÁLIS 50–59,9%","KIEMELKEDŐ ≥60%")))</x:f>
        <x:v>NEM ÉRI EL A 35%-OT</x:v>
      </x:c>
      <x:c r="AF164" s="204" t="n">
        <x:f>IFERROR(AB164/H164-1,"")</x:f>
        <x:v>0.45833333333333326</x:v>
      </x:c>
      <x:c r="AG164" s="19" t="str">
        <x:f>IF(AND(P164="IGEN",O164&gt;0),IF(AF164&gt;Anyag_Beallitasok!$B$10,"0%-OS SZÁMLA + ÖNADÓZÁS; FELÁR SZÜKSÉGES","0%-OS SZÁMLA + ÖNADÓZÁS"),IF(AF164&gt;Anyag_Beallitasok!$B$10,"FELÁR SZÜKSÉGES A 35%-HOZ",IF(AC164&lt;Anyag_Beallitasok!$B$3,"PIACI ÁRON NEM TARTHATÓ A 35%","OK")))</x:f>
        <x:v>FELÁR SZÜKSÉGES A 35%-HOZ</x:v>
      </x:c>
      <x:c r="AH164" s="207" t="n">
        <x:v>180</x:v>
      </x:c>
      <x:c r="AI164" s="207" t="n">
        <x:v>180</x:v>
      </x:c>
      <x:c r="AJ164" s="207" t="n">
        <x:v>180</x:v>
      </x:c>
      <x:c r="AK164" s="208"/>
      <x:c r="AL164" s="203" t="str">
        <x:f>IF(AK164="","",V164*AK164)</x:f>
      </x:c>
      <x:c r="AM164" s="203" t="str">
        <x:f>IF(AK164="","",AB164*AK164)</x:f>
      </x:c>
      <x:c r="AN164" s="204" t="str">
        <x:f>IFERROR(1-AL164/AM164,"")</x:f>
      </x:c>
      <x:c r="AO164" s="19" t="str">
        <x:v>https://www.hoszigetelesplaza.hu/eps-80-homlokzati-hoszigetelo-lemez-15-cm-vastag</x:v>
      </x:c>
      <x:c r="AP164" s="19" t="str">
        <x:v>2026 piaci becslés</x:v>
      </x:c>
      <x:c r="AQ164" s="19" t="str"/>
    </x:row>
    <x:row r="165">
      <x:c r="A165" s="19" t="str">
        <x:v>ANY-0164</x:v>
      </x:c>
      <x:c r="B165" s="19" t="str">
        <x:v>11 Befejező anyagok</x:v>
      </x:c>
      <x:c r="C165" s="19" t="str">
        <x:v>Festék, burkolat, padló</x:v>
      </x:c>
      <x:c r="D165" s="19" t="str">
        <x:v>Mindegyik</x:v>
      </x:c>
      <x:c r="E165" s="19" t="str">
        <x:v>Beltéri fehér falfesték 14 l</x:v>
      </x:c>
      <x:c r="F165" s="19" t="str">
        <x:v>standard diszperziós</x:v>
      </x:c>
      <x:c r="G165" s="19" t="str">
        <x:v>vödör</x:v>
      </x:c>
      <x:c r="H165" s="203" t="n">
        <x:v>8429</x:v>
      </x:c>
      <x:c r="I165" s="204" t="n">
        <x:v>0.27</x:v>
      </x:c>
      <x:c r="J165" s="203" t="n">
        <x:f>IFERROR(H165/(1+I165),"")</x:f>
        <x:v>6637.007874015748</x:v>
      </x:c>
      <x:c r="K165" s="205" t="n">
        <x:v>0.2</x:v>
      </x:c>
      <x:c r="L165" s="203" t="n">
        <x:f>IFERROR(J165*(1-K165),"")</x:f>
        <x:v>5309.606299212599</x:v>
      </x:c>
      <x:c r="M165" s="19" t="str">
        <x:v>27% normál belföldi</x:v>
      </x:c>
      <x:c r="N165" s="204" t="n">
        <x:v>0.27</x:v>
      </x:c>
      <x:c r="O165" s="204" t="n">
        <x:v>0</x:v>
      </x:c>
      <x:c r="P165" s="19" t="str">
        <x:v>NEM</x:v>
      </x:c>
      <x:c r="Q165" s="203" t="n">
        <x:f>IFERROR(L165*(1+N165),"")</x:f>
        <x:v>6743.200000000001</x:v>
      </x:c>
      <x:c r="R165" s="205" t="n">
        <x:v>0.08</x:v>
      </x:c>
      <x:c r="S165" s="203" t="n">
        <x:f>IFERROR(Q165*(1+R165),"")</x:f>
        <x:v>7282.656000000001</x:v>
      </x:c>
      <x:c r="T165" s="206" t="n">
        <x:v>180</x:v>
      </x:c>
      <x:c r="U165" s="206" t="n">
        <x:v>0</x:v>
      </x:c>
      <x:c r="V165" s="203" t="n">
        <x:f>IFERROR(S165+T165+U165,"")</x:f>
        <x:v>7462.656000000001</x:v>
      </x:c>
      <x:c r="W165" s="203" t="n">
        <x:f>IFERROR(H165/(1+Anyag_Beallitasok!$B$2)*Anyag_Beallitasok!$B$9,"")</x:f>
        <x:v>8027.619047619048</x:v>
      </x:c>
      <x:c r="X165" s="203" t="n">
        <x:f>IFERROR(V165/((1-Anyag_Beallitasok!$B$3)*(1+Anyag_Beallitasok!$B$2)),"")</x:f>
        <x:v>10934.294505494505</x:v>
      </x:c>
      <x:c r="Y165" s="203" t="n">
        <x:f>IFERROR(V165/((1-Anyag_Beallitasok!$B$4)*(1+Anyag_Beallitasok!$B$2)),"")</x:f>
        <x:v>14214.582857142857</x:v>
      </x:c>
      <x:c r="Z165" s="203" t="n">
        <x:f>IFERROR(ROUNDUP(MAX(W165,X165)/Anyag_Beallitasok!$B$6,0)*Anyag_Beallitasok!$B$6,"")</x:f>
        <x:v>10950</x:v>
      </x:c>
      <x:c r="AA165" s="204" t="n">
        <x:f>Anyag_Beallitasok!$B$2</x:f>
        <x:v>0.05</x:v>
      </x:c>
      <x:c r="AB165" s="203" t="n">
        <x:f>IFERROR(Z165*(1+AA165),"")</x:f>
        <x:v>11497.5</x:v>
      </x:c>
      <x:c r="AC165" s="204" t="n">
        <x:f>IFERROR(1-V165/H165,"")</x:f>
        <x:v>0.11464515363625571</x:v>
      </x:c>
      <x:c r="AD165" s="204" t="n">
        <x:f>IFERROR(1-V165/AB165,"")</x:f>
        <x:v>0.35093228962818</x:v>
      </x:c>
      <x:c r="AE165" s="19" t="str">
        <x:f>IF(AC165&lt;Anyag_Beallitasok!$B$3,"NEM ÉRI EL A 35%-OT",IF(AC165&lt;Anyag_Beallitasok!$B$4,"MINIMUM 35–49,9%",IF(AC165&lt;Anyag_Beallitasok!$B$5,"IDEÁLIS 50–59,9%","KIEMELKEDŐ ≥60%")))</x:f>
        <x:v>NEM ÉRI EL A 35%-OT</x:v>
      </x:c>
      <x:c r="AF165" s="204" t="n">
        <x:f>IFERROR(AB165/H165-1,"")</x:f>
        <x:v>0.3640408114841618</x:v>
      </x:c>
      <x:c r="AG165" s="19" t="str">
        <x:f>IF(AND(P165="IGEN",O165&gt;0),IF(AF165&gt;Anyag_Beallitasok!$B$10,"0%-OS SZÁMLA + ÖNADÓZÁS; FELÁR SZÜKSÉGES","0%-OS SZÁMLA + ÖNADÓZÁS"),IF(AF165&gt;Anyag_Beallitasok!$B$10,"FELÁR SZÜKSÉGES A 35%-HOZ",IF(AC165&lt;Anyag_Beallitasok!$B$3,"PIACI ÁRON NEM TARTHATÓ A 35%","OK")))</x:f>
        <x:v>FELÁR SZÜKSÉGES A 35%-HOZ</x:v>
      </x:c>
      <x:c r="AH165" s="207" t="n">
        <x:v>35</x:v>
      </x:c>
      <x:c r="AI165" s="207" t="n">
        <x:v>40</x:v>
      </x:c>
      <x:c r="AJ165" s="207" t="n">
        <x:v>35</x:v>
      </x:c>
      <x:c r="AK165" s="208"/>
      <x:c r="AL165" s="203" t="str">
        <x:f>IF(AK165="","",V165*AK165)</x:f>
      </x:c>
      <x:c r="AM165" s="203" t="str">
        <x:f>IF(AK165="","",AB165*AK165)</x:f>
      </x:c>
      <x:c r="AN165" s="204" t="str">
        <x:f>IFERROR(1-AL165/AM165,"")</x:f>
      </x:c>
      <x:c r="AO165" s="19" t="str">
        <x:v>https://www.kohazy.hu/glett-gipsz-csemperagaszto-portermek/-fugazoanyag/poli-diszperzios-belteri-falfestek-14-l-feher</x:v>
      </x:c>
      <x:c r="AP165" s="19" t="str">
        <x:v>Közvetlen webár</x:v>
      </x:c>
      <x:c r="AQ165" s="19" t="str"/>
    </x:row>
    <x:row r="166">
      <x:c r="A166" s="19" t="str">
        <x:v>ANY-0165</x:v>
      </x:c>
      <x:c r="B166" s="19" t="str">
        <x:v>11 Befejező anyagok</x:v>
      </x:c>
      <x:c r="C166" s="19" t="str">
        <x:v>Festék, burkolat, padló</x:v>
      </x:c>
      <x:c r="D166" s="19" t="str">
        <x:v>Mindegyik</x:v>
      </x:c>
      <x:c r="E166" s="19" t="str">
        <x:v>Beltéri prémium falfesték 15 l</x:v>
      </x:c>
      <x:c r="F166" s="19" t="str">
        <x:v>jobb fedőképesség</x:v>
      </x:c>
      <x:c r="G166" s="19" t="str">
        <x:v>vödör</x:v>
      </x:c>
      <x:c r="H166" s="203" t="n">
        <x:v>13560</x:v>
      </x:c>
      <x:c r="I166" s="204" t="n">
        <x:v>0.27</x:v>
      </x:c>
      <x:c r="J166" s="203" t="n">
        <x:f>IFERROR(H166/(1+I166),"")</x:f>
        <x:v>10677.16535433071</x:v>
      </x:c>
      <x:c r="K166" s="205" t="n">
        <x:v>0.2</x:v>
      </x:c>
      <x:c r="L166" s="203" t="n">
        <x:f>IFERROR(J166*(1-K166),"")</x:f>
        <x:v>8541.732283464567</x:v>
      </x:c>
      <x:c r="M166" s="19" t="str">
        <x:v>27% normál belföldi</x:v>
      </x:c>
      <x:c r="N166" s="204" t="n">
        <x:v>0.27</x:v>
      </x:c>
      <x:c r="O166" s="204" t="n">
        <x:v>0</x:v>
      </x:c>
      <x:c r="P166" s="19" t="str">
        <x:v>NEM</x:v>
      </x:c>
      <x:c r="Q166" s="203" t="n">
        <x:f>IFERROR(L166*(1+N166),"")</x:f>
        <x:v>10848</x:v>
      </x:c>
      <x:c r="R166" s="205" t="n">
        <x:v>0.08</x:v>
      </x:c>
      <x:c r="S166" s="203" t="n">
        <x:f>IFERROR(Q166*(1+R166),"")</x:f>
        <x:v>11715.84</x:v>
      </x:c>
      <x:c r="T166" s="206" t="n">
        <x:v>200</x:v>
      </x:c>
      <x:c r="U166" s="206" t="n">
        <x:v>0</x:v>
      </x:c>
      <x:c r="V166" s="203" t="n">
        <x:f>IFERROR(S166+T166+U166,"")</x:f>
        <x:v>11915.84</x:v>
      </x:c>
      <x:c r="W166" s="203" t="n">
        <x:f>IFERROR(H166/(1+Anyag_Beallitasok!$B$2)*Anyag_Beallitasok!$B$9,"")</x:f>
        <x:v>12914.285714285714</x:v>
      </x:c>
      <x:c r="X166" s="203" t="n">
        <x:f>IFERROR(V166/((1-Anyag_Beallitasok!$B$3)*(1+Anyag_Beallitasok!$B$2)),"")</x:f>
        <x:v>17459.106227106226</x:v>
      </x:c>
      <x:c r="Y166" s="203" t="n">
        <x:f>IFERROR(V166/((1-Anyag_Beallitasok!$B$4)*(1+Anyag_Beallitasok!$B$2)),"")</x:f>
        <x:v>22696.838095238094</x:v>
      </x:c>
      <x:c r="Z166" s="203" t="n">
        <x:f>IFERROR(ROUNDUP(MAX(W166,X166)/Anyag_Beallitasok!$B$6,0)*Anyag_Beallitasok!$B$6,"")</x:f>
        <x:v>17500</x:v>
      </x:c>
      <x:c r="AA166" s="204" t="n">
        <x:f>Anyag_Beallitasok!$B$2</x:f>
        <x:v>0.05</x:v>
      </x:c>
      <x:c r="AB166" s="203" t="n">
        <x:f>IFERROR(Z166*(1+AA166),"")</x:f>
        <x:v>18375</x:v>
      </x:c>
      <x:c r="AC166" s="204" t="n">
        <x:f>IFERROR(1-V166/H166,"")</x:f>
        <x:v>0.12125073746312687</x:v>
      </x:c>
      <x:c r="AD166" s="204" t="n">
        <x:f>IFERROR(1-V166/AB166,"")</x:f>
        <x:v>0.3515189115646259</x:v>
      </x:c>
      <x:c r="AE166" s="19" t="str">
        <x:f>IF(AC166&lt;Anyag_Beallitasok!$B$3,"NEM ÉRI EL A 35%-OT",IF(AC166&lt;Anyag_Beallitasok!$B$4,"MINIMUM 35–49,9%",IF(AC166&lt;Anyag_Beallitasok!$B$5,"IDEÁLIS 50–59,9%","KIEMELKEDŐ ≥60%")))</x:f>
        <x:v>NEM ÉRI EL A 35%-OT</x:v>
      </x:c>
      <x:c r="AF166" s="204" t="n">
        <x:f>IFERROR(AB166/H166-1,"")</x:f>
        <x:v>0.35508849557522115</x:v>
      </x:c>
      <x:c r="AG166" s="19" t="str">
        <x:f>IF(AND(P166="IGEN",O166&gt;0),IF(AF166&gt;Anyag_Beallitasok!$B$10,"0%-OS SZÁMLA + ÖNADÓZÁS; FELÁR SZÜKSÉGES","0%-OS SZÁMLA + ÖNADÓZÁS"),IF(AF166&gt;Anyag_Beallitasok!$B$10,"FELÁR SZÜKSÉGES A 35%-HOZ",IF(AC166&lt;Anyag_Beallitasok!$B$3,"PIACI ÁRON NEM TARTHATÓ A 35%","OK")))</x:f>
        <x:v>FELÁR SZÜKSÉGES A 35%-HOZ</x:v>
      </x:c>
      <x:c r="AH166" s="207" t="n">
        <x:v>0</x:v>
      </x:c>
      <x:c r="AI166" s="207" t="n">
        <x:v>0</x:v>
      </x:c>
      <x:c r="AJ166" s="207" t="n">
        <x:v>0</x:v>
      </x:c>
      <x:c r="AK166" s="208"/>
      <x:c r="AL166" s="203" t="str">
        <x:f>IF(AK166="","",V166*AK166)</x:f>
      </x:c>
      <x:c r="AM166" s="203" t="str">
        <x:f>IF(AK166="","",AB166*AK166)</x:f>
      </x:c>
      <x:c r="AN166" s="204" t="str">
        <x:f>IFERROR(1-AL166/AM166,"")</x:f>
      </x:c>
      <x:c r="AO166" s="19" t="str">
        <x:v>https://diszperzios-festek-belteri-falfestek.arukereso.hu/</x:v>
      </x:c>
      <x:c r="AP166" s="19" t="str">
        <x:v>Közvetlen webár</x:v>
      </x:c>
      <x:c r="AQ166" s="19" t="str"/>
    </x:row>
    <x:row r="167">
      <x:c r="A167" s="19" t="str">
        <x:v>ANY-0166</x:v>
      </x:c>
      <x:c r="B167" s="19" t="str">
        <x:v>11 Befejező anyagok</x:v>
      </x:c>
      <x:c r="C167" s="19" t="str">
        <x:v>Festék, burkolat, padló</x:v>
      </x:c>
      <x:c r="D167" s="19" t="str">
        <x:v>Mindegyik</x:v>
      </x:c>
      <x:c r="E167" s="19" t="str">
        <x:v>Mélyalapozó 10 l</x:v>
      </x:c>
      <x:c r="F167" s="19" t="str">
        <x:v>beltéri</x:v>
      </x:c>
      <x:c r="G167" s="19" t="str">
        <x:v>kanna</x:v>
      </x:c>
      <x:c r="H167" s="203" t="n">
        <x:v>8500</x:v>
      </x:c>
      <x:c r="I167" s="204" t="n">
        <x:v>0.27</x:v>
      </x:c>
      <x:c r="J167" s="203" t="n">
        <x:f>IFERROR(H167/(1+I167),"")</x:f>
        <x:v>6692.913385826771</x:v>
      </x:c>
      <x:c r="K167" s="205" t="n">
        <x:v>0.2</x:v>
      </x:c>
      <x:c r="L167" s="203" t="n">
        <x:f>IFERROR(J167*(1-K167),"")</x:f>
        <x:v>5354.330708661418</x:v>
      </x:c>
      <x:c r="M167" s="19" t="str">
        <x:v>27% normál belföldi</x:v>
      </x:c>
      <x:c r="N167" s="204" t="n">
        <x:v>0.27</x:v>
      </x:c>
      <x:c r="O167" s="204" t="n">
        <x:v>0</x:v>
      </x:c>
      <x:c r="P167" s="19" t="str">
        <x:v>NEM</x:v>
      </x:c>
      <x:c r="Q167" s="203" t="n">
        <x:f>IFERROR(L167*(1+N167),"")</x:f>
        <x:v>6800.000000000001</x:v>
      </x:c>
      <x:c r="R167" s="205" t="n">
        <x:v>0.08</x:v>
      </x:c>
      <x:c r="S167" s="203" t="n">
        <x:f>IFERROR(Q167*(1+R167),"")</x:f>
        <x:v>7344.000000000002</x:v>
      </x:c>
      <x:c r="T167" s="206" t="n">
        <x:v>150</x:v>
      </x:c>
      <x:c r="U167" s="206" t="n">
        <x:v>0</x:v>
      </x:c>
      <x:c r="V167" s="203" t="n">
        <x:f>IFERROR(S167+T167+U167,"")</x:f>
        <x:v>7494.000000000002</x:v>
      </x:c>
      <x:c r="W167" s="203" t="n">
        <x:f>IFERROR(H167/(1+Anyag_Beallitasok!$B$2)*Anyag_Beallitasok!$B$9,"")</x:f>
        <x:v>8095.2380952380945</x:v>
      </x:c>
      <x:c r="X167" s="203" t="n">
        <x:f>IFERROR(V167/((1-Anyag_Beallitasok!$B$3)*(1+Anyag_Beallitasok!$B$2)),"")</x:f>
        <x:v>10980.21978021978</x:v>
      </x:c>
      <x:c r="Y167" s="203" t="n">
        <x:f>IFERROR(V167/((1-Anyag_Beallitasok!$B$4)*(1+Anyag_Beallitasok!$B$2)),"")</x:f>
        <x:v>14274.285714285717</x:v>
      </x:c>
      <x:c r="Z167" s="203" t="n">
        <x:f>IFERROR(ROUNDUP(MAX(W167,X167)/Anyag_Beallitasok!$B$6,0)*Anyag_Beallitasok!$B$6,"")</x:f>
        <x:v>11000</x:v>
      </x:c>
      <x:c r="AA167" s="204" t="n">
        <x:f>Anyag_Beallitasok!$B$2</x:f>
        <x:v>0.05</x:v>
      </x:c>
      <x:c r="AB167" s="203" t="n">
        <x:f>IFERROR(Z167*(1+AA167),"")</x:f>
        <x:v>11550</x:v>
      </x:c>
      <x:c r="AC167" s="204" t="n">
        <x:f>IFERROR(1-V167/H167,"")</x:f>
        <x:v>0.11835294117647033</x:v>
      </x:c>
      <x:c r="AD167" s="204" t="n">
        <x:f>IFERROR(1-V167/AB167,"")</x:f>
        <x:v>0.351168831168831</x:v>
      </x:c>
      <x:c r="AE167" s="19" t="str">
        <x:f>IF(AC167&lt;Anyag_Beallitasok!$B$3,"NEM ÉRI EL A 35%-OT",IF(AC167&lt;Anyag_Beallitasok!$B$4,"MINIMUM 35–49,9%",IF(AC167&lt;Anyag_Beallitasok!$B$5,"IDEÁLIS 50–59,9%","KIEMELKEDŐ ≥60%")))</x:f>
        <x:v>NEM ÉRI EL A 35%-OT</x:v>
      </x:c>
      <x:c r="AF167" s="204" t="n">
        <x:f>IFERROR(AB167/H167-1,"")</x:f>
        <x:v>0.35882352941176476</x:v>
      </x:c>
      <x:c r="AG167" s="19" t="str">
        <x:f>IF(AND(P167="IGEN",O167&gt;0),IF(AF167&gt;Anyag_Beallitasok!$B$10,"0%-OS SZÁMLA + ÖNADÓZÁS; FELÁR SZÜKSÉGES","0%-OS SZÁMLA + ÖNADÓZÁS"),IF(AF167&gt;Anyag_Beallitasok!$B$10,"FELÁR SZÜKSÉGES A 35%-HOZ",IF(AC167&lt;Anyag_Beallitasok!$B$3,"PIACI ÁRON NEM TARTHATÓ A 35%","OK")))</x:f>
        <x:v>FELÁR SZÜKSÉGES A 35%-HOZ</x:v>
      </x:c>
      <x:c r="AH167" s="207" t="n">
        <x:v>10</x:v>
      </x:c>
      <x:c r="AI167" s="207" t="n">
        <x:v>12</x:v>
      </x:c>
      <x:c r="AJ167" s="207" t="n">
        <x:v>10</x:v>
      </x:c>
      <x:c r="AK167" s="208"/>
      <x:c r="AL167" s="203" t="str">
        <x:f>IF(AK167="","",V167*AK167)</x:f>
      </x:c>
      <x:c r="AM167" s="203" t="str">
        <x:f>IF(AK167="","",AB167*AK167)</x:f>
      </x:c>
      <x:c r="AN167" s="204" t="str">
        <x:f>IFERROR(1-AL167/AM167,"")</x:f>
      </x:c>
      <x:c r="AO167" s="19" t="str">
        <x:v>https://www.kohazy.hu/glett-gipsz-csemperagaszto-portermek/-fugazoanyag/poli-diszperzios-belteri-falfestek-14-l-feher</x:v>
      </x:c>
      <x:c r="AP167" s="19" t="str">
        <x:v>2026 piaci becslés</x:v>
      </x:c>
      <x:c r="AQ167" s="19" t="str"/>
    </x:row>
    <x:row r="168">
      <x:c r="A168" s="19" t="str">
        <x:v>ANY-0167</x:v>
      </x:c>
      <x:c r="B168" s="19" t="str">
        <x:v>11 Befejező anyagok</x:v>
      </x:c>
      <x:c r="C168" s="19" t="str">
        <x:v>Festék, burkolat, padló</x:v>
      </x:c>
      <x:c r="D168" s="19" t="str">
        <x:v>Mindegyik</x:v>
      </x:c>
      <x:c r="E168" s="19" t="str">
        <x:v>Glettanyag 20–25 kg</x:v>
      </x:c>
      <x:c r="F168" s="19" t="str">
        <x:v>Q2–Q3</x:v>
      </x:c>
      <x:c r="G168" s="19" t="str">
        <x:v>zsák</x:v>
      </x:c>
      <x:c r="H168" s="203" t="n">
        <x:v>7080</x:v>
      </x:c>
      <x:c r="I168" s="204" t="n">
        <x:v>0.27</x:v>
      </x:c>
      <x:c r="J168" s="203" t="n">
        <x:f>IFERROR(H168/(1+I168),"")</x:f>
        <x:v>5574.8031496062995</x:v>
      </x:c>
      <x:c r="K168" s="205" t="n">
        <x:v>0.18</x:v>
      </x:c>
      <x:c r="L168" s="203" t="n">
        <x:f>IFERROR(J168*(1-K168),"")</x:f>
        <x:v>4571.3385826771655</x:v>
      </x:c>
      <x:c r="M168" s="19" t="str">
        <x:v>27% normál belföldi</x:v>
      </x:c>
      <x:c r="N168" s="204" t="n">
        <x:v>0.27</x:v>
      </x:c>
      <x:c r="O168" s="204" t="n">
        <x:v>0</x:v>
      </x:c>
      <x:c r="P168" s="19" t="str">
        <x:v>NEM</x:v>
      </x:c>
      <x:c r="Q168" s="203" t="n">
        <x:f>IFERROR(L168*(1+N168),"")</x:f>
        <x:v>5805.6</x:v>
      </x:c>
      <x:c r="R168" s="205" t="n">
        <x:v>0.08</x:v>
      </x:c>
      <x:c r="S168" s="203" t="n">
        <x:f>IFERROR(Q168*(1+R168),"")</x:f>
        <x:v>6270.048000000001</x:v>
      </x:c>
      <x:c r="T168" s="206" t="n">
        <x:v>130</x:v>
      </x:c>
      <x:c r="U168" s="206" t="n">
        <x:v>0</x:v>
      </x:c>
      <x:c r="V168" s="203" t="n">
        <x:f>IFERROR(S168+T168+U168,"")</x:f>
        <x:v>6400.048000000001</x:v>
      </x:c>
      <x:c r="W168" s="203" t="n">
        <x:f>IFERROR(H168/(1+Anyag_Beallitasok!$B$2)*Anyag_Beallitasok!$B$9,"")</x:f>
        <x:v>6742.857142857142</x:v>
      </x:c>
      <x:c r="X168" s="203" t="n">
        <x:f>IFERROR(V168/((1-Anyag_Beallitasok!$B$3)*(1+Anyag_Beallitasok!$B$2)),"")</x:f>
        <x:v>9377.359706959707</x:v>
      </x:c>
      <x:c r="Y168" s="203" t="n">
        <x:f>IFERROR(V168/((1-Anyag_Beallitasok!$B$4)*(1+Anyag_Beallitasok!$B$2)),"")</x:f>
        <x:v>12190.56761904762</x:v>
      </x:c>
      <x:c r="Z168" s="203" t="n">
        <x:f>IFERROR(ROUNDUP(MAX(W168,X168)/Anyag_Beallitasok!$B$6,0)*Anyag_Beallitasok!$B$6,"")</x:f>
        <x:v>9400</x:v>
      </x:c>
      <x:c r="AA168" s="204" t="n">
        <x:f>Anyag_Beallitasok!$B$2</x:f>
        <x:v>0.05</x:v>
      </x:c>
      <x:c r="AB168" s="203" t="n">
        <x:f>IFERROR(Z168*(1+AA168),"")</x:f>
        <x:v>9870</x:v>
      </x:c>
      <x:c r="AC168" s="204" t="n">
        <x:f>IFERROR(1-V168/H168,"")</x:f>
        <x:v>0.09603841807909597</x:v>
      </x:c>
      <x:c r="AD168" s="204" t="n">
        <x:f>IFERROR(1-V168/AB168,"")</x:f>
        <x:v>0.3515655521783181</x:v>
      </x:c>
      <x:c r="AE168" s="19" t="str">
        <x:f>IF(AC168&lt;Anyag_Beallitasok!$B$3,"NEM ÉRI EL A 35%-OT",IF(AC168&lt;Anyag_Beallitasok!$B$4,"MINIMUM 35–49,9%",IF(AC168&lt;Anyag_Beallitasok!$B$5,"IDEÁLIS 50–59,9%","KIEMELKEDŐ ≥60%")))</x:f>
        <x:v>NEM ÉRI EL A 35%-OT</x:v>
      </x:c>
      <x:c r="AF168" s="204" t="n">
        <x:f>IFERROR(AB168/H168-1,"")</x:f>
        <x:v>0.39406779661016955</x:v>
      </x:c>
      <x:c r="AG168" s="19" t="str">
        <x:f>IF(AND(P168="IGEN",O168&gt;0),IF(AF168&gt;Anyag_Beallitasok!$B$10,"0%-OS SZÁMLA + ÖNADÓZÁS; FELÁR SZÜKSÉGES","0%-OS SZÁMLA + ÖNADÓZÁS"),IF(AF168&gt;Anyag_Beallitasok!$B$10,"FELÁR SZÜKSÉGES A 35%-HOZ",IF(AC168&lt;Anyag_Beallitasok!$B$3,"PIACI ÁRON NEM TARTHATÓ A 35%","OK")))</x:f>
        <x:v>FELÁR SZÜKSÉGES A 35%-HOZ</x:v>
      </x:c>
      <x:c r="AH168" s="207" t="n">
        <x:v>100</x:v>
      </x:c>
      <x:c r="AI168" s="207" t="n">
        <x:v>120</x:v>
      </x:c>
      <x:c r="AJ168" s="207" t="n">
        <x:v>100</x:v>
      </x:c>
      <x:c r="AK168" s="208"/>
      <x:c r="AL168" s="203" t="str">
        <x:f>IF(AK168="","",V168*AK168)</x:f>
      </x:c>
      <x:c r="AM168" s="203" t="str">
        <x:f>IF(AK168="","",AB168*AK168)</x:f>
      </x:c>
      <x:c r="AN168" s="204" t="str">
        <x:f>IFERROR(1-AL168/AM168,"")</x:f>
      </x:c>
      <x:c r="AO168" s="19" t="str">
        <x:v>https://www.winklertuzep.hu/arlista-web/porterm%C3%A9kek</x:v>
      </x:c>
      <x:c r="AP168" s="19" t="str">
        <x:v>Közvetlen 2026 árlista</x:v>
      </x:c>
      <x:c r="AQ168" s="19" t="str"/>
    </x:row>
    <x:row r="169">
      <x:c r="A169" s="19" t="str">
        <x:v>ANY-0168</x:v>
      </x:c>
      <x:c r="B169" s="19" t="str">
        <x:v>11 Befejező anyagok</x:v>
      </x:c>
      <x:c r="C169" s="19" t="str">
        <x:v>Festék, burkolat, padló</x:v>
      </x:c>
      <x:c r="D169" s="19" t="str">
        <x:v>Mindegyik</x:v>
      </x:c>
      <x:c r="E169" s="19" t="str">
        <x:v>Csiszolóháló/papír</x:v>
      </x:c>
      <x:c r="F169" s="19" t="str">
        <x:v>vegyes szemcse</x:v>
      </x:c>
      <x:c r="G169" s="19" t="str">
        <x:v>m² felület</x:v>
      </x:c>
      <x:c r="H169" s="203" t="n">
        <x:v>120</x:v>
      </x:c>
      <x:c r="I169" s="204" t="n">
        <x:v>0.27</x:v>
      </x:c>
      <x:c r="J169" s="203" t="n">
        <x:f>IFERROR(H169/(1+I169),"")</x:f>
        <x:v>94.48818897637796</x:v>
      </x:c>
      <x:c r="K169" s="205" t="n">
        <x:v>0.2</x:v>
      </x:c>
      <x:c r="L169" s="203" t="n">
        <x:f>IFERROR(J169*(1-K169),"")</x:f>
        <x:v>75.59055118110237</x:v>
      </x:c>
      <x:c r="M169" s="19" t="str">
        <x:v>27% normál belföldi</x:v>
      </x:c>
      <x:c r="N169" s="204" t="n">
        <x:v>0.27</x:v>
      </x:c>
      <x:c r="O169" s="204" t="n">
        <x:v>0</x:v>
      </x:c>
      <x:c r="P169" s="19" t="str">
        <x:v>NEM</x:v>
      </x:c>
      <x:c r="Q169" s="203" t="n">
        <x:f>IFERROR(L169*(1+N169),"")</x:f>
        <x:v>96.00000000000001</x:v>
      </x:c>
      <x:c r="R169" s="205" t="n">
        <x:v>0.15</x:v>
      </x:c>
      <x:c r="S169" s="203" t="n">
        <x:f>IFERROR(Q169*(1+R169),"")</x:f>
        <x:v>110.4</x:v>
      </x:c>
      <x:c r="T169" s="206" t="n">
        <x:v>5</x:v>
      </x:c>
      <x:c r="U169" s="206" t="n">
        <x:v>0</x:v>
      </x:c>
      <x:c r="V169" s="203" t="n">
        <x:f>IFERROR(S169+T169+U169,"")</x:f>
        <x:v>115.4</x:v>
      </x:c>
      <x:c r="W169" s="203" t="n">
        <x:f>IFERROR(H169/(1+Anyag_Beallitasok!$B$2)*Anyag_Beallitasok!$B$9,"")</x:f>
        <x:v>114.28571428571428</x:v>
      </x:c>
      <x:c r="X169" s="203" t="n">
        <x:f>IFERROR(V169/((1-Anyag_Beallitasok!$B$3)*(1+Anyag_Beallitasok!$B$2)),"")</x:f>
        <x:v>169.08424908424905</x:v>
      </x:c>
      <x:c r="Y169" s="203" t="n">
        <x:f>IFERROR(V169/((1-Anyag_Beallitasok!$B$4)*(1+Anyag_Beallitasok!$B$2)),"")</x:f>
        <x:v>219.80952380952382</x:v>
      </x:c>
      <x:c r="Z169" s="203" t="n">
        <x:f>IFERROR(ROUNDUP(MAX(W169,X169)/Anyag_Beallitasok!$B$6,0)*Anyag_Beallitasok!$B$6,"")</x:f>
        <x:v>200</x:v>
      </x:c>
      <x:c r="AA169" s="204" t="n">
        <x:f>Anyag_Beallitasok!$B$2</x:f>
        <x:v>0.05</x:v>
      </x:c>
      <x:c r="AB169" s="203" t="n">
        <x:f>IFERROR(Z169*(1+AA169),"")</x:f>
        <x:v>210</x:v>
      </x:c>
      <x:c r="AC169" s="204" t="n">
        <x:f>IFERROR(1-V169/H169,"")</x:f>
        <x:v>0.03833333333333333</x:v>
      </x:c>
      <x:c r="AD169" s="204" t="n">
        <x:f>IFERROR(1-V169/AB169,"")</x:f>
        <x:v>0.4504761904761905</x:v>
      </x:c>
      <x:c r="AE169" s="19" t="str">
        <x:f>IF(AC169&lt;Anyag_Beallitasok!$B$3,"NEM ÉRI EL A 35%-OT",IF(AC169&lt;Anyag_Beallitasok!$B$4,"MINIMUM 35–49,9%",IF(AC169&lt;Anyag_Beallitasok!$B$5,"IDEÁLIS 50–59,9%","KIEMELKEDŐ ≥60%")))</x:f>
        <x:v>NEM ÉRI EL A 35%-OT</x:v>
      </x:c>
      <x:c r="AF169" s="204" t="n">
        <x:f>IFERROR(AB169/H169-1,"")</x:f>
        <x:v>0.75</x:v>
      </x:c>
      <x:c r="AG169" s="19" t="str">
        <x:f>IF(AND(P169="IGEN",O169&gt;0),IF(AF169&gt;Anyag_Beallitasok!$B$10,"0%-OS SZÁMLA + ÖNADÓZÁS; FELÁR SZÜKSÉGES","0%-OS SZÁMLA + ÖNADÓZÁS"),IF(AF169&gt;Anyag_Beallitasok!$B$10,"FELÁR SZÜKSÉGES A 35%-HOZ",IF(AC169&lt;Anyag_Beallitasok!$B$3,"PIACI ÁRON NEM TARTHATÓ A 35%","OK")))</x:f>
        <x:v>FELÁR SZÜKSÉGES A 35%-HOZ</x:v>
      </x:c>
      <x:c r="AH169" s="207" t="n">
        <x:v>600</x:v>
      </x:c>
      <x:c r="AI169" s="207" t="n">
        <x:v>700</x:v>
      </x:c>
      <x:c r="AJ169" s="207" t="n">
        <x:v>600</x:v>
      </x:c>
      <x:c r="AK169" s="208"/>
      <x:c r="AL169" s="203" t="str">
        <x:f>IF(AK169="","",V169*AK169)</x:f>
      </x:c>
      <x:c r="AM169" s="203" t="str">
        <x:f>IF(AK169="","",AB169*AK169)</x:f>
      </x:c>
      <x:c r="AN169" s="204" t="str">
        <x:f>IFERROR(1-AL169/AM169,"")</x:f>
      </x:c>
      <x:c r="AO169" s="19" t="str">
        <x:v>https://www.kohazy.hu/glett-gipsz-csemperagaszto-portermek/-fugazoanyag/poli-diszperzios-belteri-falfestek-14-l-feher</x:v>
      </x:c>
      <x:c r="AP169" s="19" t="str">
        <x:v>Mérnöki norma</x:v>
      </x:c>
      <x:c r="AQ169" s="19" t="str"/>
    </x:row>
    <x:row r="170">
      <x:c r="A170" s="19" t="str">
        <x:v>ANY-0169</x:v>
      </x:c>
      <x:c r="B170" s="19" t="str">
        <x:v>11 Befejező anyagok</x:v>
      </x:c>
      <x:c r="C170" s="19" t="str">
        <x:v>Festék, burkolat, padló</x:v>
      </x:c>
      <x:c r="D170" s="19" t="str">
        <x:v>Mindegyik</x:v>
      </x:c>
      <x:c r="E170" s="19" t="str">
        <x:v>Maszkolószalag és takaróanyag</x:v>
      </x:c>
      <x:c r="F170" s="19" t="str">
        <x:v>festési segédanyag</x:v>
      </x:c>
      <x:c r="G170" s="19" t="str">
        <x:v>m² festett felület</x:v>
      </x:c>
      <x:c r="H170" s="203" t="n">
        <x:v>140</x:v>
      </x:c>
      <x:c r="I170" s="204" t="n">
        <x:v>0.27</x:v>
      </x:c>
      <x:c r="J170" s="203" t="n">
        <x:f>IFERROR(H170/(1+I170),"")</x:f>
        <x:v>110.23622047244095</x:v>
      </x:c>
      <x:c r="K170" s="205" t="n">
        <x:v>0.2</x:v>
      </x:c>
      <x:c r="L170" s="203" t="n">
        <x:f>IFERROR(J170*(1-K170),"")</x:f>
        <x:v>88.18897637795277</x:v>
      </x:c>
      <x:c r="M170" s="19" t="str">
        <x:v>27% normál belföldi</x:v>
      </x:c>
      <x:c r="N170" s="204" t="n">
        <x:v>0.27</x:v>
      </x:c>
      <x:c r="O170" s="204" t="n">
        <x:v>0</x:v>
      </x:c>
      <x:c r="P170" s="19" t="str">
        <x:v>NEM</x:v>
      </x:c>
      <x:c r="Q170" s="203" t="n">
        <x:f>IFERROR(L170*(1+N170),"")</x:f>
        <x:v>112.00000000000001</x:v>
      </x:c>
      <x:c r="R170" s="205" t="n">
        <x:v>0.15</x:v>
      </x:c>
      <x:c r="S170" s="203" t="n">
        <x:f>IFERROR(Q170*(1+R170),"")</x:f>
        <x:v>128.8</x:v>
      </x:c>
      <x:c r="T170" s="206" t="n">
        <x:v>5</x:v>
      </x:c>
      <x:c r="U170" s="206" t="n">
        <x:v>0</x:v>
      </x:c>
      <x:c r="V170" s="203" t="n">
        <x:f>IFERROR(S170+T170+U170,"")</x:f>
        <x:v>133.8</x:v>
      </x:c>
      <x:c r="W170" s="203" t="n">
        <x:f>IFERROR(H170/(1+Anyag_Beallitasok!$B$2)*Anyag_Beallitasok!$B$9,"")</x:f>
        <x:v>133.33333333333331</x:v>
      </x:c>
      <x:c r="X170" s="203" t="n">
        <x:f>IFERROR(V170/((1-Anyag_Beallitasok!$B$3)*(1+Anyag_Beallitasok!$B$2)),"")</x:f>
        <x:v>196.04395604395603</x:v>
      </x:c>
      <x:c r="Y170" s="203" t="n">
        <x:f>IFERROR(V170/((1-Anyag_Beallitasok!$B$4)*(1+Anyag_Beallitasok!$B$2)),"")</x:f>
        <x:v>254.85714285714286</x:v>
      </x:c>
      <x:c r="Z170" s="203" t="n">
        <x:f>IFERROR(ROUNDUP(MAX(W170,X170)/Anyag_Beallitasok!$B$6,0)*Anyag_Beallitasok!$B$6,"")</x:f>
        <x:v>200</x:v>
      </x:c>
      <x:c r="AA170" s="204" t="n">
        <x:f>Anyag_Beallitasok!$B$2</x:f>
        <x:v>0.05</x:v>
      </x:c>
      <x:c r="AB170" s="203" t="n">
        <x:f>IFERROR(Z170*(1+AA170),"")</x:f>
        <x:v>210</x:v>
      </x:c>
      <x:c r="AC170" s="204" t="n">
        <x:f>IFERROR(1-V170/H170,"")</x:f>
        <x:v>0.04428571428571415</x:v>
      </x:c>
      <x:c r="AD170" s="204" t="n">
        <x:f>IFERROR(1-V170/AB170,"")</x:f>
        <x:v>0.36285714285714277</x:v>
      </x:c>
      <x:c r="AE170" s="19" t="str">
        <x:f>IF(AC170&lt;Anyag_Beallitasok!$B$3,"NEM ÉRI EL A 35%-OT",IF(AC170&lt;Anyag_Beallitasok!$B$4,"MINIMUM 35–49,9%",IF(AC170&lt;Anyag_Beallitasok!$B$5,"IDEÁLIS 50–59,9%","KIEMELKEDŐ ≥60%")))</x:f>
        <x:v>NEM ÉRI EL A 35%-OT</x:v>
      </x:c>
      <x:c r="AF170" s="204" t="n">
        <x:f>IFERROR(AB170/H170-1,"")</x:f>
        <x:v>0.5</x:v>
      </x:c>
      <x:c r="AG170" s="19" t="str">
        <x:f>IF(AND(P170="IGEN",O170&gt;0),IF(AF170&gt;Anyag_Beallitasok!$B$10,"0%-OS SZÁMLA + ÖNADÓZÁS; FELÁR SZÜKSÉGES","0%-OS SZÁMLA + ÖNADÓZÁS"),IF(AF170&gt;Anyag_Beallitasok!$B$10,"FELÁR SZÜKSÉGES A 35%-HOZ",IF(AC170&lt;Anyag_Beallitasok!$B$3,"PIACI ÁRON NEM TARTHATÓ A 35%","OK")))</x:f>
        <x:v>FELÁR SZÜKSÉGES A 35%-HOZ</x:v>
      </x:c>
      <x:c r="AH170" s="207" t="n">
        <x:v>600</x:v>
      </x:c>
      <x:c r="AI170" s="207" t="n">
        <x:v>700</x:v>
      </x:c>
      <x:c r="AJ170" s="207" t="n">
        <x:v>600</x:v>
      </x:c>
      <x:c r="AK170" s="208"/>
      <x:c r="AL170" s="203" t="str">
        <x:f>IF(AK170="","",V170*AK170)</x:f>
      </x:c>
      <x:c r="AM170" s="203" t="str">
        <x:f>IF(AK170="","",AB170*AK170)</x:f>
      </x:c>
      <x:c r="AN170" s="204" t="str">
        <x:f>IFERROR(1-AL170/AM170,"")</x:f>
      </x:c>
      <x:c r="AO170" s="19" t="str">
        <x:v>https://www.kohazy.hu/glett-gipsz-csemperagaszto-portermek/-fugazoanyag/poli-diszperzios-belteri-falfestek-14-l-feher</x:v>
      </x:c>
      <x:c r="AP170" s="19" t="str">
        <x:v>Mérnöki norma</x:v>
      </x:c>
      <x:c r="AQ170" s="19" t="str"/>
    </x:row>
    <x:row r="171">
      <x:c r="A171" s="19" t="str">
        <x:v>ANY-0170</x:v>
      </x:c>
      <x:c r="B171" s="19" t="str">
        <x:v>11 Befejező anyagok</x:v>
      </x:c>
      <x:c r="C171" s="19" t="str">
        <x:v>Festék, burkolat, padló</x:v>
      </x:c>
      <x:c r="D171" s="19" t="str">
        <x:v>Mindegyik</x:v>
      </x:c>
      <x:c r="E171" s="19" t="str">
        <x:v>Flexibilis csemperagasztó C1T 25 kg</x:v>
      </x:c>
      <x:c r="F171" s="19" t="str">
        <x:v>standard burkolathoz</x:v>
      </x:c>
      <x:c r="G171" s="19" t="str">
        <x:v>zsák</x:v>
      </x:c>
      <x:c r="H171" s="203" t="n">
        <x:v>3420</x:v>
      </x:c>
      <x:c r="I171" s="204" t="n">
        <x:v>0.27</x:v>
      </x:c>
      <x:c r="J171" s="203" t="n">
        <x:f>IFERROR(H171/(1+I171),"")</x:f>
        <x:v>2692.9133858267714</x:v>
      </x:c>
      <x:c r="K171" s="205" t="n">
        <x:v>0.18</x:v>
      </x:c>
      <x:c r="L171" s="203" t="n">
        <x:f>IFERROR(J171*(1-K171),"")</x:f>
        <x:v>2208.1889763779527</x:v>
      </x:c>
      <x:c r="M171" s="19" t="str">
        <x:v>27% normál belföldi</x:v>
      </x:c>
      <x:c r="N171" s="204" t="n">
        <x:v>0.27</x:v>
      </x:c>
      <x:c r="O171" s="204" t="n">
        <x:v>0</x:v>
      </x:c>
      <x:c r="P171" s="19" t="str">
        <x:v>NEM</x:v>
      </x:c>
      <x:c r="Q171" s="203" t="n">
        <x:f>IFERROR(L171*(1+N171),"")</x:f>
        <x:v>2804.4</x:v>
      </x:c>
      <x:c r="R171" s="205" t="n">
        <x:v>0.08</x:v>
      </x:c>
      <x:c r="S171" s="203" t="n">
        <x:f>IFERROR(Q171*(1+R171),"")</x:f>
        <x:v>3028.7520000000004</x:v>
      </x:c>
      <x:c r="T171" s="206" t="n">
        <x:v>100</x:v>
      </x:c>
      <x:c r="U171" s="206" t="n">
        <x:v>0</x:v>
      </x:c>
      <x:c r="V171" s="203" t="n">
        <x:f>IFERROR(S171+T171+U171,"")</x:f>
        <x:v>3128.7520000000004</x:v>
      </x:c>
      <x:c r="W171" s="203" t="n">
        <x:f>IFERROR(H171/(1+Anyag_Beallitasok!$B$2)*Anyag_Beallitasok!$B$9,"")</x:f>
        <x:v>3257.142857142857</x:v>
      </x:c>
      <x:c r="X171" s="203" t="n">
        <x:f>IFERROR(V171/((1-Anyag_Beallitasok!$B$3)*(1+Anyag_Beallitasok!$B$2)),"")</x:f>
        <x:v>4584.252014652015</x:v>
      </x:c>
      <x:c r="Y171" s="203" t="n">
        <x:f>IFERROR(V171/((1-Anyag_Beallitasok!$B$4)*(1+Anyag_Beallitasok!$B$2)),"")</x:f>
        <x:v>5959.52761904762</x:v>
      </x:c>
      <x:c r="Z171" s="203" t="n">
        <x:f>IFERROR(ROUNDUP(MAX(W171,X171)/Anyag_Beallitasok!$B$6,0)*Anyag_Beallitasok!$B$6,"")</x:f>
        <x:v>4600</x:v>
      </x:c>
      <x:c r="AA171" s="204" t="n">
        <x:f>Anyag_Beallitasok!$B$2</x:f>
        <x:v>0.05</x:v>
      </x:c>
      <x:c r="AB171" s="203" t="n">
        <x:f>IFERROR(Z171*(1+AA171),"")</x:f>
        <x:v>4830</x:v>
      </x:c>
      <x:c r="AC171" s="204" t="n">
        <x:f>IFERROR(1-V171/H171,"")</x:f>
        <x:v>0.08516023391812855</x:v>
      </x:c>
      <x:c r="AD171" s="204" t="n">
        <x:f>IFERROR(1-V171/AB171,"")</x:f>
        <x:v>0.35222525879917177</x:v>
      </x:c>
      <x:c r="AE171" s="19" t="str">
        <x:f>IF(AC171&lt;Anyag_Beallitasok!$B$3,"NEM ÉRI EL A 35%-OT",IF(AC171&lt;Anyag_Beallitasok!$B$4,"MINIMUM 35–49,9%",IF(AC171&lt;Anyag_Beallitasok!$B$5,"IDEÁLIS 50–59,9%","KIEMELKEDŐ ≥60%")))</x:f>
        <x:v>NEM ÉRI EL A 35%-OT</x:v>
      </x:c>
      <x:c r="AF171" s="204" t="n">
        <x:f>IFERROR(AB171/H171-1,"")</x:f>
        <x:v>0.4122807017543859</x:v>
      </x:c>
      <x:c r="AG171" s="19" t="str">
        <x:f>IF(AND(P171="IGEN",O171&gt;0),IF(AF171&gt;Anyag_Beallitasok!$B$10,"0%-OS SZÁMLA + ÖNADÓZÁS; FELÁR SZÜKSÉGES","0%-OS SZÁMLA + ÖNADÓZÁS"),IF(AF171&gt;Anyag_Beallitasok!$B$10,"FELÁR SZÜKSÉGES A 35%-HOZ",IF(AC171&lt;Anyag_Beallitasok!$B$3,"PIACI ÁRON NEM TARTHATÓ A 35%","OK")))</x:f>
        <x:v>FELÁR SZÜKSÉGES A 35%-HOZ</x:v>
      </x:c>
      <x:c r="AH171" s="207" t="n">
        <x:v>80</x:v>
      </x:c>
      <x:c r="AI171" s="207" t="n">
        <x:v>80</x:v>
      </x:c>
      <x:c r="AJ171" s="207" t="n">
        <x:v>80</x:v>
      </x:c>
      <x:c r="AK171" s="208"/>
      <x:c r="AL171" s="203" t="str">
        <x:f>IF(AK171="","",V171*AK171)</x:f>
      </x:c>
      <x:c r="AM171" s="203" t="str">
        <x:f>IF(AK171="","",AB171*AK171)</x:f>
      </x:c>
      <x:c r="AN171" s="204" t="str">
        <x:f>IFERROR(1-AL171/AM171,"")</x:f>
      </x:c>
      <x:c r="AO171" s="19" t="str">
        <x:v>https://www.szaboepitoanyag.hu/index.php?kat=8&amp;page=termek</x:v>
      </x:c>
      <x:c r="AP171" s="19" t="str">
        <x:v>Közvetlen webár</x:v>
      </x:c>
      <x:c r="AQ171" s="19" t="str"/>
    </x:row>
    <x:row r="172">
      <x:c r="A172" s="19" t="str">
        <x:v>ANY-0171</x:v>
      </x:c>
      <x:c r="B172" s="19" t="str">
        <x:v>11 Befejező anyagok</x:v>
      </x:c>
      <x:c r="C172" s="19" t="str">
        <x:v>Festék, burkolat, padló</x:v>
      </x:c>
      <x:c r="D172" s="19" t="str">
        <x:v>Mindegyik</x:v>
      </x:c>
      <x:c r="E172" s="19" t="str">
        <x:v>Flexibilis csemperagasztó C2TE 25 kg</x:v>
      </x:c>
      <x:c r="F172" s="19" t="str">
        <x:v>padlófűtés/nagylap</x:v>
      </x:c>
      <x:c r="G172" s="19" t="str">
        <x:v>zsák</x:v>
      </x:c>
      <x:c r="H172" s="203" t="n">
        <x:v>6125</x:v>
      </x:c>
      <x:c r="I172" s="204" t="n">
        <x:v>0.27</x:v>
      </x:c>
      <x:c r="J172" s="203" t="n">
        <x:f>IFERROR(H172/(1+I172),"")</x:f>
        <x:v>4822.834645669292</x:v>
      </x:c>
      <x:c r="K172" s="205" t="n">
        <x:v>0.18</x:v>
      </x:c>
      <x:c r="L172" s="203" t="n">
        <x:f>IFERROR(J172*(1-K172),"")</x:f>
        <x:v>3954.724409448819</x:v>
      </x:c>
      <x:c r="M172" s="19" t="str">
        <x:v>27% normál belföldi</x:v>
      </x:c>
      <x:c r="N172" s="204" t="n">
        <x:v>0.27</x:v>
      </x:c>
      <x:c r="O172" s="204" t="n">
        <x:v>0</x:v>
      </x:c>
      <x:c r="P172" s="19" t="str">
        <x:v>NEM</x:v>
      </x:c>
      <x:c r="Q172" s="203" t="n">
        <x:f>IFERROR(L172*(1+N172),"")</x:f>
        <x:v>5022.5</x:v>
      </x:c>
      <x:c r="R172" s="205" t="n">
        <x:v>0.08</x:v>
      </x:c>
      <x:c r="S172" s="203" t="n">
        <x:f>IFERROR(Q172*(1+R172),"")</x:f>
        <x:v>5424.3</x:v>
      </x:c>
      <x:c r="T172" s="206" t="n">
        <x:v>120</x:v>
      </x:c>
      <x:c r="U172" s="206" t="n">
        <x:v>0</x:v>
      </x:c>
      <x:c r="V172" s="203" t="n">
        <x:f>IFERROR(S172+T172+U172,"")</x:f>
        <x:v>5544.3</x:v>
      </x:c>
      <x:c r="W172" s="203" t="n">
        <x:f>IFERROR(H172/(1+Anyag_Beallitasok!$B$2)*Anyag_Beallitasok!$B$9,"")</x:f>
        <x:v>5833.333333333333</x:v>
      </x:c>
      <x:c r="X172" s="203" t="n">
        <x:f>IFERROR(V172/((1-Anyag_Beallitasok!$B$3)*(1+Anyag_Beallitasok!$B$2)),"")</x:f>
        <x:v>8123.516483516482</x:v>
      </x:c>
      <x:c r="Y172" s="203" t="n">
        <x:f>IFERROR(V172/((1-Anyag_Beallitasok!$B$4)*(1+Anyag_Beallitasok!$B$2)),"")</x:f>
        <x:v>10560.57142857143</x:v>
      </x:c>
      <x:c r="Z172" s="203" t="n">
        <x:f>IFERROR(ROUNDUP(MAX(W172,X172)/Anyag_Beallitasok!$B$6,0)*Anyag_Beallitasok!$B$6,"")</x:f>
        <x:v>8150</x:v>
      </x:c>
      <x:c r="AA172" s="204" t="n">
        <x:f>Anyag_Beallitasok!$B$2</x:f>
        <x:v>0.05</x:v>
      </x:c>
      <x:c r="AB172" s="203" t="n">
        <x:f>IFERROR(Z172*(1+AA172),"")</x:f>
        <x:v>8557.5</x:v>
      </x:c>
      <x:c r="AC172" s="204" t="n">
        <x:f>IFERROR(1-V172/H172,"")</x:f>
        <x:v>0.09480816326530606</x:v>
      </x:c>
      <x:c r="AD172" s="204" t="n">
        <x:f>IFERROR(1-V172/AB172,"")</x:f>
        <x:v>0.3521121822962313</x:v>
      </x:c>
      <x:c r="AE172" s="19" t="str">
        <x:f>IF(AC172&lt;Anyag_Beallitasok!$B$3,"NEM ÉRI EL A 35%-OT",IF(AC172&lt;Anyag_Beallitasok!$B$4,"MINIMUM 35–49,9%",IF(AC172&lt;Anyag_Beallitasok!$B$5,"IDEÁLIS 50–59,9%","KIEMELKEDŐ ≥60%")))</x:f>
        <x:v>NEM ÉRI EL A 35%-OT</x:v>
      </x:c>
      <x:c r="AF172" s="204" t="n">
        <x:f>IFERROR(AB172/H172-1,"")</x:f>
        <x:v>0.39714285714285724</x:v>
      </x:c>
      <x:c r="AG172" s="19" t="str">
        <x:f>IF(AND(P172="IGEN",O172&gt;0),IF(AF172&gt;Anyag_Beallitasok!$B$10,"0%-OS SZÁMLA + ÖNADÓZÁS; FELÁR SZÜKSÉGES","0%-OS SZÁMLA + ÖNADÓZÁS"),IF(AF172&gt;Anyag_Beallitasok!$B$10,"FELÁR SZÜKSÉGES A 35%-HOZ",IF(AC172&lt;Anyag_Beallitasok!$B$3,"PIACI ÁRON NEM TARTHATÓ A 35%","OK")))</x:f>
        <x:v>FELÁR SZÜKSÉGES A 35%-HOZ</x:v>
      </x:c>
      <x:c r="AH172" s="207" t="n">
        <x:v>30</x:v>
      </x:c>
      <x:c r="AI172" s="207" t="n">
        <x:v>30</x:v>
      </x:c>
      <x:c r="AJ172" s="207" t="n">
        <x:v>30</x:v>
      </x:c>
      <x:c r="AK172" s="208"/>
      <x:c r="AL172" s="203" t="str">
        <x:f>IF(AK172="","",V172*AK172)</x:f>
      </x:c>
      <x:c r="AM172" s="203" t="str">
        <x:f>IF(AK172="","",AB172*AK172)</x:f>
      </x:c>
      <x:c r="AN172" s="204" t="str">
        <x:f>IFERROR(1-AL172/AM172,"")</x:f>
      </x:c>
      <x:c r="AO172" s="19" t="str">
        <x:v>https://www.winklertuzep.hu/arlista-web/porterm%C3%A9kek</x:v>
      </x:c>
      <x:c r="AP172" s="19" t="str">
        <x:v>Közvetlen webár</x:v>
      </x:c>
      <x:c r="AQ172" s="19" t="str"/>
    </x:row>
    <x:row r="173">
      <x:c r="A173" s="19" t="str">
        <x:v>ANY-0172</x:v>
      </x:c>
      <x:c r="B173" s="19" t="str">
        <x:v>11 Befejező anyagok</x:v>
      </x:c>
      <x:c r="C173" s="19" t="str">
        <x:v>Festék, burkolat, padló</x:v>
      </x:c>
      <x:c r="D173" s="19" t="str">
        <x:v>Mindegyik</x:v>
      </x:c>
      <x:c r="E173" s="19" t="str">
        <x:v>Cementes fugázó</x:v>
      </x:c>
      <x:c r="F173" s="19" t="str">
        <x:v>5 kg</x:v>
      </x:c>
      <x:c r="G173" s="19" t="str">
        <x:v>kg</x:v>
      </x:c>
      <x:c r="H173" s="203" t="n">
        <x:v>1450</x:v>
      </x:c>
      <x:c r="I173" s="204" t="n">
        <x:v>0.27</x:v>
      </x:c>
      <x:c r="J173" s="203" t="n">
        <x:f>IFERROR(H173/(1+I173),"")</x:f>
        <x:v>1141.732283464567</x:v>
      </x:c>
      <x:c r="K173" s="205" t="n">
        <x:v>0.2</x:v>
      </x:c>
      <x:c r="L173" s="203" t="n">
        <x:f>IFERROR(J173*(1-K173),"")</x:f>
        <x:v>913.3858267716537</x:v>
      </x:c>
      <x:c r="M173" s="19" t="str">
        <x:v>27% normál belföldi</x:v>
      </x:c>
      <x:c r="N173" s="204" t="n">
        <x:v>0.27</x:v>
      </x:c>
      <x:c r="O173" s="204" t="n">
        <x:v>0</x:v>
      </x:c>
      <x:c r="P173" s="19" t="str">
        <x:v>NEM</x:v>
      </x:c>
      <x:c r="Q173" s="203" t="n">
        <x:f>IFERROR(L173*(1+N173),"")</x:f>
        <x:v>1160.0000000000002</x:v>
      </x:c>
      <x:c r="R173" s="205" t="n">
        <x:v>0.08</x:v>
      </x:c>
      <x:c r="S173" s="203" t="n">
        <x:f>IFERROR(Q173*(1+R173),"")</x:f>
        <x:v>1252.8000000000004</x:v>
      </x:c>
      <x:c r="T173" s="206" t="n">
        <x:v>40</x:v>
      </x:c>
      <x:c r="U173" s="206" t="n">
        <x:v>0</x:v>
      </x:c>
      <x:c r="V173" s="203" t="n">
        <x:f>IFERROR(S173+T173+U173,"")</x:f>
        <x:v>1292.8000000000004</x:v>
      </x:c>
      <x:c r="W173" s="203" t="n">
        <x:f>IFERROR(H173/(1+Anyag_Beallitasok!$B$2)*Anyag_Beallitasok!$B$9,"")</x:f>
        <x:v>1380.952380952381</x:v>
      </x:c>
      <x:c r="X173" s="203" t="n">
        <x:f>IFERROR(V173/((1-Anyag_Beallitasok!$B$3)*(1+Anyag_Beallitasok!$B$2)),"")</x:f>
        <x:v>1894.2124542124545</x:v>
      </x:c>
      <x:c r="Y173" s="203" t="n">
        <x:f>IFERROR(V173/((1-Anyag_Beallitasok!$B$4)*(1+Anyag_Beallitasok!$B$2)),"")</x:f>
        <x:v>2462.4761904761913</x:v>
      </x:c>
      <x:c r="Z173" s="203" t="n">
        <x:f>IFERROR(ROUNDUP(MAX(W173,X173)/Anyag_Beallitasok!$B$6,0)*Anyag_Beallitasok!$B$6,"")</x:f>
        <x:v>1900</x:v>
      </x:c>
      <x:c r="AA173" s="204" t="n">
        <x:f>Anyag_Beallitasok!$B$2</x:f>
        <x:v>0.05</x:v>
      </x:c>
      <x:c r="AB173" s="203" t="n">
        <x:f>IFERROR(Z173*(1+AA173),"")</x:f>
        <x:v>1995</x:v>
      </x:c>
      <x:c r="AC173" s="204" t="n">
        <x:f>IFERROR(1-V173/H173,"")</x:f>
        <x:v>0.10841379310344801</x:v>
      </x:c>
      <x:c r="AD173" s="204" t="n">
        <x:f>IFERROR(1-V173/AB173,"")</x:f>
        <x:v>0.3519799498746865</x:v>
      </x:c>
      <x:c r="AE173" s="19" t="str">
        <x:f>IF(AC173&lt;Anyag_Beallitasok!$B$3,"NEM ÉRI EL A 35%-OT",IF(AC173&lt;Anyag_Beallitasok!$B$4,"MINIMUM 35–49,9%",IF(AC173&lt;Anyag_Beallitasok!$B$5,"IDEÁLIS 50–59,9%","KIEMELKEDŐ ≥60%")))</x:f>
        <x:v>NEM ÉRI EL A 35%-OT</x:v>
      </x:c>
      <x:c r="AF173" s="204" t="n">
        <x:f>IFERROR(AB173/H173-1,"")</x:f>
        <x:v>0.3758620689655172</x:v>
      </x:c>
      <x:c r="AG173" s="19" t="str">
        <x:f>IF(AND(P173="IGEN",O173&gt;0),IF(AF173&gt;Anyag_Beallitasok!$B$10,"0%-OS SZÁMLA + ÖNADÓZÁS; FELÁR SZÜKSÉGES","0%-OS SZÁMLA + ÖNADÓZÁS"),IF(AF173&gt;Anyag_Beallitasok!$B$10,"FELÁR SZÜKSÉGES A 35%-HOZ",IF(AC173&lt;Anyag_Beallitasok!$B$3,"PIACI ÁRON NEM TARTHATÓ A 35%","OK")))</x:f>
        <x:v>FELÁR SZÜKSÉGES A 35%-HOZ</x:v>
      </x:c>
      <x:c r="AH173" s="207" t="n">
        <x:v>35</x:v>
      </x:c>
      <x:c r="AI173" s="207" t="n">
        <x:v>35</x:v>
      </x:c>
      <x:c r="AJ173" s="207" t="n">
        <x:v>35</x:v>
      </x:c>
      <x:c r="AK173" s="208"/>
      <x:c r="AL173" s="203" t="str">
        <x:f>IF(AK173="","",V173*AK173)</x:f>
      </x:c>
      <x:c r="AM173" s="203" t="str">
        <x:f>IF(AK173="","",AB173*AK173)</x:f>
      </x:c>
      <x:c r="AN173" s="204" t="str">
        <x:f>IFERROR(1-AL173/AM173,"")</x:f>
      </x:c>
      <x:c r="AO173" s="19" t="str">
        <x:v>https://www.szaboepitoanyag.hu/index.php?kat=8&amp;page=termek</x:v>
      </x:c>
      <x:c r="AP173" s="19" t="str">
        <x:v>2026 piaci becslés</x:v>
      </x:c>
      <x:c r="AQ173" s="19" t="str"/>
    </x:row>
    <x:row r="174">
      <x:c r="A174" s="19" t="str">
        <x:v>ANY-0173</x:v>
      </x:c>
      <x:c r="B174" s="19" t="str">
        <x:v>11 Befejező anyagok</x:v>
      </x:c>
      <x:c r="C174" s="19" t="str">
        <x:v>Festék, burkolat, padló</x:v>
      </x:c>
      <x:c r="D174" s="19" t="str">
        <x:v>Mindegyik</x:v>
      </x:c>
      <x:c r="E174" s="19" t="str">
        <x:v>Szaniter szilikon</x:v>
      </x:c>
      <x:c r="F174" s="19" t="str">
        <x:v>310 ml</x:v>
      </x:c>
      <x:c r="G174" s="19" t="str">
        <x:v>kartus</x:v>
      </x:c>
      <x:c r="H174" s="203" t="n">
        <x:v>3200</x:v>
      </x:c>
      <x:c r="I174" s="204" t="n">
        <x:v>0.27</x:v>
      </x:c>
      <x:c r="J174" s="203" t="n">
        <x:f>IFERROR(H174/(1+I174),"")</x:f>
        <x:v>2519.685039370079</x:v>
      </x:c>
      <x:c r="K174" s="205" t="n">
        <x:v>0.2</x:v>
      </x:c>
      <x:c r="L174" s="203" t="n">
        <x:f>IFERROR(J174*(1-K174),"")</x:f>
        <x:v>2015.748031496063</x:v>
      </x:c>
      <x:c r="M174" s="19" t="str">
        <x:v>27% normál belföldi</x:v>
      </x:c>
      <x:c r="N174" s="204" t="n">
        <x:v>0.27</x:v>
      </x:c>
      <x:c r="O174" s="204" t="n">
        <x:v>0</x:v>
      </x:c>
      <x:c r="P174" s="19" t="str">
        <x:v>NEM</x:v>
      </x:c>
      <x:c r="Q174" s="203" t="n">
        <x:f>IFERROR(L174*(1+N174),"")</x:f>
        <x:v>2560</x:v>
      </x:c>
      <x:c r="R174" s="205" t="n">
        <x:v>0.1</x:v>
      </x:c>
      <x:c r="S174" s="203" t="n">
        <x:f>IFERROR(Q174*(1+R174),"")</x:f>
        <x:v>2816</x:v>
      </x:c>
      <x:c r="T174" s="206" t="n">
        <x:v>60</x:v>
      </x:c>
      <x:c r="U174" s="206" t="n">
        <x:v>0</x:v>
      </x:c>
      <x:c r="V174" s="203" t="n">
        <x:f>IFERROR(S174+T174+U174,"")</x:f>
        <x:v>2876</x:v>
      </x:c>
      <x:c r="W174" s="203" t="n">
        <x:f>IFERROR(H174/(1+Anyag_Beallitasok!$B$2)*Anyag_Beallitasok!$B$9,"")</x:f>
        <x:v>3047.6190476190477</x:v>
      </x:c>
      <x:c r="X174" s="203" t="n">
        <x:f>IFERROR(V174/((1-Anyag_Beallitasok!$B$3)*(1+Anyag_Beallitasok!$B$2)),"")</x:f>
        <x:v>4213.919413919413</x:v>
      </x:c>
      <x:c r="Y174" s="203" t="n">
        <x:f>IFERROR(V174/((1-Anyag_Beallitasok!$B$4)*(1+Anyag_Beallitasok!$B$2)),"")</x:f>
        <x:v>5478.095238095238</x:v>
      </x:c>
      <x:c r="Z174" s="203" t="n">
        <x:f>IFERROR(ROUNDUP(MAX(W174,X174)/Anyag_Beallitasok!$B$6,0)*Anyag_Beallitasok!$B$6,"")</x:f>
        <x:v>4250</x:v>
      </x:c>
      <x:c r="AA174" s="204" t="n">
        <x:f>Anyag_Beallitasok!$B$2</x:f>
        <x:v>0.05</x:v>
      </x:c>
      <x:c r="AB174" s="203" t="n">
        <x:f>IFERROR(Z174*(1+AA174),"")</x:f>
        <x:v>4462.5</x:v>
      </x:c>
      <x:c r="AC174" s="204" t="n">
        <x:f>IFERROR(1-V174/H174,"")</x:f>
        <x:v>0.10124999999999995</x:v>
      </x:c>
      <x:c r="AD174" s="204" t="n">
        <x:f>IFERROR(1-V174/AB174,"")</x:f>
        <x:v>0.35551820728291317</x:v>
      </x:c>
      <x:c r="AE174" s="19" t="str">
        <x:f>IF(AC174&lt;Anyag_Beallitasok!$B$3,"NEM ÉRI EL A 35%-OT",IF(AC174&lt;Anyag_Beallitasok!$B$4,"MINIMUM 35–49,9%",IF(AC174&lt;Anyag_Beallitasok!$B$5,"IDEÁLIS 50–59,9%","KIEMELKEDŐ ≥60%")))</x:f>
        <x:v>NEM ÉRI EL A 35%-OT</x:v>
      </x:c>
      <x:c r="AF174" s="204" t="n">
        <x:f>IFERROR(AB174/H174-1,"")</x:f>
        <x:v>0.39453125</x:v>
      </x:c>
      <x:c r="AG174" s="19" t="str">
        <x:f>IF(AND(P174="IGEN",O174&gt;0),IF(AF174&gt;Anyag_Beallitasok!$B$10,"0%-OS SZÁMLA + ÖNADÓZÁS; FELÁR SZÜKSÉGES","0%-OS SZÁMLA + ÖNADÓZÁS"),IF(AF174&gt;Anyag_Beallitasok!$B$10,"FELÁR SZÜKSÉGES A 35%-HOZ",IF(AC174&lt;Anyag_Beallitasok!$B$3,"PIACI ÁRON NEM TARTHATÓ A 35%","OK")))</x:f>
        <x:v>FELÁR SZÜKSÉGES A 35%-HOZ</x:v>
      </x:c>
      <x:c r="AH174" s="207" t="n">
        <x:v>35</x:v>
      </x:c>
      <x:c r="AI174" s="207" t="n">
        <x:v>35</x:v>
      </x:c>
      <x:c r="AJ174" s="207" t="n">
        <x:v>35</x:v>
      </x:c>
      <x:c r="AK174" s="208"/>
      <x:c r="AL174" s="203" t="str">
        <x:f>IF(AK174="","",V174*AK174)</x:f>
      </x:c>
      <x:c r="AM174" s="203" t="str">
        <x:f>IF(AK174="","",AB174*AK174)</x:f>
      </x:c>
      <x:c r="AN174" s="204" t="str">
        <x:f>IFERROR(1-AL174/AM174,"")</x:f>
      </x:c>
      <x:c r="AO174" s="19" t="str">
        <x:v>https://www.szaboepitoanyag.hu/index.php?kat=8&amp;page=termek</x:v>
      </x:c>
      <x:c r="AP174" s="19" t="str">
        <x:v>2026 piaci becslés</x:v>
      </x:c>
      <x:c r="AQ174" s="19" t="str"/>
    </x:row>
    <x:row r="175">
      <x:c r="A175" s="19" t="str">
        <x:v>ANY-0174</x:v>
      </x:c>
      <x:c r="B175" s="19" t="str">
        <x:v>11 Befejező anyagok</x:v>
      </x:c>
      <x:c r="C175" s="19" t="str">
        <x:v>Festék, burkolat, padló</x:v>
      </x:c>
      <x:c r="D175" s="19" t="str">
        <x:v>Mindegyik</x:v>
      </x:c>
      <x:c r="E175" s="19" t="str">
        <x:v>Hidegburkolat standard</x:v>
      </x:c>
      <x:c r="F175" s="19" t="str">
        <x:v>csempe/járólap 30×60–60×60</x:v>
      </x:c>
      <x:c r="G175" s="19" t="str">
        <x:v>m²</x:v>
      </x:c>
      <x:c r="H175" s="203" t="n">
        <x:v>6500</x:v>
      </x:c>
      <x:c r="I175" s="204" t="n">
        <x:v>0.27</x:v>
      </x:c>
      <x:c r="J175" s="203" t="n">
        <x:f>IFERROR(H175/(1+I175),"")</x:f>
        <x:v>5118.110236220472</x:v>
      </x:c>
      <x:c r="K175" s="205" t="n">
        <x:v>0.15</x:v>
      </x:c>
      <x:c r="L175" s="203" t="n">
        <x:f>IFERROR(J175*(1-K175),"")</x:f>
        <x:v>4350.393700787401</x:v>
      </x:c>
      <x:c r="M175" s="19" t="str">
        <x:v>27% normál belföldi</x:v>
      </x:c>
      <x:c r="N175" s="204" t="n">
        <x:v>0.27</x:v>
      </x:c>
      <x:c r="O175" s="204" t="n">
        <x:v>0</x:v>
      </x:c>
      <x:c r="P175" s="19" t="str">
        <x:v>NEM</x:v>
      </x:c>
      <x:c r="Q175" s="203" t="n">
        <x:f>IFERROR(L175*(1+N175),"")</x:f>
        <x:v>5524.999999999999</x:v>
      </x:c>
      <x:c r="R175" s="205" t="n">
        <x:v>0.12</x:v>
      </x:c>
      <x:c r="S175" s="203" t="n">
        <x:f>IFERROR(Q175*(1+R175),"")</x:f>
        <x:v>6188</x:v>
      </x:c>
      <x:c r="T175" s="206" t="n">
        <x:v>250</x:v>
      </x:c>
      <x:c r="U175" s="206" t="n">
        <x:v>0</x:v>
      </x:c>
      <x:c r="V175" s="203" t="n">
        <x:f>IFERROR(S175+T175+U175,"")</x:f>
        <x:v>6438</x:v>
      </x:c>
      <x:c r="W175" s="203" t="n">
        <x:f>IFERROR(H175/(1+Anyag_Beallitasok!$B$2)*Anyag_Beallitasok!$B$9,"")</x:f>
        <x:v>6190.47619047619</x:v>
      </x:c>
      <x:c r="X175" s="203" t="n">
        <x:f>IFERROR(V175/((1-Anyag_Beallitasok!$B$3)*(1+Anyag_Beallitasok!$B$2)),"")</x:f>
        <x:v>9432.967032967032</x:v>
      </x:c>
      <x:c r="Y175" s="203" t="n">
        <x:f>IFERROR(V175/((1-Anyag_Beallitasok!$B$4)*(1+Anyag_Beallitasok!$B$2)),"")</x:f>
        <x:v>12262.857142857143</x:v>
      </x:c>
      <x:c r="Z175" s="203" t="n">
        <x:f>IFERROR(ROUNDUP(MAX(W175,X175)/Anyag_Beallitasok!$B$6,0)*Anyag_Beallitasok!$B$6,"")</x:f>
        <x:v>9450</x:v>
      </x:c>
      <x:c r="AA175" s="204" t="n">
        <x:f>Anyag_Beallitasok!$B$2</x:f>
        <x:v>0.05</x:v>
      </x:c>
      <x:c r="AB175" s="203" t="n">
        <x:f>IFERROR(Z175*(1+AA175),"")</x:f>
        <x:v>9922.5</x:v>
      </x:c>
      <x:c r="AC175" s="204" t="n">
        <x:f>IFERROR(1-V175/H175,"")</x:f>
        <x:v>0.009538461538461496</x:v>
      </x:c>
      <x:c r="AD175" s="204" t="n">
        <x:f>IFERROR(1-V175/AB175,"")</x:f>
        <x:v>0.3511715797430083</x:v>
      </x:c>
      <x:c r="AE175" s="19" t="str">
        <x:f>IF(AC175&lt;Anyag_Beallitasok!$B$3,"NEM ÉRI EL A 35%-OT",IF(AC175&lt;Anyag_Beallitasok!$B$4,"MINIMUM 35–49,9%",IF(AC175&lt;Anyag_Beallitasok!$B$5,"IDEÁLIS 50–59,9%","KIEMELKEDŐ ≥60%")))</x:f>
        <x:v>NEM ÉRI EL A 35%-OT</x:v>
      </x:c>
      <x:c r="AF175" s="204" t="n">
        <x:f>IFERROR(AB175/H175-1,"")</x:f>
        <x:v>0.5265384615384616</x:v>
      </x:c>
      <x:c r="AG175" s="19" t="str">
        <x:f>IF(AND(P175="IGEN",O175&gt;0),IF(AF175&gt;Anyag_Beallitasok!$B$10,"0%-OS SZÁMLA + ÖNADÓZÁS; FELÁR SZÜKSÉGES","0%-OS SZÁMLA + ÖNADÓZÁS"),IF(AF175&gt;Anyag_Beallitasok!$B$10,"FELÁR SZÜKSÉGES A 35%-HOZ",IF(AC175&lt;Anyag_Beallitasok!$B$3,"PIACI ÁRON NEM TARTHATÓ A 35%","OK")))</x:f>
        <x:v>FELÁR SZÜKSÉGES A 35%-HOZ</x:v>
      </x:c>
      <x:c r="AH175" s="207" t="n">
        <x:v>95</x:v>
      </x:c>
      <x:c r="AI175" s="207" t="n">
        <x:v>95</x:v>
      </x:c>
      <x:c r="AJ175" s="207" t="n">
        <x:v>95</x:v>
      </x:c>
      <x:c r="AK175" s="208"/>
      <x:c r="AL175" s="203" t="str">
        <x:f>IF(AK175="","",V175*AK175)</x:f>
      </x:c>
      <x:c r="AM175" s="203" t="str">
        <x:f>IF(AK175="","",AB175*AK175)</x:f>
      </x:c>
      <x:c r="AN175" s="204" t="str">
        <x:f>IFERROR(1-AL175/AM175,"")</x:f>
      </x:c>
      <x:c r="AO175" s="19" t="str">
        <x:v>https://www.szaboepitoanyag.hu/index.php?kat=8&amp;page=termek</x:v>
      </x:c>
      <x:c r="AP175" s="19" t="str">
        <x:v>Kiválasztási keret; árajánlat szükséges</x:v>
      </x:c>
      <x:c r="AQ175" s="19" t="str">
        <x:v>Burkolat ízlésfüggő; nem konkrét termékár.</x:v>
      </x:c>
    </x:row>
    <x:row r="176">
      <x:c r="A176" s="19" t="str">
        <x:v>ANY-0175</x:v>
      </x:c>
      <x:c r="B176" s="19" t="str">
        <x:v>11 Befejező anyagok</x:v>
      </x:c>
      <x:c r="C176" s="19" t="str">
        <x:v>Festék, burkolat, padló</x:v>
      </x:c>
      <x:c r="D176" s="19" t="str">
        <x:v>Mindegyik</x:v>
      </x:c>
      <x:c r="E176" s="19" t="str">
        <x:v>Hidegburkolat középkategória</x:v>
      </x:c>
      <x:c r="F176" s="19" t="str">
        <x:v>60×60–60×120</x:v>
      </x:c>
      <x:c r="G176" s="19" t="str">
        <x:v>m²</x:v>
      </x:c>
      <x:c r="H176" s="203" t="n">
        <x:v>11000</x:v>
      </x:c>
      <x:c r="I176" s="204" t="n">
        <x:v>0.27</x:v>
      </x:c>
      <x:c r="J176" s="203" t="n">
        <x:f>IFERROR(H176/(1+I176),"")</x:f>
        <x:v>8661.417322834646</x:v>
      </x:c>
      <x:c r="K176" s="205" t="n">
        <x:v>0.18</x:v>
      </x:c>
      <x:c r="L176" s="203" t="n">
        <x:f>IFERROR(J176*(1-K176),"")</x:f>
        <x:v>7102.362204724411</x:v>
      </x:c>
      <x:c r="M176" s="19" t="str">
        <x:v>27% normál belföldi</x:v>
      </x:c>
      <x:c r="N176" s="204" t="n">
        <x:v>0.27</x:v>
      </x:c>
      <x:c r="O176" s="204" t="n">
        <x:v>0</x:v>
      </x:c>
      <x:c r="P176" s="19" t="str">
        <x:v>NEM</x:v>
      </x:c>
      <x:c r="Q176" s="203" t="n">
        <x:f>IFERROR(L176*(1+N176),"")</x:f>
        <x:v>9020.000000000002</x:v>
      </x:c>
      <x:c r="R176" s="205" t="n">
        <x:v>0.12</x:v>
      </x:c>
      <x:c r="S176" s="203" t="n">
        <x:f>IFERROR(Q176*(1+R176),"")</x:f>
        <x:v>10102.400000000003</x:v>
      </x:c>
      <x:c r="T176" s="206" t="n">
        <x:v>300</x:v>
      </x:c>
      <x:c r="U176" s="206" t="n">
        <x:v>0</x:v>
      </x:c>
      <x:c r="V176" s="203" t="n">
        <x:f>IFERROR(S176+T176+U176,"")</x:f>
        <x:v>10402.400000000003</x:v>
      </x:c>
      <x:c r="W176" s="203" t="n">
        <x:f>IFERROR(H176/(1+Anyag_Beallitasok!$B$2)*Anyag_Beallitasok!$B$9,"")</x:f>
        <x:v>10476.190476190475</x:v>
      </x:c>
      <x:c r="X176" s="203" t="n">
        <x:f>IFERROR(V176/((1-Anyag_Beallitasok!$B$3)*(1+Anyag_Beallitasok!$B$2)),"")</x:f>
        <x:v>15241.611721611724</x:v>
      </x:c>
      <x:c r="Y176" s="203" t="n">
        <x:f>IFERROR(V176/((1-Anyag_Beallitasok!$B$4)*(1+Anyag_Beallitasok!$B$2)),"")</x:f>
        <x:v>19814.095238095244</x:v>
      </x:c>
      <x:c r="Z176" s="203" t="n">
        <x:f>IFERROR(ROUNDUP(MAX(W176,X176)/Anyag_Beallitasok!$B$6,0)*Anyag_Beallitasok!$B$6,"")</x:f>
        <x:v>15250</x:v>
      </x:c>
      <x:c r="AA176" s="204" t="n">
        <x:f>Anyag_Beallitasok!$B$2</x:f>
        <x:v>0.05</x:v>
      </x:c>
      <x:c r="AB176" s="203" t="n">
        <x:f>IFERROR(Z176*(1+AA176),"")</x:f>
        <x:v>16012.5</x:v>
      </x:c>
      <x:c r="AC176" s="204" t="n">
        <x:f>IFERROR(1-V176/H176,"")</x:f>
        <x:v>0.054327272727272446</x:v>
      </x:c>
      <x:c r="AD176" s="204" t="n">
        <x:f>IFERROR(1-V176/AB176,"")</x:f>
        <x:v>0.3503575331772051</x:v>
      </x:c>
      <x:c r="AE176" s="19" t="str">
        <x:f>IF(AC176&lt;Anyag_Beallitasok!$B$3,"NEM ÉRI EL A 35%-OT",IF(AC176&lt;Anyag_Beallitasok!$B$4,"MINIMUM 35–49,9%",IF(AC176&lt;Anyag_Beallitasok!$B$5,"IDEÁLIS 50–59,9%","KIEMELKEDŐ ≥60%")))</x:f>
        <x:v>NEM ÉRI EL A 35%-OT</x:v>
      </x:c>
      <x:c r="AF176" s="204" t="n">
        <x:f>IFERROR(AB176/H176-1,"")</x:f>
        <x:v>0.4556818181818181</x:v>
      </x:c>
      <x:c r="AG176" s="19" t="str">
        <x:f>IF(AND(P176="IGEN",O176&gt;0),IF(AF176&gt;Anyag_Beallitasok!$B$10,"0%-OS SZÁMLA + ÖNADÓZÁS; FELÁR SZÜKSÉGES","0%-OS SZÁMLA + ÖNADÓZÁS"),IF(AF176&gt;Anyag_Beallitasok!$B$10,"FELÁR SZÜKSÉGES A 35%-HOZ",IF(AC176&lt;Anyag_Beallitasok!$B$3,"PIACI ÁRON NEM TARTHATÓ A 35%","OK")))</x:f>
        <x:v>FELÁR SZÜKSÉGES A 35%-HOZ</x:v>
      </x:c>
      <x:c r="AH176" s="207" t="n">
        <x:v>0</x:v>
      </x:c>
      <x:c r="AI176" s="207" t="n">
        <x:v>0</x:v>
      </x:c>
      <x:c r="AJ176" s="207" t="n">
        <x:v>0</x:v>
      </x:c>
      <x:c r="AK176" s="208"/>
      <x:c r="AL176" s="203" t="str">
        <x:f>IF(AK176="","",V176*AK176)</x:f>
      </x:c>
      <x:c r="AM176" s="203" t="str">
        <x:f>IF(AK176="","",AB176*AK176)</x:f>
      </x:c>
      <x:c r="AN176" s="204" t="str">
        <x:f>IFERROR(1-AL176/AM176,"")</x:f>
      </x:c>
      <x:c r="AO176" s="19" t="str">
        <x:v>https://www.szaboepitoanyag.hu/index.php?kat=8&amp;page=termek</x:v>
      </x:c>
      <x:c r="AP176" s="19" t="str">
        <x:v>Kiválasztási keret</x:v>
      </x:c>
      <x:c r="AQ176" s="19" t="str"/>
    </x:row>
    <x:row r="177">
      <x:c r="A177" s="19" t="str">
        <x:v>ANY-0176</x:v>
      </x:c>
      <x:c r="B177" s="19" t="str">
        <x:v>11 Befejező anyagok</x:v>
      </x:c>
      <x:c r="C177" s="19" t="str">
        <x:v>Festék, burkolat, padló</x:v>
      </x:c>
      <x:c r="D177" s="19" t="str">
        <x:v>Mindegyik</x:v>
      </x:c>
      <x:c r="E177" s="19" t="str">
        <x:v>Laminált padló 8 mm AC4</x:v>
      </x:c>
      <x:c r="F177" s="19" t="str">
        <x:v>standard</x:v>
      </x:c>
      <x:c r="G177" s="19" t="str">
        <x:v>m²</x:v>
      </x:c>
      <x:c r="H177" s="203" t="n">
        <x:v>5500</x:v>
      </x:c>
      <x:c r="I177" s="204" t="n">
        <x:v>0.27</x:v>
      </x:c>
      <x:c r="J177" s="203" t="n">
        <x:f>IFERROR(H177/(1+I177),"")</x:f>
        <x:v>4330.708661417323</x:v>
      </x:c>
      <x:c r="K177" s="205" t="n">
        <x:v>0.18</x:v>
      </x:c>
      <x:c r="L177" s="203" t="n">
        <x:f>IFERROR(J177*(1-K177),"")</x:f>
        <x:v>3551.1811023622054</x:v>
      </x:c>
      <x:c r="M177" s="19" t="str">
        <x:v>27% normál belföldi</x:v>
      </x:c>
      <x:c r="N177" s="204" t="n">
        <x:v>0.27</x:v>
      </x:c>
      <x:c r="O177" s="204" t="n">
        <x:v>0</x:v>
      </x:c>
      <x:c r="P177" s="19" t="str">
        <x:v>NEM</x:v>
      </x:c>
      <x:c r="Q177" s="203" t="n">
        <x:f>IFERROR(L177*(1+N177),"")</x:f>
        <x:v>4510.000000000001</x:v>
      </x:c>
      <x:c r="R177" s="205" t="n">
        <x:v>0.1</x:v>
      </x:c>
      <x:c r="S177" s="203" t="n">
        <x:f>IFERROR(Q177*(1+R177),"")</x:f>
        <x:v>4961.000000000002</x:v>
      </x:c>
      <x:c r="T177" s="206" t="n">
        <x:v>220</x:v>
      </x:c>
      <x:c r="U177" s="206" t="n">
        <x:v>0</x:v>
      </x:c>
      <x:c r="V177" s="203" t="n">
        <x:f>IFERROR(S177+T177+U177,"")</x:f>
        <x:v>5181.000000000002</x:v>
      </x:c>
      <x:c r="W177" s="203" t="n">
        <x:f>IFERROR(H177/(1+Anyag_Beallitasok!$B$2)*Anyag_Beallitasok!$B$9,"")</x:f>
        <x:v>5238.095238095238</x:v>
      </x:c>
      <x:c r="X177" s="203" t="n">
        <x:f>IFERROR(V177/((1-Anyag_Beallitasok!$B$3)*(1+Anyag_Beallitasok!$B$2)),"")</x:f>
        <x:v>7591.208791208793</x:v>
      </x:c>
      <x:c r="Y177" s="203" t="n">
        <x:f>IFERROR(V177/((1-Anyag_Beallitasok!$B$4)*(1+Anyag_Beallitasok!$B$2)),"")</x:f>
        <x:v>9868.571428571431</x:v>
      </x:c>
      <x:c r="Z177" s="203" t="n">
        <x:f>IFERROR(ROUNDUP(MAX(W177,X177)/Anyag_Beallitasok!$B$6,0)*Anyag_Beallitasok!$B$6,"")</x:f>
        <x:v>7600</x:v>
      </x:c>
      <x:c r="AA177" s="204" t="n">
        <x:f>Anyag_Beallitasok!$B$2</x:f>
        <x:v>0.05</x:v>
      </x:c>
      <x:c r="AB177" s="203" t="n">
        <x:f>IFERROR(Z177*(1+AA177),"")</x:f>
        <x:v>7980</x:v>
      </x:c>
      <x:c r="AC177" s="204" t="n">
        <x:f>IFERROR(1-V177/H177,"")</x:f>
        <x:v>0.05799999999999972</x:v>
      </x:c>
      <x:c r="AD177" s="204" t="n">
        <x:f>IFERROR(1-V177/AB177,"")</x:f>
        <x:v>0.3507518796992479</x:v>
      </x:c>
      <x:c r="AE177" s="19" t="str">
        <x:f>IF(AC177&lt;Anyag_Beallitasok!$B$3,"NEM ÉRI EL A 35%-OT",IF(AC177&lt;Anyag_Beallitasok!$B$4,"MINIMUM 35–49,9%",IF(AC177&lt;Anyag_Beallitasok!$B$5,"IDEÁLIS 50–59,9%","KIEMELKEDŐ ≥60%")))</x:f>
        <x:v>NEM ÉRI EL A 35%-OT</x:v>
      </x:c>
      <x:c r="AF177" s="204" t="n">
        <x:f>IFERROR(AB177/H177-1,"")</x:f>
        <x:v>0.4509090909090909</x:v>
      </x:c>
      <x:c r="AG177" s="19" t="str">
        <x:f>IF(AND(P177="IGEN",O177&gt;0),IF(AF177&gt;Anyag_Beallitasok!$B$10,"0%-OS SZÁMLA + ÖNADÓZÁS; FELÁR SZÜKSÉGES","0%-OS SZÁMLA + ÖNADÓZÁS"),IF(AF177&gt;Anyag_Beallitasok!$B$10,"FELÁR SZÜKSÉGES A 35%-HOZ",IF(AC177&lt;Anyag_Beallitasok!$B$3,"PIACI ÁRON NEM TARTHATÓ A 35%","OK")))</x:f>
        <x:v>FELÁR SZÜKSÉGES A 35%-HOZ</x:v>
      </x:c>
      <x:c r="AH177" s="207" t="n">
        <x:v>65</x:v>
      </x:c>
      <x:c r="AI177" s="207" t="n">
        <x:v>65</x:v>
      </x:c>
      <x:c r="AJ177" s="207" t="n">
        <x:v>65</x:v>
      </x:c>
      <x:c r="AK177" s="208"/>
      <x:c r="AL177" s="203" t="str">
        <x:f>IF(AK177="","",V177*AK177)</x:f>
      </x:c>
      <x:c r="AM177" s="203" t="str">
        <x:f>IF(AK177="","",AB177*AK177)</x:f>
      </x:c>
      <x:c r="AN177" s="204" t="str">
        <x:f>IFERROR(1-AL177/AM177,"")</x:f>
      </x:c>
      <x:c r="AO177" s="19" t="str">
        <x:v>https://www.obi.hu/festekek-lakkok/belteri-falfestekek/c/2979</x:v>
      </x:c>
      <x:c r="AP177" s="19" t="str">
        <x:v>2026 piaci becslés</x:v>
      </x:c>
      <x:c r="AQ177" s="19" t="str"/>
    </x:row>
    <x:row r="178">
      <x:c r="A178" s="19" t="str">
        <x:v>ANY-0177</x:v>
      </x:c>
      <x:c r="B178" s="19" t="str">
        <x:v>11 Befejező anyagok</x:v>
      </x:c>
      <x:c r="C178" s="19" t="str">
        <x:v>Festék, burkolat, padló</x:v>
      </x:c>
      <x:c r="D178" s="19" t="str">
        <x:v>Mindegyik</x:v>
      </x:c>
      <x:c r="E178" s="19" t="str">
        <x:v>SPC vinyl padló</x:v>
      </x:c>
      <x:c r="F178" s="19" t="str">
        <x:v>középkategória</x:v>
      </x:c>
      <x:c r="G178" s="19" t="str">
        <x:v>m²</x:v>
      </x:c>
      <x:c r="H178" s="203" t="n">
        <x:v>10500</x:v>
      </x:c>
      <x:c r="I178" s="204" t="n">
        <x:v>0.27</x:v>
      </x:c>
      <x:c r="J178" s="203" t="n">
        <x:f>IFERROR(H178/(1+I178),"")</x:f>
        <x:v>8267.71653543307</x:v>
      </x:c>
      <x:c r="K178" s="205" t="n">
        <x:v>0.2</x:v>
      </x:c>
      <x:c r="L178" s="203" t="n">
        <x:f>IFERROR(J178*(1-K178),"")</x:f>
        <x:v>6614.173228346456</x:v>
      </x:c>
      <x:c r="M178" s="19" t="str">
        <x:v>27% normál belföldi</x:v>
      </x:c>
      <x:c r="N178" s="204" t="n">
        <x:v>0.27</x:v>
      </x:c>
      <x:c r="O178" s="204" t="n">
        <x:v>0</x:v>
      </x:c>
      <x:c r="P178" s="19" t="str">
        <x:v>NEM</x:v>
      </x:c>
      <x:c r="Q178" s="203" t="n">
        <x:f>IFERROR(L178*(1+N178),"")</x:f>
        <x:v>8400</x:v>
      </x:c>
      <x:c r="R178" s="205" t="n">
        <x:v>0.1</x:v>
      </x:c>
      <x:c r="S178" s="203" t="n">
        <x:f>IFERROR(Q178*(1+R178),"")</x:f>
        <x:v>9240</x:v>
      </x:c>
      <x:c r="T178" s="206" t="n">
        <x:v>250</x:v>
      </x:c>
      <x:c r="U178" s="206" t="n">
        <x:v>0</x:v>
      </x:c>
      <x:c r="V178" s="203" t="n">
        <x:f>IFERROR(S178+T178+U178,"")</x:f>
        <x:v>9490</x:v>
      </x:c>
      <x:c r="W178" s="203" t="n">
        <x:f>IFERROR(H178/(1+Anyag_Beallitasok!$B$2)*Anyag_Beallitasok!$B$9,"")</x:f>
        <x:v>10000</x:v>
      </x:c>
      <x:c r="X178" s="203" t="n">
        <x:f>IFERROR(V178/((1-Anyag_Beallitasok!$B$3)*(1+Anyag_Beallitasok!$B$2)),"")</x:f>
        <x:v>13904.761904761903</x:v>
      </x:c>
      <x:c r="Y178" s="203" t="n">
        <x:f>IFERROR(V178/((1-Anyag_Beallitasok!$B$4)*(1+Anyag_Beallitasok!$B$2)),"")</x:f>
        <x:v>18076.190476190477</x:v>
      </x:c>
      <x:c r="Z178" s="203" t="n">
        <x:f>IFERROR(ROUNDUP(MAX(W178,X178)/Anyag_Beallitasok!$B$6,0)*Anyag_Beallitasok!$B$6,"")</x:f>
        <x:v>13950</x:v>
      </x:c>
      <x:c r="AA178" s="204" t="n">
        <x:f>Anyag_Beallitasok!$B$2</x:f>
        <x:v>0.05</x:v>
      </x:c>
      <x:c r="AB178" s="203" t="n">
        <x:f>IFERROR(Z178*(1+AA178),"")</x:f>
        <x:v>14647.5</x:v>
      </x:c>
      <x:c r="AC178" s="204" t="n">
        <x:f>IFERROR(1-V178/H178,"")</x:f>
        <x:v>0.09619047619047616</x:v>
      </x:c>
      <x:c r="AD178" s="204" t="n">
        <x:f>IFERROR(1-V178/AB178,"")</x:f>
        <x:v>0.35210786823690055</x:v>
      </x:c>
      <x:c r="AE178" s="19" t="str">
        <x:f>IF(AC178&lt;Anyag_Beallitasok!$B$3,"NEM ÉRI EL A 35%-OT",IF(AC178&lt;Anyag_Beallitasok!$B$4,"MINIMUM 35–49,9%",IF(AC178&lt;Anyag_Beallitasok!$B$5,"IDEÁLIS 50–59,9%","KIEMELKEDŐ ≥60%")))</x:f>
        <x:v>NEM ÉRI EL A 35%-OT</x:v>
      </x:c>
      <x:c r="AF178" s="204" t="n">
        <x:f>IFERROR(AB178/H178-1,"")</x:f>
        <x:v>0.395</x:v>
      </x:c>
      <x:c r="AG178" s="19" t="str">
        <x:f>IF(AND(P178="IGEN",O178&gt;0),IF(AF178&gt;Anyag_Beallitasok!$B$10,"0%-OS SZÁMLA + ÖNADÓZÁS; FELÁR SZÜKSÉGES","0%-OS SZÁMLA + ÖNADÓZÁS"),IF(AF178&gt;Anyag_Beallitasok!$B$10,"FELÁR SZÜKSÉGES A 35%-HOZ",IF(AC178&lt;Anyag_Beallitasok!$B$3,"PIACI ÁRON NEM TARTHATÓ A 35%","OK")))</x:f>
        <x:v>FELÁR SZÜKSÉGES A 35%-HOZ</x:v>
      </x:c>
      <x:c r="AH178" s="207" t="n">
        <x:v>0</x:v>
      </x:c>
      <x:c r="AI178" s="207" t="n">
        <x:v>0</x:v>
      </x:c>
      <x:c r="AJ178" s="207" t="n">
        <x:v>0</x:v>
      </x:c>
      <x:c r="AK178" s="208"/>
      <x:c r="AL178" s="203" t="str">
        <x:f>IF(AK178="","",V178*AK178)</x:f>
      </x:c>
      <x:c r="AM178" s="203" t="str">
        <x:f>IF(AK178="","",AB178*AK178)</x:f>
      </x:c>
      <x:c r="AN178" s="204" t="str">
        <x:f>IFERROR(1-AL178/AM178,"")</x:f>
      </x:c>
      <x:c r="AO178" s="19" t="str">
        <x:v>https://www.obi.hu/festekek-lakkok/belteri-falfestekek/c/2979</x:v>
      </x:c>
      <x:c r="AP178" s="19" t="str">
        <x:v>2026 piaci becslés</x:v>
      </x:c>
      <x:c r="AQ178" s="19" t="str"/>
    </x:row>
    <x:row r="179">
      <x:c r="A179" s="19" t="str">
        <x:v>ANY-0178</x:v>
      </x:c>
      <x:c r="B179" s="19" t="str">
        <x:v>11 Befejező anyagok</x:v>
      </x:c>
      <x:c r="C179" s="19" t="str">
        <x:v>Festék, burkolat, padló</x:v>
      </x:c>
      <x:c r="D179" s="19" t="str">
        <x:v>Mindegyik</x:v>
      </x:c>
      <x:c r="E179" s="19" t="str">
        <x:v>Padló alátétfólia 2–3 mm</x:v>
      </x:c>
      <x:c r="F179" s="19" t="str">
        <x:v>laminált alá</x:v>
      </x:c>
      <x:c r="G179" s="19" t="str">
        <x:v>m²</x:v>
      </x:c>
      <x:c r="H179" s="203" t="n">
        <x:v>650</x:v>
      </x:c>
      <x:c r="I179" s="204" t="n">
        <x:v>0.27</x:v>
      </x:c>
      <x:c r="J179" s="203" t="n">
        <x:f>IFERROR(H179/(1+I179),"")</x:f>
        <x:v>511.81102362204723</x:v>
      </x:c>
      <x:c r="K179" s="205" t="n">
        <x:v>0.2</x:v>
      </x:c>
      <x:c r="L179" s="203" t="n">
        <x:f>IFERROR(J179*(1-K179),"")</x:f>
        <x:v>409.4488188976378</x:v>
      </x:c>
      <x:c r="M179" s="19" t="str">
        <x:v>27% normál belföldi</x:v>
      </x:c>
      <x:c r="N179" s="204" t="n">
        <x:v>0.27</x:v>
      </x:c>
      <x:c r="O179" s="204" t="n">
        <x:v>0</x:v>
      </x:c>
      <x:c r="P179" s="19" t="str">
        <x:v>NEM</x:v>
      </x:c>
      <x:c r="Q179" s="203" t="n">
        <x:f>IFERROR(L179*(1+N179),"")</x:f>
        <x:v>520</x:v>
      </x:c>
      <x:c r="R179" s="205" t="n">
        <x:v>0.1</x:v>
      </x:c>
      <x:c r="S179" s="203" t="n">
        <x:f>IFERROR(Q179*(1+R179),"")</x:f>
        <x:v>572</x:v>
      </x:c>
      <x:c r="T179" s="206" t="n">
        <x:v>20</x:v>
      </x:c>
      <x:c r="U179" s="206" t="n">
        <x:v>0</x:v>
      </x:c>
      <x:c r="V179" s="203" t="n">
        <x:f>IFERROR(S179+T179+U179,"")</x:f>
        <x:v>592</x:v>
      </x:c>
      <x:c r="W179" s="203" t="n">
        <x:f>IFERROR(H179/(1+Anyag_Beallitasok!$B$2)*Anyag_Beallitasok!$B$9,"")</x:f>
        <x:v>619.047619047619</x:v>
      </x:c>
      <x:c r="X179" s="203" t="n">
        <x:f>IFERROR(V179/((1-Anyag_Beallitasok!$B$3)*(1+Anyag_Beallitasok!$B$2)),"")</x:f>
        <x:v>867.3992673992673</x:v>
      </x:c>
      <x:c r="Y179" s="203" t="n">
        <x:f>IFERROR(V179/((1-Anyag_Beallitasok!$B$4)*(1+Anyag_Beallitasok!$B$2)),"")</x:f>
        <x:v>1127.6190476190475</x:v>
      </x:c>
      <x:c r="Z179" s="203" t="n">
        <x:f>IFERROR(ROUNDUP(MAX(W179,X179)/Anyag_Beallitasok!$B$6,0)*Anyag_Beallitasok!$B$6,"")</x:f>
        <x:v>900</x:v>
      </x:c>
      <x:c r="AA179" s="204" t="n">
        <x:f>Anyag_Beallitasok!$B$2</x:f>
        <x:v>0.05</x:v>
      </x:c>
      <x:c r="AB179" s="203" t="n">
        <x:f>IFERROR(Z179*(1+AA179),"")</x:f>
        <x:v>945</x:v>
      </x:c>
      <x:c r="AC179" s="204" t="n">
        <x:f>IFERROR(1-V179/H179,"")</x:f>
        <x:v>0.08923076923076922</x:v>
      </x:c>
      <x:c r="AD179" s="204" t="n">
        <x:f>IFERROR(1-V179/AB179,"")</x:f>
        <x:v>0.3735449735449735</x:v>
      </x:c>
      <x:c r="AE179" s="19" t="str">
        <x:f>IF(AC179&lt;Anyag_Beallitasok!$B$3,"NEM ÉRI EL A 35%-OT",IF(AC179&lt;Anyag_Beallitasok!$B$4,"MINIMUM 35–49,9%",IF(AC179&lt;Anyag_Beallitasok!$B$5,"IDEÁLIS 50–59,9%","KIEMELKEDŐ ≥60%")))</x:f>
        <x:v>NEM ÉRI EL A 35%-OT</x:v>
      </x:c>
      <x:c r="AF179" s="204" t="n">
        <x:f>IFERROR(AB179/H179-1,"")</x:f>
        <x:v>0.4538461538461538</x:v>
      </x:c>
      <x:c r="AG179" s="19" t="str">
        <x:f>IF(AND(P179="IGEN",O179&gt;0),IF(AF179&gt;Anyag_Beallitasok!$B$10,"0%-OS SZÁMLA + ÖNADÓZÁS; FELÁR SZÜKSÉGES","0%-OS SZÁMLA + ÖNADÓZÁS"),IF(AF179&gt;Anyag_Beallitasok!$B$10,"FELÁR SZÜKSÉGES A 35%-HOZ",IF(AC179&lt;Anyag_Beallitasok!$B$3,"PIACI ÁRON NEM TARTHATÓ A 35%","OK")))</x:f>
        <x:v>FELÁR SZÜKSÉGES A 35%-HOZ</x:v>
      </x:c>
      <x:c r="AH179" s="207" t="n">
        <x:v>65</x:v>
      </x:c>
      <x:c r="AI179" s="207" t="n">
        <x:v>65</x:v>
      </x:c>
      <x:c r="AJ179" s="207" t="n">
        <x:v>65</x:v>
      </x:c>
      <x:c r="AK179" s="208"/>
      <x:c r="AL179" s="203" t="str">
        <x:f>IF(AK179="","",V179*AK179)</x:f>
      </x:c>
      <x:c r="AM179" s="203" t="str">
        <x:f>IF(AK179="","",AB179*AK179)</x:f>
      </x:c>
      <x:c r="AN179" s="204" t="str">
        <x:f>IFERROR(1-AL179/AM179,"")</x:f>
      </x:c>
      <x:c r="AO179" s="19" t="str">
        <x:v>https://www.obi.hu/festekek-lakkok/belteri-falfestekek/c/2979</x:v>
      </x:c>
      <x:c r="AP179" s="19" t="str">
        <x:v>2026 piaci becslés</x:v>
      </x:c>
      <x:c r="AQ179" s="19" t="str"/>
    </x:row>
    <x:row r="180">
      <x:c r="A180" s="19" t="str">
        <x:v>ANY-0179</x:v>
      </x:c>
      <x:c r="B180" s="19" t="str">
        <x:v>11 Befejező anyagok</x:v>
      </x:c>
      <x:c r="C180" s="19" t="str">
        <x:v>Festék, burkolat, padló</x:v>
      </x:c>
      <x:c r="D180" s="19" t="str">
        <x:v>Mindegyik</x:v>
      </x:c>
      <x:c r="E180" s="19" t="str">
        <x:v>MDF szegélyléc</x:v>
      </x:c>
      <x:c r="F180" s="19" t="str">
        <x:v>60–80 mm</x:v>
      </x:c>
      <x:c r="G180" s="19" t="str">
        <x:v>fm</x:v>
      </x:c>
      <x:c r="H180" s="203" t="n">
        <x:v>1800</x:v>
      </x:c>
      <x:c r="I180" s="204" t="n">
        <x:v>0.27</x:v>
      </x:c>
      <x:c r="J180" s="203" t="n">
        <x:f>IFERROR(H180/(1+I180),"")</x:f>
        <x:v>1417.3228346456692</x:v>
      </x:c>
      <x:c r="K180" s="205" t="n">
        <x:v>0.2</x:v>
      </x:c>
      <x:c r="L180" s="203" t="n">
        <x:f>IFERROR(J180*(1-K180),"")</x:f>
        <x:v>1133.8582677165355</x:v>
      </x:c>
      <x:c r="M180" s="19" t="str">
        <x:v>27% normál belföldi</x:v>
      </x:c>
      <x:c r="N180" s="204" t="n">
        <x:v>0.27</x:v>
      </x:c>
      <x:c r="O180" s="204" t="n">
        <x:v>0</x:v>
      </x:c>
      <x:c r="P180" s="19" t="str">
        <x:v>NEM</x:v>
      </x:c>
      <x:c r="Q180" s="203" t="n">
        <x:f>IFERROR(L180*(1+N180),"")</x:f>
        <x:v>1440</x:v>
      </x:c>
      <x:c r="R180" s="205" t="n">
        <x:v>0.1</x:v>
      </x:c>
      <x:c r="S180" s="203" t="n">
        <x:f>IFERROR(Q180*(1+R180),"")</x:f>
        <x:v>1584.0000000000002</x:v>
      </x:c>
      <x:c r="T180" s="206" t="n">
        <x:v>50</x:v>
      </x:c>
      <x:c r="U180" s="206" t="n">
        <x:v>0</x:v>
      </x:c>
      <x:c r="V180" s="203" t="n">
        <x:f>IFERROR(S180+T180+U180,"")</x:f>
        <x:v>1634.0000000000002</x:v>
      </x:c>
      <x:c r="W180" s="203" t="n">
        <x:f>IFERROR(H180/(1+Anyag_Beallitasok!$B$2)*Anyag_Beallitasok!$B$9,"")</x:f>
        <x:v>1714.2857142857142</x:v>
      </x:c>
      <x:c r="X180" s="203" t="n">
        <x:f>IFERROR(V180/((1-Anyag_Beallitasok!$B$3)*(1+Anyag_Beallitasok!$B$2)),"")</x:f>
        <x:v>2394.139194139194</x:v>
      </x:c>
      <x:c r="Y180" s="203" t="n">
        <x:f>IFERROR(V180/((1-Anyag_Beallitasok!$B$4)*(1+Anyag_Beallitasok!$B$2)),"")</x:f>
        <x:v>3112.3809523809527</x:v>
      </x:c>
      <x:c r="Z180" s="203" t="n">
        <x:f>IFERROR(ROUNDUP(MAX(W180,X180)/Anyag_Beallitasok!$B$6,0)*Anyag_Beallitasok!$B$6,"")</x:f>
        <x:v>2400</x:v>
      </x:c>
      <x:c r="AA180" s="204" t="n">
        <x:f>Anyag_Beallitasok!$B$2</x:f>
        <x:v>0.05</x:v>
      </x:c>
      <x:c r="AB180" s="203" t="n">
        <x:f>IFERROR(Z180*(1+AA180),"")</x:f>
        <x:v>2520</x:v>
      </x:c>
      <x:c r="AC180" s="204" t="n">
        <x:f>IFERROR(1-V180/H180,"")</x:f>
        <x:v>0.0922222222222221</x:v>
      </x:c>
      <x:c r="AD180" s="204" t="n">
        <x:f>IFERROR(1-V180/AB180,"")</x:f>
        <x:v>0.35158730158730145</x:v>
      </x:c>
      <x:c r="AE180" s="19" t="str">
        <x:f>IF(AC180&lt;Anyag_Beallitasok!$B$3,"NEM ÉRI EL A 35%-OT",IF(AC180&lt;Anyag_Beallitasok!$B$4,"MINIMUM 35–49,9%",IF(AC180&lt;Anyag_Beallitasok!$B$5,"IDEÁLIS 50–59,9%","KIEMELKEDŐ ≥60%")))</x:f>
        <x:v>NEM ÉRI EL A 35%-OT</x:v>
      </x:c>
      <x:c r="AF180" s="204" t="n">
        <x:f>IFERROR(AB180/H180-1,"")</x:f>
        <x:v>0.3999999999999999</x:v>
      </x:c>
      <x:c r="AG180" s="19" t="str">
        <x:f>IF(AND(P180="IGEN",O180&gt;0),IF(AF180&gt;Anyag_Beallitasok!$B$10,"0%-OS SZÁMLA + ÖNADÓZÁS; FELÁR SZÜKSÉGES","0%-OS SZÁMLA + ÖNADÓZÁS"),IF(AF180&gt;Anyag_Beallitasok!$B$10,"FELÁR SZÜKSÉGES A 35%-HOZ",IF(AC180&lt;Anyag_Beallitasok!$B$3,"PIACI ÁRON NEM TARTHATÓ A 35%","OK")))</x:f>
        <x:v>FELÁR SZÜKSÉGES A 35%-HOZ</x:v>
      </x:c>
      <x:c r="AH180" s="207" t="n">
        <x:v>85</x:v>
      </x:c>
      <x:c r="AI180" s="207" t="n">
        <x:v>85</x:v>
      </x:c>
      <x:c r="AJ180" s="207" t="n">
        <x:v>85</x:v>
      </x:c>
      <x:c r="AK180" s="208"/>
      <x:c r="AL180" s="203" t="str">
        <x:f>IF(AK180="","",V180*AK180)</x:f>
      </x:c>
      <x:c r="AM180" s="203" t="str">
        <x:f>IF(AK180="","",AB180*AK180)</x:f>
      </x:c>
      <x:c r="AN180" s="204" t="str">
        <x:f>IFERROR(1-AL180/AM180,"")</x:f>
      </x:c>
      <x:c r="AO180" s="19" t="str">
        <x:v>https://www.obi.hu/festekek-lakkok/belteri-falfestekek/c/2979</x:v>
      </x:c>
      <x:c r="AP180" s="19" t="str">
        <x:v>2026 piaci becslés</x:v>
      </x:c>
      <x:c r="AQ180" s="19" t="str"/>
    </x:row>
    <x:row r="181">
      <x:c r="A181" s="19" t="str">
        <x:v>ANY-0180</x:v>
      </x:c>
      <x:c r="B181" s="19" t="str">
        <x:v>11 Befejező anyagok</x:v>
      </x:c>
      <x:c r="C181" s="19" t="str">
        <x:v>Festék, burkolat, padló</x:v>
      </x:c>
      <x:c r="D181" s="19" t="str">
        <x:v>Mindegyik</x:v>
      </x:c>
      <x:c r="E181" s="19" t="str">
        <x:v>Burkolati élvédő profil</x:v>
      </x:c>
      <x:c r="F181" s="19" t="str">
        <x:v>alumínium</x:v>
      </x:c>
      <x:c r="G181" s="19" t="str">
        <x:v>fm</x:v>
      </x:c>
      <x:c r="H181" s="203" t="n">
        <x:v>2800</x:v>
      </x:c>
      <x:c r="I181" s="204" t="n">
        <x:v>0.27</x:v>
      </x:c>
      <x:c r="J181" s="203" t="n">
        <x:f>IFERROR(H181/(1+I181),"")</x:f>
        <x:v>2204.7244094488187</x:v>
      </x:c>
      <x:c r="K181" s="205" t="n">
        <x:v>0.2</x:v>
      </x:c>
      <x:c r="L181" s="203" t="n">
        <x:f>IFERROR(J181*(1-K181),"")</x:f>
        <x:v>1763.7795275590552</x:v>
      </x:c>
      <x:c r="M181" s="19" t="str">
        <x:v>27% normál belföldi</x:v>
      </x:c>
      <x:c r="N181" s="204" t="n">
        <x:v>0.27</x:v>
      </x:c>
      <x:c r="O181" s="204" t="n">
        <x:v>0</x:v>
      </x:c>
      <x:c r="P181" s="19" t="str">
        <x:v>NEM</x:v>
      </x:c>
      <x:c r="Q181" s="203" t="n">
        <x:f>IFERROR(L181*(1+N181),"")</x:f>
        <x:v>2240</x:v>
      </x:c>
      <x:c r="R181" s="205" t="n">
        <x:v>0.1</x:v>
      </x:c>
      <x:c r="S181" s="203" t="n">
        <x:f>IFERROR(Q181*(1+R181),"")</x:f>
        <x:v>2464</x:v>
      </x:c>
      <x:c r="T181" s="206" t="n">
        <x:v>80</x:v>
      </x:c>
      <x:c r="U181" s="206" t="n">
        <x:v>0</x:v>
      </x:c>
      <x:c r="V181" s="203" t="n">
        <x:f>IFERROR(S181+T181+U181,"")</x:f>
        <x:v>2544</x:v>
      </x:c>
      <x:c r="W181" s="203" t="n">
        <x:f>IFERROR(H181/(1+Anyag_Beallitasok!$B$2)*Anyag_Beallitasok!$B$9,"")</x:f>
        <x:v>2666.6666666666665</x:v>
      </x:c>
      <x:c r="X181" s="203" t="n">
        <x:f>IFERROR(V181/((1-Anyag_Beallitasok!$B$3)*(1+Anyag_Beallitasok!$B$2)),"")</x:f>
        <x:v>3727.472527472527</x:v>
      </x:c>
      <x:c r="Y181" s="203" t="n">
        <x:f>IFERROR(V181/((1-Anyag_Beallitasok!$B$4)*(1+Anyag_Beallitasok!$B$2)),"")</x:f>
        <x:v>4845.714285714285</x:v>
      </x:c>
      <x:c r="Z181" s="203" t="n">
        <x:f>IFERROR(ROUNDUP(MAX(W181,X181)/Anyag_Beallitasok!$B$6,0)*Anyag_Beallitasok!$B$6,"")</x:f>
        <x:v>3750</x:v>
      </x:c>
      <x:c r="AA181" s="204" t="n">
        <x:f>Anyag_Beallitasok!$B$2</x:f>
        <x:v>0.05</x:v>
      </x:c>
      <x:c r="AB181" s="203" t="n">
        <x:f>IFERROR(Z181*(1+AA181),"")</x:f>
        <x:v>3937.5</x:v>
      </x:c>
      <x:c r="AC181" s="204" t="n">
        <x:f>IFERROR(1-V181/H181,"")</x:f>
        <x:v>0.09142857142857141</x:v>
      </x:c>
      <x:c r="AD181" s="204" t="n">
        <x:f>IFERROR(1-V181/AB181,"")</x:f>
        <x:v>0.35390476190476194</x:v>
      </x:c>
      <x:c r="AE181" s="19" t="str">
        <x:f>IF(AC181&lt;Anyag_Beallitasok!$B$3,"NEM ÉRI EL A 35%-OT",IF(AC181&lt;Anyag_Beallitasok!$B$4,"MINIMUM 35–49,9%",IF(AC181&lt;Anyag_Beallitasok!$B$5,"IDEÁLIS 50–59,9%","KIEMELKEDŐ ≥60%")))</x:f>
        <x:v>NEM ÉRI EL A 35%-OT</x:v>
      </x:c>
      <x:c r="AF181" s="204" t="n">
        <x:f>IFERROR(AB181/H181-1,"")</x:f>
        <x:v>0.40625</x:v>
      </x:c>
      <x:c r="AG181" s="19" t="str">
        <x:f>IF(AND(P181="IGEN",O181&gt;0),IF(AF181&gt;Anyag_Beallitasok!$B$10,"0%-OS SZÁMLA + ÖNADÓZÁS; FELÁR SZÜKSÉGES","0%-OS SZÁMLA + ÖNADÓZÁS"),IF(AF181&gt;Anyag_Beallitasok!$B$10,"FELÁR SZÜKSÉGES A 35%-HOZ",IF(AC181&lt;Anyag_Beallitasok!$B$3,"PIACI ÁRON NEM TARTHATÓ A 35%","OK")))</x:f>
        <x:v>FELÁR SZÜKSÉGES A 35%-HOZ</x:v>
      </x:c>
      <x:c r="AH181" s="207" t="n">
        <x:v>35</x:v>
      </x:c>
      <x:c r="AI181" s="207" t="n">
        <x:v>35</x:v>
      </x:c>
      <x:c r="AJ181" s="207" t="n">
        <x:v>35</x:v>
      </x:c>
      <x:c r="AK181" s="208"/>
      <x:c r="AL181" s="203" t="str">
        <x:f>IF(AK181="","",V181*AK181)</x:f>
      </x:c>
      <x:c r="AM181" s="203" t="str">
        <x:f>IF(AK181="","",AB181*AK181)</x:f>
      </x:c>
      <x:c r="AN181" s="204" t="str">
        <x:f>IFERROR(1-AL181/AM181,"")</x:f>
      </x:c>
      <x:c r="AO181" s="19" t="str">
        <x:v>https://www.szaboepitoanyag.hu/index.php?kat=8&amp;page=termek</x:v>
      </x:c>
      <x:c r="AP181" s="19" t="str">
        <x:v>2026 piaci becslés</x:v>
      </x:c>
      <x:c r="AQ181" s="19" t="str"/>
    </x:row>
    <x:row r="182">
      <x:c r="A182" s="19" t="str">
        <x:v>ANY-0181</x:v>
      </x:c>
      <x:c r="B182" s="19" t="str">
        <x:v>12 Gépészet</x:v>
      </x:c>
      <x:c r="C182" s="19" t="str">
        <x:v>Víz, csatorna és szaniter</x:v>
      </x:c>
      <x:c r="D182" s="19" t="str">
        <x:v>Mindegyik</x:v>
      </x:c>
      <x:c r="E182" s="19" t="str">
        <x:v>Ötrétegű cső 16×2</x:v>
      </x:c>
      <x:c r="F182" s="19" t="str">
        <x:v>ivóvíz/fűtés</x:v>
      </x:c>
      <x:c r="G182" s="19" t="str">
        <x:v>fm</x:v>
      </x:c>
      <x:c r="H182" s="203" t="n">
        <x:v>275</x:v>
      </x:c>
      <x:c r="I182" s="204" t="n">
        <x:v>0.27</x:v>
      </x:c>
      <x:c r="J182" s="203" t="n">
        <x:f>IFERROR(H182/(1+I182),"")</x:f>
        <x:v>216.53543307086613</x:v>
      </x:c>
      <x:c r="K182" s="205" t="n">
        <x:v>0.22</x:v>
      </x:c>
      <x:c r="L182" s="203" t="n">
        <x:f>IFERROR(J182*(1-K182),"")</x:f>
        <x:v>168.89763779527559</x:v>
      </x:c>
      <x:c r="M182" s="19" t="str">
        <x:v>27% normál belföldi</x:v>
      </x:c>
      <x:c r="N182" s="204" t="n">
        <x:v>0.27</x:v>
      </x:c>
      <x:c r="O182" s="204" t="n">
        <x:v>0</x:v>
      </x:c>
      <x:c r="P182" s="19" t="str">
        <x:v>NEM</x:v>
      </x:c>
      <x:c r="Q182" s="203" t="n">
        <x:f>IFERROR(L182*(1+N182),"")</x:f>
        <x:v>214.5</x:v>
      </x:c>
      <x:c r="R182" s="205" t="n">
        <x:v>0.08</x:v>
      </x:c>
      <x:c r="S182" s="203" t="n">
        <x:f>IFERROR(Q182*(1+R182),"")</x:f>
        <x:v>231.66000000000003</x:v>
      </x:c>
      <x:c r="T182" s="206" t="n">
        <x:v>12</x:v>
      </x:c>
      <x:c r="U182" s="206" t="n">
        <x:v>0</x:v>
      </x:c>
      <x:c r="V182" s="203" t="n">
        <x:f>IFERROR(S182+T182+U182,"")</x:f>
        <x:v>243.66000000000003</x:v>
      </x:c>
      <x:c r="W182" s="203" t="n">
        <x:f>IFERROR(H182/(1+Anyag_Beallitasok!$B$2)*Anyag_Beallitasok!$B$9,"")</x:f>
        <x:v>261.90476190476187</x:v>
      </x:c>
      <x:c r="X182" s="203" t="n">
        <x:f>IFERROR(V182/((1-Anyag_Beallitasok!$B$3)*(1+Anyag_Beallitasok!$B$2)),"")</x:f>
        <x:v>357.01098901098896</x:v>
      </x:c>
      <x:c r="Y182" s="203" t="n">
        <x:f>IFERROR(V182/((1-Anyag_Beallitasok!$B$4)*(1+Anyag_Beallitasok!$B$2)),"")</x:f>
        <x:v>464.11428571428576</x:v>
      </x:c>
      <x:c r="Z182" s="203" t="n">
        <x:f>IFERROR(ROUNDUP(MAX(W182,X182)/Anyag_Beallitasok!$B$6,0)*Anyag_Beallitasok!$B$6,"")</x:f>
        <x:v>400</x:v>
      </x:c>
      <x:c r="AA182" s="204" t="n">
        <x:f>Anyag_Beallitasok!$B$2</x:f>
        <x:v>0.05</x:v>
      </x:c>
      <x:c r="AB182" s="203" t="n">
        <x:f>IFERROR(Z182*(1+AA182),"")</x:f>
        <x:v>420</x:v>
      </x:c>
      <x:c r="AC182" s="204" t="n">
        <x:f>IFERROR(1-V182/H182,"")</x:f>
        <x:v>0.11396363636363627</x:v>
      </x:c>
      <x:c r="AD182" s="204" t="n">
        <x:f>IFERROR(1-V182/AB182,"")</x:f>
        <x:v>0.4198571428571428</x:v>
      </x:c>
      <x:c r="AE182" s="19" t="str">
        <x:f>IF(AC182&lt;Anyag_Beallitasok!$B$3,"NEM ÉRI EL A 35%-OT",IF(AC182&lt;Anyag_Beallitasok!$B$4,"MINIMUM 35–49,9%",IF(AC182&lt;Anyag_Beallitasok!$B$5,"IDEÁLIS 50–59,9%","KIEMELKEDŐ ≥60%")))</x:f>
        <x:v>NEM ÉRI EL A 35%-OT</x:v>
      </x:c>
      <x:c r="AF182" s="204" t="n">
        <x:f>IFERROR(AB182/H182-1,"")</x:f>
        <x:v>0.5272727272727273</x:v>
      </x:c>
      <x:c r="AG182" s="19" t="str">
        <x:f>IF(AND(P182="IGEN",O182&gt;0),IF(AF182&gt;Anyag_Beallitasok!$B$10,"0%-OS SZÁMLA + ÖNADÓZÁS; FELÁR SZÜKSÉGES","0%-OS SZÁMLA + ÖNADÓZÁS"),IF(AF182&gt;Anyag_Beallitasok!$B$10,"FELÁR SZÜKSÉGES A 35%-HOZ",IF(AC182&lt;Anyag_Beallitasok!$B$3,"PIACI ÁRON NEM TARTHATÓ A 35%","OK")))</x:f>
        <x:v>FELÁR SZÜKSÉGES A 35%-HOZ</x:v>
      </x:c>
      <x:c r="AH182" s="207" t="n">
        <x:v>500</x:v>
      </x:c>
      <x:c r="AI182" s="207" t="n">
        <x:v>500</x:v>
      </x:c>
      <x:c r="AJ182" s="207" t="n">
        <x:v>500</x:v>
      </x:c>
      <x:c r="AK182" s="208"/>
      <x:c r="AL182" s="203" t="str">
        <x:f>IF(AK182="","",V182*AK182)</x:f>
      </x:c>
      <x:c r="AM182" s="203" t="str">
        <x:f>IF(AK182="","",AB182*AK182)</x:f>
      </x:c>
      <x:c r="AN182" s="204" t="str">
        <x:f>IFERROR(1-AL182/AM182,"")</x:f>
      </x:c>
      <x:c r="AO182" s="19" t="str">
        <x:v>https://www.argep.hu/trend/16OE/16-oetretegue-csoe-ar.html</x:v>
      </x:c>
      <x:c r="AP182" s="19" t="str">
        <x:v>Közvetlen 2026 webár</x:v>
      </x:c>
      <x:c r="AQ182" s="19" t="str"/>
    </x:row>
    <x:row r="183">
      <x:c r="A183" s="19" t="str">
        <x:v>ANY-0182</x:v>
      </x:c>
      <x:c r="B183" s="19" t="str">
        <x:v>12 Gépészet</x:v>
      </x:c>
      <x:c r="C183" s="19" t="str">
        <x:v>Víz, csatorna és szaniter</x:v>
      </x:c>
      <x:c r="D183" s="19" t="str">
        <x:v>Mindegyik</x:v>
      </x:c>
      <x:c r="E183" s="19" t="str">
        <x:v>Ötrétegű cső 20×2</x:v>
      </x:c>
      <x:c r="F183" s="19" t="str">
        <x:v>gerincvezeték</x:v>
      </x:c>
      <x:c r="G183" s="19" t="str">
        <x:v>fm</x:v>
      </x:c>
      <x:c r="H183" s="203" t="n">
        <x:v>480</x:v>
      </x:c>
      <x:c r="I183" s="204" t="n">
        <x:v>0.27</x:v>
      </x:c>
      <x:c r="J183" s="203" t="n">
        <x:f>IFERROR(H183/(1+I183),"")</x:f>
        <x:v>377.9527559055118</x:v>
      </x:c>
      <x:c r="K183" s="205" t="n">
        <x:v>0.22</x:v>
      </x:c>
      <x:c r="L183" s="203" t="n">
        <x:f>IFERROR(J183*(1-K183),"")</x:f>
        <x:v>294.80314960629926</x:v>
      </x:c>
      <x:c r="M183" s="19" t="str">
        <x:v>27% normál belföldi</x:v>
      </x:c>
      <x:c r="N183" s="204" t="n">
        <x:v>0.27</x:v>
      </x:c>
      <x:c r="O183" s="204" t="n">
        <x:v>0</x:v>
      </x:c>
      <x:c r="P183" s="19" t="str">
        <x:v>NEM</x:v>
      </x:c>
      <x:c r="Q183" s="203" t="n">
        <x:f>IFERROR(L183*(1+N183),"")</x:f>
        <x:v>374.40000000000003</x:v>
      </x:c>
      <x:c r="R183" s="205" t="n">
        <x:v>0.08</x:v>
      </x:c>
      <x:c r="S183" s="203" t="n">
        <x:f>IFERROR(Q183*(1+R183),"")</x:f>
        <x:v>404.3520000000001</x:v>
      </x:c>
      <x:c r="T183" s="206" t="n">
        <x:v>15</x:v>
      </x:c>
      <x:c r="U183" s="206" t="n">
        <x:v>0</x:v>
      </x:c>
      <x:c r="V183" s="203" t="n">
        <x:f>IFERROR(S183+T183+U183,"")</x:f>
        <x:v>419.3520000000001</x:v>
      </x:c>
      <x:c r="W183" s="203" t="n">
        <x:f>IFERROR(H183/(1+Anyag_Beallitasok!$B$2)*Anyag_Beallitasok!$B$9,"")</x:f>
        <x:v>457.1428571428571</x:v>
      </x:c>
      <x:c r="X183" s="203" t="n">
        <x:f>IFERROR(V183/((1-Anyag_Beallitasok!$B$3)*(1+Anyag_Beallitasok!$B$2)),"")</x:f>
        <x:v>614.4351648351649</x:v>
      </x:c>
      <x:c r="Y183" s="203" t="n">
        <x:f>IFERROR(V183/((1-Anyag_Beallitasok!$B$4)*(1+Anyag_Beallitasok!$B$2)),"")</x:f>
        <x:v>798.7657142857145</x:v>
      </x:c>
      <x:c r="Z183" s="203" t="n">
        <x:f>IFERROR(ROUNDUP(MAX(W183,X183)/Anyag_Beallitasok!$B$6,0)*Anyag_Beallitasok!$B$6,"")</x:f>
        <x:v>650</x:v>
      </x:c>
      <x:c r="AA183" s="204" t="n">
        <x:f>Anyag_Beallitasok!$B$2</x:f>
        <x:v>0.05</x:v>
      </x:c>
      <x:c r="AB183" s="203" t="n">
        <x:f>IFERROR(Z183*(1+AA183),"")</x:f>
        <x:v>682.5</x:v>
      </x:c>
      <x:c r="AC183" s="204" t="n">
        <x:f>IFERROR(1-V183/H183,"")</x:f>
        <x:v>0.12634999999999985</x:v>
      </x:c>
      <x:c r="AD183" s="204" t="n">
        <x:f>IFERROR(1-V183/AB183,"")</x:f>
        <x:v>0.3855648351648351</x:v>
      </x:c>
      <x:c r="AE183" s="19" t="str">
        <x:f>IF(AC183&lt;Anyag_Beallitasok!$B$3,"NEM ÉRI EL A 35%-OT",IF(AC183&lt;Anyag_Beallitasok!$B$4,"MINIMUM 35–49,9%",IF(AC183&lt;Anyag_Beallitasok!$B$5,"IDEÁLIS 50–59,9%","KIEMELKEDŐ ≥60%")))</x:f>
        <x:v>NEM ÉRI EL A 35%-OT</x:v>
      </x:c>
      <x:c r="AF183" s="204" t="n">
        <x:f>IFERROR(AB183/H183-1,"")</x:f>
        <x:v>0.421875</x:v>
      </x:c>
      <x:c r="AG183" s="19" t="str">
        <x:f>IF(AND(P183="IGEN",O183&gt;0),IF(AF183&gt;Anyag_Beallitasok!$B$10,"0%-OS SZÁMLA + ÖNADÓZÁS; FELÁR SZÜKSÉGES","0%-OS SZÁMLA + ÖNADÓZÁS"),IF(AF183&gt;Anyag_Beallitasok!$B$10,"FELÁR SZÜKSÉGES A 35%-HOZ",IF(AC183&lt;Anyag_Beallitasok!$B$3,"PIACI ÁRON NEM TARTHATÓ A 35%","OK")))</x:f>
        <x:v>FELÁR SZÜKSÉGES A 35%-HOZ</x:v>
      </x:c>
      <x:c r="AH183" s="207" t="n">
        <x:v>140</x:v>
      </x:c>
      <x:c r="AI183" s="207" t="n">
        <x:v>140</x:v>
      </x:c>
      <x:c r="AJ183" s="207" t="n">
        <x:v>140</x:v>
      </x:c>
      <x:c r="AK183" s="208"/>
      <x:c r="AL183" s="203" t="str">
        <x:f>IF(AK183="","",V183*AK183)</x:f>
      </x:c>
      <x:c r="AM183" s="203" t="str">
        <x:f>IF(AK183="","",AB183*AK183)</x:f>
      </x:c>
      <x:c r="AN183" s="204" t="str">
        <x:f>IFERROR(1-AL183/AM183,"")</x:f>
      </x:c>
      <x:c r="AO183" s="19" t="str">
        <x:v>https://www.argep.hu/trend/16OE/16-oetretegue-csoe-ar.html</x:v>
      </x:c>
      <x:c r="AP183" s="19" t="str">
        <x:v>2026 termékcsalád becslés</x:v>
      </x:c>
      <x:c r="AQ183" s="19" t="str"/>
    </x:row>
    <x:row r="184">
      <x:c r="A184" s="19" t="str">
        <x:v>ANY-0183</x:v>
      </x:c>
      <x:c r="B184" s="19" t="str">
        <x:v>12 Gépészet</x:v>
      </x:c>
      <x:c r="C184" s="19" t="str">
        <x:v>Víz, csatorna és szaniter</x:v>
      </x:c>
      <x:c r="D184" s="19" t="str">
        <x:v>Mindegyik</x:v>
      </x:c>
      <x:c r="E184" s="19" t="str">
        <x:v>Ötrétegű cső 26×3</x:v>
      </x:c>
      <x:c r="F184" s="19" t="str">
        <x:v>fővezeték</x:v>
      </x:c>
      <x:c r="G184" s="19" t="str">
        <x:v>fm</x:v>
      </x:c>
      <x:c r="H184" s="203" t="n">
        <x:v>950</x:v>
      </x:c>
      <x:c r="I184" s="204" t="n">
        <x:v>0.27</x:v>
      </x:c>
      <x:c r="J184" s="203" t="n">
        <x:f>IFERROR(H184/(1+I184),"")</x:f>
        <x:v>748.0314960629921</x:v>
      </x:c>
      <x:c r="K184" s="205" t="n">
        <x:v>0.22</x:v>
      </x:c>
      <x:c r="L184" s="203" t="n">
        <x:f>IFERROR(J184*(1-K184),"")</x:f>
        <x:v>583.4645669291339</x:v>
      </x:c>
      <x:c r="M184" s="19" t="str">
        <x:v>27% normál belföldi</x:v>
      </x:c>
      <x:c r="N184" s="204" t="n">
        <x:v>0.27</x:v>
      </x:c>
      <x:c r="O184" s="204" t="n">
        <x:v>0</x:v>
      </x:c>
      <x:c r="P184" s="19" t="str">
        <x:v>NEM</x:v>
      </x:c>
      <x:c r="Q184" s="203" t="n">
        <x:f>IFERROR(L184*(1+N184),"")</x:f>
        <x:v>741</x:v>
      </x:c>
      <x:c r="R184" s="205" t="n">
        <x:v>0.08</x:v>
      </x:c>
      <x:c r="S184" s="203" t="n">
        <x:f>IFERROR(Q184*(1+R184),"")</x:f>
        <x:v>800.2800000000001</x:v>
      </x:c>
      <x:c r="T184" s="206" t="n">
        <x:v>20</x:v>
      </x:c>
      <x:c r="U184" s="206" t="n">
        <x:v>0</x:v>
      </x:c>
      <x:c r="V184" s="203" t="n">
        <x:f>IFERROR(S184+T184+U184,"")</x:f>
        <x:v>820.2800000000001</x:v>
      </x:c>
      <x:c r="W184" s="203" t="n">
        <x:f>IFERROR(H184/(1+Anyag_Beallitasok!$B$2)*Anyag_Beallitasok!$B$9,"")</x:f>
        <x:v>904.7619047619047</x:v>
      </x:c>
      <x:c r="X184" s="203" t="n">
        <x:f>IFERROR(V184/((1-Anyag_Beallitasok!$B$3)*(1+Anyag_Beallitasok!$B$2)),"")</x:f>
        <x:v>1201.8754578754579</x:v>
      </x:c>
      <x:c r="Y184" s="203" t="n">
        <x:f>IFERROR(V184/((1-Anyag_Beallitasok!$B$4)*(1+Anyag_Beallitasok!$B$2)),"")</x:f>
        <x:v>1562.4380952380952</x:v>
      </x:c>
      <x:c r="Z184" s="203" t="n">
        <x:f>IFERROR(ROUNDUP(MAX(W184,X184)/Anyag_Beallitasok!$B$6,0)*Anyag_Beallitasok!$B$6,"")</x:f>
        <x:v>1250</x:v>
      </x:c>
      <x:c r="AA184" s="204" t="n">
        <x:f>Anyag_Beallitasok!$B$2</x:f>
        <x:v>0.05</x:v>
      </x:c>
      <x:c r="AB184" s="203" t="n">
        <x:f>IFERROR(Z184*(1+AA184),"")</x:f>
        <x:v>1312.5</x:v>
      </x:c>
      <x:c r="AC184" s="204" t="n">
        <x:f>IFERROR(1-V184/H184,"")</x:f>
        <x:v>0.13654736842105253</x:v>
      </x:c>
      <x:c r="AD184" s="204" t="n">
        <x:f>IFERROR(1-V184/AB184,"")</x:f>
        <x:v>0.37502476190476186</x:v>
      </x:c>
      <x:c r="AE184" s="19" t="str">
        <x:f>IF(AC184&lt;Anyag_Beallitasok!$B$3,"NEM ÉRI EL A 35%-OT",IF(AC184&lt;Anyag_Beallitasok!$B$4,"MINIMUM 35–49,9%",IF(AC184&lt;Anyag_Beallitasok!$B$5,"IDEÁLIS 50–59,9%","KIEMELKEDŐ ≥60%")))</x:f>
        <x:v>NEM ÉRI EL A 35%-OT</x:v>
      </x:c>
      <x:c r="AF184" s="204" t="n">
        <x:f>IFERROR(AB184/H184-1,"")</x:f>
        <x:v>0.381578947368421</x:v>
      </x:c>
      <x:c r="AG184" s="19" t="str">
        <x:f>IF(AND(P184="IGEN",O184&gt;0),IF(AF184&gt;Anyag_Beallitasok!$B$10,"0%-OS SZÁMLA + ÖNADÓZÁS; FELÁR SZÜKSÉGES","0%-OS SZÁMLA + ÖNADÓZÁS"),IF(AF184&gt;Anyag_Beallitasok!$B$10,"FELÁR SZÜKSÉGES A 35%-HOZ",IF(AC184&lt;Anyag_Beallitasok!$B$3,"PIACI ÁRON NEM TARTHATÓ A 35%","OK")))</x:f>
        <x:v>FELÁR SZÜKSÉGES A 35%-HOZ</x:v>
      </x:c>
      <x:c r="AH184" s="207" t="n">
        <x:v>60</x:v>
      </x:c>
      <x:c r="AI184" s="207" t="n">
        <x:v>60</x:v>
      </x:c>
      <x:c r="AJ184" s="207" t="n">
        <x:v>60</x:v>
      </x:c>
      <x:c r="AK184" s="208"/>
      <x:c r="AL184" s="203" t="str">
        <x:f>IF(AK184="","",V184*AK184)</x:f>
      </x:c>
      <x:c r="AM184" s="203" t="str">
        <x:f>IF(AK184="","",AB184*AK184)</x:f>
      </x:c>
      <x:c r="AN184" s="204" t="str">
        <x:f>IFERROR(1-AL184/AM184,"")</x:f>
      </x:c>
      <x:c r="AO184" s="19" t="str">
        <x:v>https://www.argep.hu/trend/16OE/16-oetretegue-csoe-ar.html</x:v>
      </x:c>
      <x:c r="AP184" s="19" t="str">
        <x:v>2026 termékcsalád becslés</x:v>
      </x:c>
      <x:c r="AQ184" s="19" t="str"/>
    </x:row>
    <x:row r="185">
      <x:c r="A185" s="19" t="str">
        <x:v>ANY-0184</x:v>
      </x:c>
      <x:c r="B185" s="19" t="str">
        <x:v>12 Gépészet</x:v>
      </x:c>
      <x:c r="C185" s="19" t="str">
        <x:v>Víz, csatorna és szaniter</x:v>
      </x:c>
      <x:c r="D185" s="19" t="str">
        <x:v>Mindegyik</x:v>
      </x:c>
      <x:c r="E185" s="19" t="str">
        <x:v>Présidom 16 mm</x:v>
      </x:c>
      <x:c r="F185" s="19" t="str">
        <x:v>könyök/T/idom átlag</x:v>
      </x:c>
      <x:c r="G185" s="19" t="str">
        <x:v>db</x:v>
      </x:c>
      <x:c r="H185" s="203" t="n">
        <x:v>1800</x:v>
      </x:c>
      <x:c r="I185" s="204" t="n">
        <x:v>0.27</x:v>
      </x:c>
      <x:c r="J185" s="203" t="n">
        <x:f>IFERROR(H185/(1+I185),"")</x:f>
        <x:v>1417.3228346456692</x:v>
      </x:c>
      <x:c r="K185" s="205" t="n">
        <x:v>0.25</x:v>
      </x:c>
      <x:c r="L185" s="203" t="n">
        <x:f>IFERROR(J185*(1-K185),"")</x:f>
        <x:v>1062.992125984252</x:v>
      </x:c>
      <x:c r="M185" s="19" t="str">
        <x:v>27% normál belföldi</x:v>
      </x:c>
      <x:c r="N185" s="204" t="n">
        <x:v>0.27</x:v>
      </x:c>
      <x:c r="O185" s="204" t="n">
        <x:v>0</x:v>
      </x:c>
      <x:c r="P185" s="19" t="str">
        <x:v>NEM</x:v>
      </x:c>
      <x:c r="Q185" s="203" t="n">
        <x:f>IFERROR(L185*(1+N185),"")</x:f>
        <x:v>1350</x:v>
      </x:c>
      <x:c r="R185" s="205" t="n">
        <x:v>0.05</x:v>
      </x:c>
      <x:c r="S185" s="203" t="n">
        <x:f>IFERROR(Q185*(1+R185),"")</x:f>
        <x:v>1417.5</x:v>
      </x:c>
      <x:c r="T185" s="206" t="n">
        <x:v>30</x:v>
      </x:c>
      <x:c r="U185" s="206" t="n">
        <x:v>0</x:v>
      </x:c>
      <x:c r="V185" s="203" t="n">
        <x:f>IFERROR(S185+T185+U185,"")</x:f>
        <x:v>1447.5</x:v>
      </x:c>
      <x:c r="W185" s="203" t="n">
        <x:f>IFERROR(H185/(1+Anyag_Beallitasok!$B$2)*Anyag_Beallitasok!$B$9,"")</x:f>
        <x:v>1714.2857142857142</x:v>
      </x:c>
      <x:c r="X185" s="203" t="n">
        <x:f>IFERROR(V185/((1-Anyag_Beallitasok!$B$3)*(1+Anyag_Beallitasok!$B$2)),"")</x:f>
        <x:v>2120.8791208791204</x:v>
      </x:c>
      <x:c r="Y185" s="203" t="n">
        <x:f>IFERROR(V185/((1-Anyag_Beallitasok!$B$4)*(1+Anyag_Beallitasok!$B$2)),"")</x:f>
        <x:v>2757.142857142857</x:v>
      </x:c>
      <x:c r="Z185" s="203" t="n">
        <x:f>IFERROR(ROUNDUP(MAX(W185,X185)/Anyag_Beallitasok!$B$6,0)*Anyag_Beallitasok!$B$6,"")</x:f>
        <x:v>2150</x:v>
      </x:c>
      <x:c r="AA185" s="204" t="n">
        <x:f>Anyag_Beallitasok!$B$2</x:f>
        <x:v>0.05</x:v>
      </x:c>
      <x:c r="AB185" s="203" t="n">
        <x:f>IFERROR(Z185*(1+AA185),"")</x:f>
        <x:v>2257.5</x:v>
      </x:c>
      <x:c r="AC185" s="204" t="n">
        <x:f>IFERROR(1-V185/H185,"")</x:f>
        <x:v>0.1958333333333333</x:v>
      </x:c>
      <x:c r="AD185" s="204" t="n">
        <x:f>IFERROR(1-V185/AB185,"")</x:f>
        <x:v>0.3588039867109635</x:v>
      </x:c>
      <x:c r="AE185" s="19" t="str">
        <x:f>IF(AC185&lt;Anyag_Beallitasok!$B$3,"NEM ÉRI EL A 35%-OT",IF(AC185&lt;Anyag_Beallitasok!$B$4,"MINIMUM 35–49,9%",IF(AC185&lt;Anyag_Beallitasok!$B$5,"IDEÁLIS 50–59,9%","KIEMELKEDŐ ≥60%")))</x:f>
        <x:v>NEM ÉRI EL A 35%-OT</x:v>
      </x:c>
      <x:c r="AF185" s="204" t="n">
        <x:f>IFERROR(AB185/H185-1,"")</x:f>
        <x:v>0.25416666666666665</x:v>
      </x:c>
      <x:c r="AG185" s="19" t="str">
        <x:f>IF(AND(P185="IGEN",O185&gt;0),IF(AF185&gt;Anyag_Beallitasok!$B$10,"0%-OS SZÁMLA + ÖNADÓZÁS; FELÁR SZÜKSÉGES","0%-OS SZÁMLA + ÖNADÓZÁS"),IF(AF185&gt;Anyag_Beallitasok!$B$10,"FELÁR SZÜKSÉGES A 35%-HOZ",IF(AC185&lt;Anyag_Beallitasok!$B$3,"PIACI ÁRON NEM TARTHATÓ A 35%","OK")))</x:f>
        <x:v>FELÁR SZÜKSÉGES A 35%-HOZ</x:v>
      </x:c>
      <x:c r="AH185" s="207" t="n">
        <x:v>120</x:v>
      </x:c>
      <x:c r="AI185" s="207" t="n">
        <x:v>120</x:v>
      </x:c>
      <x:c r="AJ185" s="207" t="n">
        <x:v>120</x:v>
      </x:c>
      <x:c r="AK185" s="208"/>
      <x:c r="AL185" s="203" t="str">
        <x:f>IF(AK185="","",V185*AK185)</x:f>
      </x:c>
      <x:c r="AM185" s="203" t="str">
        <x:f>IF(AK185="","",AB185*AK185)</x:f>
      </x:c>
      <x:c r="AN185" s="204" t="str">
        <x:f>IFERROR(1-AL185/AM185,"")</x:f>
      </x:c>
      <x:c r="AO185" s="19" t="str">
        <x:v>https://www.argep.hu/trend/16OE/16-oetretegue-csoe-ar.html</x:v>
      </x:c>
      <x:c r="AP185" s="19" t="str">
        <x:v>2026 piaci becslés</x:v>
      </x:c>
      <x:c r="AQ185" s="19" t="str"/>
    </x:row>
    <x:row r="186">
      <x:c r="A186" s="19" t="str">
        <x:v>ANY-0185</x:v>
      </x:c>
      <x:c r="B186" s="19" t="str">
        <x:v>12 Gépészet</x:v>
      </x:c>
      <x:c r="C186" s="19" t="str">
        <x:v>Víz, csatorna és szaniter</x:v>
      </x:c>
      <x:c r="D186" s="19" t="str">
        <x:v>Mindegyik</x:v>
      </x:c>
      <x:c r="E186" s="19" t="str">
        <x:v>Présidom 20 mm</x:v>
      </x:c>
      <x:c r="F186" s="19" t="str">
        <x:v>könyök/T/idom átlag</x:v>
      </x:c>
      <x:c r="G186" s="19" t="str">
        <x:v>db</x:v>
      </x:c>
      <x:c r="H186" s="203" t="n">
        <x:v>2600</x:v>
      </x:c>
      <x:c r="I186" s="204" t="n">
        <x:v>0.27</x:v>
      </x:c>
      <x:c r="J186" s="203" t="n">
        <x:f>IFERROR(H186/(1+I186),"")</x:f>
        <x:v>2047.244094488189</x:v>
      </x:c>
      <x:c r="K186" s="205" t="n">
        <x:v>0.25</x:v>
      </x:c>
      <x:c r="L186" s="203" t="n">
        <x:f>IFERROR(J186*(1-K186),"")</x:f>
        <x:v>1535.4330708661416</x:v>
      </x:c>
      <x:c r="M186" s="19" t="str">
        <x:v>27% normál belföldi</x:v>
      </x:c>
      <x:c r="N186" s="204" t="n">
        <x:v>0.27</x:v>
      </x:c>
      <x:c r="O186" s="204" t="n">
        <x:v>0</x:v>
      </x:c>
      <x:c r="P186" s="19" t="str">
        <x:v>NEM</x:v>
      </x:c>
      <x:c r="Q186" s="203" t="n">
        <x:f>IFERROR(L186*(1+N186),"")</x:f>
        <x:v>1950</x:v>
      </x:c>
      <x:c r="R186" s="205" t="n">
        <x:v>0.05</x:v>
      </x:c>
      <x:c r="S186" s="203" t="n">
        <x:f>IFERROR(Q186*(1+R186),"")</x:f>
        <x:v>2047.5</x:v>
      </x:c>
      <x:c r="T186" s="206" t="n">
        <x:v>35</x:v>
      </x:c>
      <x:c r="U186" s="206" t="n">
        <x:v>0</x:v>
      </x:c>
      <x:c r="V186" s="203" t="n">
        <x:f>IFERROR(S186+T186+U186,"")</x:f>
        <x:v>2082.5</x:v>
      </x:c>
      <x:c r="W186" s="203" t="n">
        <x:f>IFERROR(H186/(1+Anyag_Beallitasok!$B$2)*Anyag_Beallitasok!$B$9,"")</x:f>
        <x:v>2476.190476190476</x:v>
      </x:c>
      <x:c r="X186" s="203" t="n">
        <x:f>IFERROR(V186/((1-Anyag_Beallitasok!$B$3)*(1+Anyag_Beallitasok!$B$2)),"")</x:f>
        <x:v>3051.282051282051</x:v>
      </x:c>
      <x:c r="Y186" s="203" t="n">
        <x:f>IFERROR(V186/((1-Anyag_Beallitasok!$B$4)*(1+Anyag_Beallitasok!$B$2)),"")</x:f>
        <x:v>3966.6666666666665</x:v>
      </x:c>
      <x:c r="Z186" s="203" t="n">
        <x:f>IFERROR(ROUNDUP(MAX(W186,X186)/Anyag_Beallitasok!$B$6,0)*Anyag_Beallitasok!$B$6,"")</x:f>
        <x:v>3100</x:v>
      </x:c>
      <x:c r="AA186" s="204" t="n">
        <x:f>Anyag_Beallitasok!$B$2</x:f>
        <x:v>0.05</x:v>
      </x:c>
      <x:c r="AB186" s="203" t="n">
        <x:f>IFERROR(Z186*(1+AA186),"")</x:f>
        <x:v>3255</x:v>
      </x:c>
      <x:c r="AC186" s="204" t="n">
        <x:f>IFERROR(1-V186/H186,"")</x:f>
        <x:v>0.1990384615384615</x:v>
      </x:c>
      <x:c r="AD186" s="204" t="n">
        <x:f>IFERROR(1-V186/AB186,"")</x:f>
        <x:v>0.3602150537634409</x:v>
      </x:c>
      <x:c r="AE186" s="19" t="str">
        <x:f>IF(AC186&lt;Anyag_Beallitasok!$B$3,"NEM ÉRI EL A 35%-OT",IF(AC186&lt;Anyag_Beallitasok!$B$4,"MINIMUM 35–49,9%",IF(AC186&lt;Anyag_Beallitasok!$B$5,"IDEÁLIS 50–59,9%","KIEMELKEDŐ ≥60%")))</x:f>
        <x:v>NEM ÉRI EL A 35%-OT</x:v>
      </x:c>
      <x:c r="AF186" s="204" t="n">
        <x:f>IFERROR(AB186/H186-1,"")</x:f>
        <x:v>0.2519230769230769</x:v>
      </x:c>
      <x:c r="AG186" s="19" t="str">
        <x:f>IF(AND(P186="IGEN",O186&gt;0),IF(AF186&gt;Anyag_Beallitasok!$B$10,"0%-OS SZÁMLA + ÖNADÓZÁS; FELÁR SZÜKSÉGES","0%-OS SZÁMLA + ÖNADÓZÁS"),IF(AF186&gt;Anyag_Beallitasok!$B$10,"FELÁR SZÜKSÉGES A 35%-HOZ",IF(AC186&lt;Anyag_Beallitasok!$B$3,"PIACI ÁRON NEM TARTHATÓ A 35%","OK")))</x:f>
        <x:v>FELÁR SZÜKSÉGES A 35%-HOZ</x:v>
      </x:c>
      <x:c r="AH186" s="207" t="n">
        <x:v>60</x:v>
      </x:c>
      <x:c r="AI186" s="207" t="n">
        <x:v>60</x:v>
      </x:c>
      <x:c r="AJ186" s="207" t="n">
        <x:v>60</x:v>
      </x:c>
      <x:c r="AK186" s="208"/>
      <x:c r="AL186" s="203" t="str">
        <x:f>IF(AK186="","",V186*AK186)</x:f>
      </x:c>
      <x:c r="AM186" s="203" t="str">
        <x:f>IF(AK186="","",AB186*AK186)</x:f>
      </x:c>
      <x:c r="AN186" s="204" t="str">
        <x:f>IFERROR(1-AL186/AM186,"")</x:f>
      </x:c>
      <x:c r="AO186" s="19" t="str">
        <x:v>https://www.argep.hu/trend/16OE/16-oetretegue-csoe-ar.html</x:v>
      </x:c>
      <x:c r="AP186" s="19" t="str">
        <x:v>2026 piaci becslés</x:v>
      </x:c>
      <x:c r="AQ186" s="19" t="str"/>
    </x:row>
    <x:row r="187">
      <x:c r="A187" s="19" t="str">
        <x:v>ANY-0186</x:v>
      </x:c>
      <x:c r="B187" s="19" t="str">
        <x:v>12 Gépészet</x:v>
      </x:c>
      <x:c r="C187" s="19" t="str">
        <x:v>Víz, csatorna és szaniter</x:v>
      </x:c>
      <x:c r="D187" s="19" t="str">
        <x:v>Mindegyik</x:v>
      </x:c>
      <x:c r="E187" s="19" t="str">
        <x:v>Csőhéj szigetelés 16–20 mm</x:v>
      </x:c>
      <x:c r="F187" s="19" t="str">
        <x:v>9 mm falvastagság</x:v>
      </x:c>
      <x:c r="G187" s="19" t="str">
        <x:v>fm</x:v>
      </x:c>
      <x:c r="H187" s="203" t="n">
        <x:v>380</x:v>
      </x:c>
      <x:c r="I187" s="204" t="n">
        <x:v>0.27</x:v>
      </x:c>
      <x:c r="J187" s="203" t="n">
        <x:f>IFERROR(H187/(1+I187),"")</x:f>
        <x:v>299.21259842519686</x:v>
      </x:c>
      <x:c r="K187" s="205" t="n">
        <x:v>0.2</x:v>
      </x:c>
      <x:c r="L187" s="203" t="n">
        <x:f>IFERROR(J187*(1-K187),"")</x:f>
        <x:v>239.3700787401575</x:v>
      </x:c>
      <x:c r="M187" s="19" t="str">
        <x:v>27% normál belföldi</x:v>
      </x:c>
      <x:c r="N187" s="204" t="n">
        <x:v>0.27</x:v>
      </x:c>
      <x:c r="O187" s="204" t="n">
        <x:v>0</x:v>
      </x:c>
      <x:c r="P187" s="19" t="str">
        <x:v>NEM</x:v>
      </x:c>
      <x:c r="Q187" s="203" t="n">
        <x:f>IFERROR(L187*(1+N187),"")</x:f>
        <x:v>304.00000000000006</x:v>
      </x:c>
      <x:c r="R187" s="205" t="n">
        <x:v>0.1</x:v>
      </x:c>
      <x:c r="S187" s="203" t="n">
        <x:f>IFERROR(Q187*(1+R187),"")</x:f>
        <x:v>334.4000000000001</x:v>
      </x:c>
      <x:c r="T187" s="206" t="n">
        <x:v>12</x:v>
      </x:c>
      <x:c r="U187" s="206" t="n">
        <x:v>0</x:v>
      </x:c>
      <x:c r="V187" s="203" t="n">
        <x:f>IFERROR(S187+T187+U187,"")</x:f>
        <x:v>346.4000000000001</x:v>
      </x:c>
      <x:c r="W187" s="203" t="n">
        <x:f>IFERROR(H187/(1+Anyag_Beallitasok!$B$2)*Anyag_Beallitasok!$B$9,"")</x:f>
        <x:v>361.90476190476187</x:v>
      </x:c>
      <x:c r="X187" s="203" t="n">
        <x:f>IFERROR(V187/((1-Anyag_Beallitasok!$B$3)*(1+Anyag_Beallitasok!$B$2)),"")</x:f>
        <x:v>507.5457875457876</x:v>
      </x:c>
      <x:c r="Y187" s="203" t="n">
        <x:f>IFERROR(V187/((1-Anyag_Beallitasok!$B$4)*(1+Anyag_Beallitasok!$B$2)),"")</x:f>
        <x:v>659.809523809524</x:v>
      </x:c>
      <x:c r="Z187" s="203" t="n">
        <x:f>IFERROR(ROUNDUP(MAX(W187,X187)/Anyag_Beallitasok!$B$6,0)*Anyag_Beallitasok!$B$6,"")</x:f>
        <x:v>550</x:v>
      </x:c>
      <x:c r="AA187" s="204" t="n">
        <x:f>Anyag_Beallitasok!$B$2</x:f>
        <x:v>0.05</x:v>
      </x:c>
      <x:c r="AB187" s="203" t="n">
        <x:f>IFERROR(Z187*(1+AA187),"")</x:f>
        <x:v>577.5</x:v>
      </x:c>
      <x:c r="AC187" s="204" t="n">
        <x:f>IFERROR(1-V187/H187,"")</x:f>
        <x:v>0.08842105263157873</x:v>
      </x:c>
      <x:c r="AD187" s="204" t="n">
        <x:f>IFERROR(1-V187/AB187,"")</x:f>
        <x:v>0.40017316017316007</x:v>
      </x:c>
      <x:c r="AE187" s="19" t="str">
        <x:f>IF(AC187&lt;Anyag_Beallitasok!$B$3,"NEM ÉRI EL A 35%-OT",IF(AC187&lt;Anyag_Beallitasok!$B$4,"MINIMUM 35–49,9%",IF(AC187&lt;Anyag_Beallitasok!$B$5,"IDEÁLIS 50–59,9%","KIEMELKEDŐ ≥60%")))</x:f>
        <x:v>NEM ÉRI EL A 35%-OT</x:v>
      </x:c>
      <x:c r="AF187" s="204" t="n">
        <x:f>IFERROR(AB187/H187-1,"")</x:f>
        <x:v>0.519736842105263</x:v>
      </x:c>
      <x:c r="AG187" s="19" t="str">
        <x:f>IF(AND(P187="IGEN",O187&gt;0),IF(AF187&gt;Anyag_Beallitasok!$B$10,"0%-OS SZÁMLA + ÖNADÓZÁS; FELÁR SZÜKSÉGES","0%-OS SZÁMLA + ÖNADÓZÁS"),IF(AF187&gt;Anyag_Beallitasok!$B$10,"FELÁR SZÜKSÉGES A 35%-HOZ",IF(AC187&lt;Anyag_Beallitasok!$B$3,"PIACI ÁRON NEM TARTHATÓ A 35%","OK")))</x:f>
        <x:v>FELÁR SZÜKSÉGES A 35%-HOZ</x:v>
      </x:c>
      <x:c r="AH187" s="207" t="n">
        <x:v>250</x:v>
      </x:c>
      <x:c r="AI187" s="207" t="n">
        <x:v>250</x:v>
      </x:c>
      <x:c r="AJ187" s="207" t="n">
        <x:v>250</x:v>
      </x:c>
      <x:c r="AK187" s="208"/>
      <x:c r="AL187" s="203" t="str">
        <x:f>IF(AK187="","",V187*AK187)</x:f>
      </x:c>
      <x:c r="AM187" s="203" t="str">
        <x:f>IF(AK187="","",AB187*AK187)</x:f>
      </x:c>
      <x:c r="AN187" s="204" t="str">
        <x:f>IFERROR(1-AL187/AM187,"")</x:f>
      </x:c>
      <x:c r="AO187" s="19" t="str">
        <x:v>https://www.argep.hu/trend/16OE/16-oetretegue-csoe-ar.html</x:v>
      </x:c>
      <x:c r="AP187" s="19" t="str">
        <x:v>2026 piaci becslés</x:v>
      </x:c>
      <x:c r="AQ187" s="19" t="str"/>
    </x:row>
    <x:row r="188">
      <x:c r="A188" s="19" t="str">
        <x:v>ANY-0187</x:v>
      </x:c>
      <x:c r="B188" s="19" t="str">
        <x:v>12 Gépészet</x:v>
      </x:c>
      <x:c r="C188" s="19" t="str">
        <x:v>Víz, csatorna és szaniter</x:v>
      </x:c>
      <x:c r="D188" s="19" t="str">
        <x:v>Mindegyik</x:v>
      </x:c>
      <x:c r="E188" s="19" t="str">
        <x:v>PVC lefolyócső DN50</x:v>
      </x:c>
      <x:c r="F188" s="19" t="str">
        <x:v>beltéri</x:v>
      </x:c>
      <x:c r="G188" s="19" t="str">
        <x:v>fm</x:v>
      </x:c>
      <x:c r="H188" s="203" t="n">
        <x:v>1450</x:v>
      </x:c>
      <x:c r="I188" s="204" t="n">
        <x:v>0.27</x:v>
      </x:c>
      <x:c r="J188" s="203" t="n">
        <x:f>IFERROR(H188/(1+I188),"")</x:f>
        <x:v>1141.732283464567</x:v>
      </x:c>
      <x:c r="K188" s="205" t="n">
        <x:v>0.2</x:v>
      </x:c>
      <x:c r="L188" s="203" t="n">
        <x:f>IFERROR(J188*(1-K188),"")</x:f>
        <x:v>913.3858267716537</x:v>
      </x:c>
      <x:c r="M188" s="19" t="str">
        <x:v>27% normál belföldi</x:v>
      </x:c>
      <x:c r="N188" s="204" t="n">
        <x:v>0.27</x:v>
      </x:c>
      <x:c r="O188" s="204" t="n">
        <x:v>0</x:v>
      </x:c>
      <x:c r="P188" s="19" t="str">
        <x:v>NEM</x:v>
      </x:c>
      <x:c r="Q188" s="203" t="n">
        <x:f>IFERROR(L188*(1+N188),"")</x:f>
        <x:v>1160.0000000000002</x:v>
      </x:c>
      <x:c r="R188" s="205" t="n">
        <x:v>0.08</x:v>
      </x:c>
      <x:c r="S188" s="203" t="n">
        <x:f>IFERROR(Q188*(1+R188),"")</x:f>
        <x:v>1252.8000000000004</x:v>
      </x:c>
      <x:c r="T188" s="206" t="n">
        <x:v>30</x:v>
      </x:c>
      <x:c r="U188" s="206" t="n">
        <x:v>0</x:v>
      </x:c>
      <x:c r="V188" s="203" t="n">
        <x:f>IFERROR(S188+T188+U188,"")</x:f>
        <x:v>1282.8000000000004</x:v>
      </x:c>
      <x:c r="W188" s="203" t="n">
        <x:f>IFERROR(H188/(1+Anyag_Beallitasok!$B$2)*Anyag_Beallitasok!$B$9,"")</x:f>
        <x:v>1380.952380952381</x:v>
      </x:c>
      <x:c r="X188" s="203" t="n">
        <x:f>IFERROR(V188/((1-Anyag_Beallitasok!$B$3)*(1+Anyag_Beallitasok!$B$2)),"")</x:f>
        <x:v>1879.5604395604398</x:v>
      </x:c>
      <x:c r="Y188" s="203" t="n">
        <x:f>IFERROR(V188/((1-Anyag_Beallitasok!$B$4)*(1+Anyag_Beallitasok!$B$2)),"")</x:f>
        <x:v>2443.428571428572</x:v>
      </x:c>
      <x:c r="Z188" s="203" t="n">
        <x:f>IFERROR(ROUNDUP(MAX(W188,X188)/Anyag_Beallitasok!$B$6,0)*Anyag_Beallitasok!$B$6,"")</x:f>
        <x:v>1900</x:v>
      </x:c>
      <x:c r="AA188" s="204" t="n">
        <x:f>Anyag_Beallitasok!$B$2</x:f>
        <x:v>0.05</x:v>
      </x:c>
      <x:c r="AB188" s="203" t="n">
        <x:f>IFERROR(Z188*(1+AA188),"")</x:f>
        <x:v>1995</x:v>
      </x:c>
      <x:c r="AC188" s="204" t="n">
        <x:f>IFERROR(1-V188/H188,"")</x:f>
        <x:v>0.11531034482758595</x:v>
      </x:c>
      <x:c r="AD188" s="204" t="n">
        <x:f>IFERROR(1-V188/AB188,"")</x:f>
        <x:v>0.3569924812030073</x:v>
      </x:c>
      <x:c r="AE188" s="19" t="str">
        <x:f>IF(AC188&lt;Anyag_Beallitasok!$B$3,"NEM ÉRI EL A 35%-OT",IF(AC188&lt;Anyag_Beallitasok!$B$4,"MINIMUM 35–49,9%",IF(AC188&lt;Anyag_Beallitasok!$B$5,"IDEÁLIS 50–59,9%","KIEMELKEDŐ ≥60%")))</x:f>
        <x:v>NEM ÉRI EL A 35%-OT</x:v>
      </x:c>
      <x:c r="AF188" s="204" t="n">
        <x:f>IFERROR(AB188/H188-1,"")</x:f>
        <x:v>0.3758620689655172</x:v>
      </x:c>
      <x:c r="AG188" s="19" t="str">
        <x:f>IF(AND(P188="IGEN",O188&gt;0),IF(AF188&gt;Anyag_Beallitasok!$B$10,"0%-OS SZÁMLA + ÖNADÓZÁS; FELÁR SZÜKSÉGES","0%-OS SZÁMLA + ÖNADÓZÁS"),IF(AF188&gt;Anyag_Beallitasok!$B$10,"FELÁR SZÜKSÉGES A 35%-HOZ",IF(AC188&lt;Anyag_Beallitasok!$B$3,"PIACI ÁRON NEM TARTHATÓ A 35%","OK")))</x:f>
        <x:v>FELÁR SZÜKSÉGES A 35%-HOZ</x:v>
      </x:c>
      <x:c r="AH188" s="207" t="n">
        <x:v>90</x:v>
      </x:c>
      <x:c r="AI188" s="207" t="n">
        <x:v>90</x:v>
      </x:c>
      <x:c r="AJ188" s="207" t="n">
        <x:v>90</x:v>
      </x:c>
      <x:c r="AK188" s="208"/>
      <x:c r="AL188" s="203" t="str">
        <x:f>IF(AK188="","",V188*AK188)</x:f>
      </x:c>
      <x:c r="AM188" s="203" t="str">
        <x:f>IF(AK188="","",AB188*AK188)</x:f>
      </x:c>
      <x:c r="AN188" s="204" t="str">
        <x:f>IFERROR(1-AL188/AM188,"")</x:f>
      </x:c>
      <x:c r="AO188" s="19" t="str">
        <x:v>https://www.argep.hu/trend/16OE/16-oetretegue-csoe-ar.html</x:v>
      </x:c>
      <x:c r="AP188" s="19" t="str">
        <x:v>2026 piaci becslés</x:v>
      </x:c>
      <x:c r="AQ188" s="19" t="str"/>
    </x:row>
    <x:row r="189">
      <x:c r="A189" s="19" t="str">
        <x:v>ANY-0188</x:v>
      </x:c>
      <x:c r="B189" s="19" t="str">
        <x:v>12 Gépészet</x:v>
      </x:c>
      <x:c r="C189" s="19" t="str">
        <x:v>Víz, csatorna és szaniter</x:v>
      </x:c>
      <x:c r="D189" s="19" t="str">
        <x:v>Mindegyik</x:v>
      </x:c>
      <x:c r="E189" s="19" t="str">
        <x:v>PVC lefolyócső DN110</x:v>
      </x:c>
      <x:c r="F189" s="19" t="str">
        <x:v>beltéri/kültéri</x:v>
      </x:c>
      <x:c r="G189" s="19" t="str">
        <x:v>fm</x:v>
      </x:c>
      <x:c r="H189" s="203" t="n">
        <x:v>3200</x:v>
      </x:c>
      <x:c r="I189" s="204" t="n">
        <x:v>0.27</x:v>
      </x:c>
      <x:c r="J189" s="203" t="n">
        <x:f>IFERROR(H189/(1+I189),"")</x:f>
        <x:v>2519.685039370079</x:v>
      </x:c>
      <x:c r="K189" s="205" t="n">
        <x:v>0.2</x:v>
      </x:c>
      <x:c r="L189" s="203" t="n">
        <x:f>IFERROR(J189*(1-K189),"")</x:f>
        <x:v>2015.748031496063</x:v>
      </x:c>
      <x:c r="M189" s="19" t="str">
        <x:v>27% normál belföldi</x:v>
      </x:c>
      <x:c r="N189" s="204" t="n">
        <x:v>0.27</x:v>
      </x:c>
      <x:c r="O189" s="204" t="n">
        <x:v>0</x:v>
      </x:c>
      <x:c r="P189" s="19" t="str">
        <x:v>NEM</x:v>
      </x:c>
      <x:c r="Q189" s="203" t="n">
        <x:f>IFERROR(L189*(1+N189),"")</x:f>
        <x:v>2560</x:v>
      </x:c>
      <x:c r="R189" s="205" t="n">
        <x:v>0.08</x:v>
      </x:c>
      <x:c r="S189" s="203" t="n">
        <x:f>IFERROR(Q189*(1+R189),"")</x:f>
        <x:v>2764.8</x:v>
      </x:c>
      <x:c r="T189" s="206" t="n">
        <x:v>50</x:v>
      </x:c>
      <x:c r="U189" s="206" t="n">
        <x:v>0</x:v>
      </x:c>
      <x:c r="V189" s="203" t="n">
        <x:f>IFERROR(S189+T189+U189,"")</x:f>
        <x:v>2814.8</x:v>
      </x:c>
      <x:c r="W189" s="203" t="n">
        <x:f>IFERROR(H189/(1+Anyag_Beallitasok!$B$2)*Anyag_Beallitasok!$B$9,"")</x:f>
        <x:v>3047.6190476190477</x:v>
      </x:c>
      <x:c r="X189" s="203" t="n">
        <x:f>IFERROR(V189/((1-Anyag_Beallitasok!$B$3)*(1+Anyag_Beallitasok!$B$2)),"")</x:f>
        <x:v>4124.249084249084</x:v>
      </x:c>
      <x:c r="Y189" s="203" t="n">
        <x:f>IFERROR(V189/((1-Anyag_Beallitasok!$B$4)*(1+Anyag_Beallitasok!$B$2)),"")</x:f>
        <x:v>5361.52380952381</x:v>
      </x:c>
      <x:c r="Z189" s="203" t="n">
        <x:f>IFERROR(ROUNDUP(MAX(W189,X189)/Anyag_Beallitasok!$B$6,0)*Anyag_Beallitasok!$B$6,"")</x:f>
        <x:v>4150</x:v>
      </x:c>
      <x:c r="AA189" s="204" t="n">
        <x:f>Anyag_Beallitasok!$B$2</x:f>
        <x:v>0.05</x:v>
      </x:c>
      <x:c r="AB189" s="203" t="n">
        <x:f>IFERROR(Z189*(1+AA189),"")</x:f>
        <x:v>4357.5</x:v>
      </x:c>
      <x:c r="AC189" s="204" t="n">
        <x:f>IFERROR(1-V189/H189,"")</x:f>
        <x:v>0.1203749999999999</x:v>
      </x:c>
      <x:c r="AD189" s="204" t="n">
        <x:f>IFERROR(1-V189/AB189,"")</x:f>
        <x:v>0.35403327596098677</x:v>
      </x:c>
      <x:c r="AE189" s="19" t="str">
        <x:f>IF(AC189&lt;Anyag_Beallitasok!$B$3,"NEM ÉRI EL A 35%-OT",IF(AC189&lt;Anyag_Beallitasok!$B$4,"MINIMUM 35–49,9%",IF(AC189&lt;Anyag_Beallitasok!$B$5,"IDEÁLIS 50–59,9%","KIEMELKEDŐ ≥60%")))</x:f>
        <x:v>NEM ÉRI EL A 35%-OT</x:v>
      </x:c>
      <x:c r="AF189" s="204" t="n">
        <x:f>IFERROR(AB189/H189-1,"")</x:f>
        <x:v>0.3617187500000001</x:v>
      </x:c>
      <x:c r="AG189" s="19" t="str">
        <x:f>IF(AND(P189="IGEN",O189&gt;0),IF(AF189&gt;Anyag_Beallitasok!$B$10,"0%-OS SZÁMLA + ÖNADÓZÁS; FELÁR SZÜKSÉGES","0%-OS SZÁMLA + ÖNADÓZÁS"),IF(AF189&gt;Anyag_Beallitasok!$B$10,"FELÁR SZÜKSÉGES A 35%-HOZ",IF(AC189&lt;Anyag_Beallitasok!$B$3,"PIACI ÁRON NEM TARTHATÓ A 35%","OK")))</x:f>
        <x:v>FELÁR SZÜKSÉGES A 35%-HOZ</x:v>
      </x:c>
      <x:c r="AH189" s="207" t="n">
        <x:v>70</x:v>
      </x:c>
      <x:c r="AI189" s="207" t="n">
        <x:v>70</x:v>
      </x:c>
      <x:c r="AJ189" s="207" t="n">
        <x:v>70</x:v>
      </x:c>
      <x:c r="AK189" s="208"/>
      <x:c r="AL189" s="203" t="str">
        <x:f>IF(AK189="","",V189*AK189)</x:f>
      </x:c>
      <x:c r="AM189" s="203" t="str">
        <x:f>IF(AK189="","",AB189*AK189)</x:f>
      </x:c>
      <x:c r="AN189" s="204" t="str">
        <x:f>IFERROR(1-AL189/AM189,"")</x:f>
      </x:c>
      <x:c r="AO189" s="19" t="str">
        <x:v>https://www.argep.hu/trend/16OE/16-oetretegue-csoe-ar.html</x:v>
      </x:c>
      <x:c r="AP189" s="19" t="str">
        <x:v>2026 piaci becslés</x:v>
      </x:c>
      <x:c r="AQ189" s="19" t="str"/>
    </x:row>
    <x:row r="190">
      <x:c r="A190" s="19" t="str">
        <x:v>ANY-0189</x:v>
      </x:c>
      <x:c r="B190" s="19" t="str">
        <x:v>12 Gépészet</x:v>
      </x:c>
      <x:c r="C190" s="19" t="str">
        <x:v>Víz, csatorna és szaniter</x:v>
      </x:c>
      <x:c r="D190" s="19" t="str">
        <x:v>Mindegyik</x:v>
      </x:c>
      <x:c r="E190" s="19" t="str">
        <x:v>PVC idom DN50</x:v>
      </x:c>
      <x:c r="F190" s="19" t="str">
        <x:v>könyök/T átlag</x:v>
      </x:c>
      <x:c r="G190" s="19" t="str">
        <x:v>db</x:v>
      </x:c>
      <x:c r="H190" s="203" t="n">
        <x:v>850</x:v>
      </x:c>
      <x:c r="I190" s="204" t="n">
        <x:v>0.27</x:v>
      </x:c>
      <x:c r="J190" s="203" t="n">
        <x:f>IFERROR(H190/(1+I190),"")</x:f>
        <x:v>669.2913385826772</x:v>
      </x:c>
      <x:c r="K190" s="205" t="n">
        <x:v>0.22</x:v>
      </x:c>
      <x:c r="L190" s="203" t="n">
        <x:f>IFERROR(J190*(1-K190),"")</x:f>
        <x:v>522.0472440944883</x:v>
      </x:c>
      <x:c r="M190" s="19" t="str">
        <x:v>27% normál belföldi</x:v>
      </x:c>
      <x:c r="N190" s="204" t="n">
        <x:v>0.27</x:v>
      </x:c>
      <x:c r="O190" s="204" t="n">
        <x:v>0</x:v>
      </x:c>
      <x:c r="P190" s="19" t="str">
        <x:v>NEM</x:v>
      </x:c>
      <x:c r="Q190" s="203" t="n">
        <x:f>IFERROR(L190*(1+N190),"")</x:f>
        <x:v>663.0000000000001</x:v>
      </x:c>
      <x:c r="R190" s="205" t="n">
        <x:v>0.05</x:v>
      </x:c>
      <x:c r="S190" s="203" t="n">
        <x:f>IFERROR(Q190*(1+R190),"")</x:f>
        <x:v>696.1500000000002</x:v>
      </x:c>
      <x:c r="T190" s="206" t="n">
        <x:v>15</x:v>
      </x:c>
      <x:c r="U190" s="206" t="n">
        <x:v>0</x:v>
      </x:c>
      <x:c r="V190" s="203" t="n">
        <x:f>IFERROR(S190+T190+U190,"")</x:f>
        <x:v>711.1500000000002</x:v>
      </x:c>
      <x:c r="W190" s="203" t="n">
        <x:f>IFERROR(H190/(1+Anyag_Beallitasok!$B$2)*Anyag_Beallitasok!$B$9,"")</x:f>
        <x:v>809.5238095238095</x:v>
      </x:c>
      <x:c r="X190" s="203" t="n">
        <x:f>IFERROR(V190/((1-Anyag_Beallitasok!$B$3)*(1+Anyag_Beallitasok!$B$2)),"")</x:f>
        <x:v>1041.978021978022</x:v>
      </x:c>
      <x:c r="Y190" s="203" t="n">
        <x:f>IFERROR(V190/((1-Anyag_Beallitasok!$B$4)*(1+Anyag_Beallitasok!$B$2)),"")</x:f>
        <x:v>1354.571428571429</x:v>
      </x:c>
      <x:c r="Z190" s="203" t="n">
        <x:f>IFERROR(ROUNDUP(MAX(W190,X190)/Anyag_Beallitasok!$B$6,0)*Anyag_Beallitasok!$B$6,"")</x:f>
        <x:v>1050</x:v>
      </x:c>
      <x:c r="AA190" s="204" t="n">
        <x:f>Anyag_Beallitasok!$B$2</x:f>
        <x:v>0.05</x:v>
      </x:c>
      <x:c r="AB190" s="203" t="n">
        <x:f>IFERROR(Z190*(1+AA190),"")</x:f>
        <x:v>1102.5</x:v>
      </x:c>
      <x:c r="AC190" s="204" t="n">
        <x:f>IFERROR(1-V190/H190,"")</x:f>
        <x:v>0.16335294117647037</x:v>
      </x:c>
      <x:c r="AD190" s="204" t="n">
        <x:f>IFERROR(1-V190/AB190,"")</x:f>
        <x:v>0.3549659863945577</x:v>
      </x:c>
      <x:c r="AE190" s="19" t="str">
        <x:f>IF(AC190&lt;Anyag_Beallitasok!$B$3,"NEM ÉRI EL A 35%-OT",IF(AC190&lt;Anyag_Beallitasok!$B$4,"MINIMUM 35–49,9%",IF(AC190&lt;Anyag_Beallitasok!$B$5,"IDEÁLIS 50–59,9%","KIEMELKEDŐ ≥60%")))</x:f>
        <x:v>NEM ÉRI EL A 35%-OT</x:v>
      </x:c>
      <x:c r="AF190" s="204" t="n">
        <x:f>IFERROR(AB190/H190-1,"")</x:f>
        <x:v>0.2970588235294118</x:v>
      </x:c>
      <x:c r="AG190" s="19" t="str">
        <x:f>IF(AND(P190="IGEN",O190&gt;0),IF(AF190&gt;Anyag_Beallitasok!$B$10,"0%-OS SZÁMLA + ÖNADÓZÁS; FELÁR SZÜKSÉGES","0%-OS SZÁMLA + ÖNADÓZÁS"),IF(AF190&gt;Anyag_Beallitasok!$B$10,"FELÁR SZÜKSÉGES A 35%-HOZ",IF(AC190&lt;Anyag_Beallitasok!$B$3,"PIACI ÁRON NEM TARTHATÓ A 35%","OK")))</x:f>
        <x:v>FELÁR SZÜKSÉGES A 35%-HOZ</x:v>
      </x:c>
      <x:c r="AH190" s="207" t="n">
        <x:v>70</x:v>
      </x:c>
      <x:c r="AI190" s="207" t="n">
        <x:v>70</x:v>
      </x:c>
      <x:c r="AJ190" s="207" t="n">
        <x:v>70</x:v>
      </x:c>
      <x:c r="AK190" s="208"/>
      <x:c r="AL190" s="203" t="str">
        <x:f>IF(AK190="","",V190*AK190)</x:f>
      </x:c>
      <x:c r="AM190" s="203" t="str">
        <x:f>IF(AK190="","",AB190*AK190)</x:f>
      </x:c>
      <x:c r="AN190" s="204" t="str">
        <x:f>IFERROR(1-AL190/AM190,"")</x:f>
      </x:c>
      <x:c r="AO190" s="19" t="str">
        <x:v>https://www.argep.hu/trend/16OE/16-oetretegue-csoe-ar.html</x:v>
      </x:c>
      <x:c r="AP190" s="19" t="str">
        <x:v>2026 piaci becslés</x:v>
      </x:c>
      <x:c r="AQ190" s="19" t="str"/>
    </x:row>
    <x:row r="191">
      <x:c r="A191" s="19" t="str">
        <x:v>ANY-0190</x:v>
      </x:c>
      <x:c r="B191" s="19" t="str">
        <x:v>12 Gépészet</x:v>
      </x:c>
      <x:c r="C191" s="19" t="str">
        <x:v>Víz, csatorna és szaniter</x:v>
      </x:c>
      <x:c r="D191" s="19" t="str">
        <x:v>Mindegyik</x:v>
      </x:c>
      <x:c r="E191" s="19" t="str">
        <x:v>PVC idom DN110</x:v>
      </x:c>
      <x:c r="F191" s="19" t="str">
        <x:v>könyök/T átlag</x:v>
      </x:c>
      <x:c r="G191" s="19" t="str">
        <x:v>db</x:v>
      </x:c>
      <x:c r="H191" s="203" t="n">
        <x:v>2600</x:v>
      </x:c>
      <x:c r="I191" s="204" t="n">
        <x:v>0.27</x:v>
      </x:c>
      <x:c r="J191" s="203" t="n">
        <x:f>IFERROR(H191/(1+I191),"")</x:f>
        <x:v>2047.244094488189</x:v>
      </x:c>
      <x:c r="K191" s="205" t="n">
        <x:v>0.22</x:v>
      </x:c>
      <x:c r="L191" s="203" t="n">
        <x:f>IFERROR(J191*(1-K191),"")</x:f>
        <x:v>1596.8503937007874</x:v>
      </x:c>
      <x:c r="M191" s="19" t="str">
        <x:v>27% normál belföldi</x:v>
      </x:c>
      <x:c r="N191" s="204" t="n">
        <x:v>0.27</x:v>
      </x:c>
      <x:c r="O191" s="204" t="n">
        <x:v>0</x:v>
      </x:c>
      <x:c r="P191" s="19" t="str">
        <x:v>NEM</x:v>
      </x:c>
      <x:c r="Q191" s="203" t="n">
        <x:f>IFERROR(L191*(1+N191),"")</x:f>
        <x:v>2028</x:v>
      </x:c>
      <x:c r="R191" s="205" t="n">
        <x:v>0.05</x:v>
      </x:c>
      <x:c r="S191" s="203" t="n">
        <x:f>IFERROR(Q191*(1+R191),"")</x:f>
        <x:v>2129.4</x:v>
      </x:c>
      <x:c r="T191" s="206" t="n">
        <x:v>25</x:v>
      </x:c>
      <x:c r="U191" s="206" t="n">
        <x:v>0</x:v>
      </x:c>
      <x:c r="V191" s="203" t="n">
        <x:f>IFERROR(S191+T191+U191,"")</x:f>
        <x:v>2154.4</x:v>
      </x:c>
      <x:c r="W191" s="203" t="n">
        <x:f>IFERROR(H191/(1+Anyag_Beallitasok!$B$2)*Anyag_Beallitasok!$B$9,"")</x:f>
        <x:v>2476.190476190476</x:v>
      </x:c>
      <x:c r="X191" s="203" t="n">
        <x:f>IFERROR(V191/((1-Anyag_Beallitasok!$B$3)*(1+Anyag_Beallitasok!$B$2)),"")</x:f>
        <x:v>3156.630036630036</x:v>
      </x:c>
      <x:c r="Y191" s="203" t="n">
        <x:f>IFERROR(V191/((1-Anyag_Beallitasok!$B$4)*(1+Anyag_Beallitasok!$B$2)),"")</x:f>
        <x:v>4103.619047619048</x:v>
      </x:c>
      <x:c r="Z191" s="203" t="n">
        <x:f>IFERROR(ROUNDUP(MAX(W191,X191)/Anyag_Beallitasok!$B$6,0)*Anyag_Beallitasok!$B$6,"")</x:f>
        <x:v>3200</x:v>
      </x:c>
      <x:c r="AA191" s="204" t="n">
        <x:f>Anyag_Beallitasok!$B$2</x:f>
        <x:v>0.05</x:v>
      </x:c>
      <x:c r="AB191" s="203" t="n">
        <x:f>IFERROR(Z191*(1+AA191),"")</x:f>
        <x:v>3360</x:v>
      </x:c>
      <x:c r="AC191" s="204" t="n">
        <x:f>IFERROR(1-V191/H191,"")</x:f>
        <x:v>0.17138461538461536</x:v>
      </x:c>
      <x:c r="AD191" s="204" t="n">
        <x:f>IFERROR(1-V191/AB191,"")</x:f>
        <x:v>0.3588095238095238</x:v>
      </x:c>
      <x:c r="AE191" s="19" t="str">
        <x:f>IF(AC191&lt;Anyag_Beallitasok!$B$3,"NEM ÉRI EL A 35%-OT",IF(AC191&lt;Anyag_Beallitasok!$B$4,"MINIMUM 35–49,9%",IF(AC191&lt;Anyag_Beallitasok!$B$5,"IDEÁLIS 50–59,9%","KIEMELKEDŐ ≥60%")))</x:f>
        <x:v>NEM ÉRI EL A 35%-OT</x:v>
      </x:c>
      <x:c r="AF191" s="204" t="n">
        <x:f>IFERROR(AB191/H191-1,"")</x:f>
        <x:v>0.2923076923076924</x:v>
      </x:c>
      <x:c r="AG191" s="19" t="str">
        <x:f>IF(AND(P191="IGEN",O191&gt;0),IF(AF191&gt;Anyag_Beallitasok!$B$10,"0%-OS SZÁMLA + ÖNADÓZÁS; FELÁR SZÜKSÉGES","0%-OS SZÁMLA + ÖNADÓZÁS"),IF(AF191&gt;Anyag_Beallitasok!$B$10,"FELÁR SZÜKSÉGES A 35%-HOZ",IF(AC191&lt;Anyag_Beallitasok!$B$3,"PIACI ÁRON NEM TARTHATÓ A 35%","OK")))</x:f>
        <x:v>FELÁR SZÜKSÉGES A 35%-HOZ</x:v>
      </x:c>
      <x:c r="AH191" s="207" t="n">
        <x:v>35</x:v>
      </x:c>
      <x:c r="AI191" s="207" t="n">
        <x:v>35</x:v>
      </x:c>
      <x:c r="AJ191" s="207" t="n">
        <x:v>35</x:v>
      </x:c>
      <x:c r="AK191" s="208"/>
      <x:c r="AL191" s="203" t="str">
        <x:f>IF(AK191="","",V191*AK191)</x:f>
      </x:c>
      <x:c r="AM191" s="203" t="str">
        <x:f>IF(AK191="","",AB191*AK191)</x:f>
      </x:c>
      <x:c r="AN191" s="204" t="str">
        <x:f>IFERROR(1-AL191/AM191,"")</x:f>
      </x:c>
      <x:c r="AO191" s="19" t="str">
        <x:v>https://www.argep.hu/trend/16OE/16-oetretegue-csoe-ar.html</x:v>
      </x:c>
      <x:c r="AP191" s="19" t="str">
        <x:v>2026 piaci becslés</x:v>
      </x:c>
      <x:c r="AQ191" s="19" t="str"/>
    </x:row>
    <x:row r="192">
      <x:c r="A192" s="19" t="str">
        <x:v>ANY-0191</x:v>
      </x:c>
      <x:c r="B192" s="19" t="str">
        <x:v>12 Gépészet</x:v>
      </x:c>
      <x:c r="C192" s="19" t="str">
        <x:v>Víz, csatorna és szaniter</x:v>
      </x:c>
      <x:c r="D192" s="19" t="str">
        <x:v>Mindegyik</x:v>
      </x:c>
      <x:c r="E192" s="19" t="str">
        <x:v>Falba épített WC-tartály</x:v>
      </x:c>
      <x:c r="F192" s="19" t="str">
        <x:v>középkategória</x:v>
      </x:c>
      <x:c r="G192" s="19" t="str">
        <x:v>db</x:v>
      </x:c>
      <x:c r="H192" s="203" t="n">
        <x:v>95000</x:v>
      </x:c>
      <x:c r="I192" s="204" t="n">
        <x:v>0.27</x:v>
      </x:c>
      <x:c r="J192" s="203" t="n">
        <x:f>IFERROR(H192/(1+I192),"")</x:f>
        <x:v>74803.14960629921</x:v>
      </x:c>
      <x:c r="K192" s="205" t="n">
        <x:v>0.25</x:v>
      </x:c>
      <x:c r="L192" s="203" t="n">
        <x:f>IFERROR(J192*(1-K192),"")</x:f>
        <x:v>56102.362204724406</x:v>
      </x:c>
      <x:c r="M192" s="19" t="str">
        <x:v>27% normál belföldi</x:v>
      </x:c>
      <x:c r="N192" s="204" t="n">
        <x:v>0.27</x:v>
      </x:c>
      <x:c r="O192" s="204" t="n">
        <x:v>0</x:v>
      </x:c>
      <x:c r="P192" s="19" t="str">
        <x:v>NEM</x:v>
      </x:c>
      <x:c r="Q192" s="203" t="n">
        <x:f>IFERROR(L192*(1+N192),"")</x:f>
        <x:v>71250</x:v>
      </x:c>
      <x:c r="R192" s="205" t="n">
        <x:v>0.02</x:v>
      </x:c>
      <x:c r="S192" s="203" t="n">
        <x:f>IFERROR(Q192*(1+R192),"")</x:f>
        <x:v>72675</x:v>
      </x:c>
      <x:c r="T192" s="206" t="n">
        <x:v>1800</x:v>
      </x:c>
      <x:c r="U192" s="206" t="n">
        <x:v>0</x:v>
      </x:c>
      <x:c r="V192" s="203" t="n">
        <x:f>IFERROR(S192+T192+U192,"")</x:f>
        <x:v>74475</x:v>
      </x:c>
      <x:c r="W192" s="203" t="n">
        <x:f>IFERROR(H192/(1+Anyag_Beallitasok!$B$2)*Anyag_Beallitasok!$B$9,"")</x:f>
        <x:v>90476.19047619047</x:v>
      </x:c>
      <x:c r="X192" s="203" t="n">
        <x:f>IFERROR(V192/((1-Anyag_Beallitasok!$B$3)*(1+Anyag_Beallitasok!$B$2)),"")</x:f>
        <x:v>109120.87912087911</x:v>
      </x:c>
      <x:c r="Y192" s="203" t="n">
        <x:f>IFERROR(V192/((1-Anyag_Beallitasok!$B$4)*(1+Anyag_Beallitasok!$B$2)),"")</x:f>
        <x:v>141857.14285714284</x:v>
      </x:c>
      <x:c r="Z192" s="203" t="n">
        <x:f>IFERROR(ROUNDUP(MAX(W192,X192)/Anyag_Beallitasok!$B$6,0)*Anyag_Beallitasok!$B$6,"")</x:f>
        <x:v>109150</x:v>
      </x:c>
      <x:c r="AA192" s="204" t="n">
        <x:f>Anyag_Beallitasok!$B$2</x:f>
        <x:v>0.05</x:v>
      </x:c>
      <x:c r="AB192" s="203" t="n">
        <x:f>IFERROR(Z192*(1+AA192),"")</x:f>
        <x:v>114607.5</x:v>
      </x:c>
      <x:c r="AC192" s="204" t="n">
        <x:f>IFERROR(1-V192/H192,"")</x:f>
        <x:v>0.21605263157894739</x:v>
      </x:c>
      <x:c r="AD192" s="204" t="n">
        <x:f>IFERROR(1-V192/AB192,"")</x:f>
        <x:v>0.3501734179700281</x:v>
      </x:c>
      <x:c r="AE192" s="19" t="str">
        <x:f>IF(AC192&lt;Anyag_Beallitasok!$B$3,"NEM ÉRI EL A 35%-OT",IF(AC192&lt;Anyag_Beallitasok!$B$4,"MINIMUM 35–49,9%",IF(AC192&lt;Anyag_Beallitasok!$B$5,"IDEÁLIS 50–59,9%","KIEMELKEDŐ ≥60%")))</x:f>
        <x:v>NEM ÉRI EL A 35%-OT</x:v>
      </x:c>
      <x:c r="AF192" s="204" t="n">
        <x:f>IFERROR(AB192/H192-1,"")</x:f>
        <x:v>0.2063947368421053</x:v>
      </x:c>
      <x:c r="AG192" s="19" t="str">
        <x:f>IF(AND(P192="IGEN",O192&gt;0),IF(AF192&gt;Anyag_Beallitasok!$B$10,"0%-OS SZÁMLA + ÖNADÓZÁS; FELÁR SZÜKSÉGES","0%-OS SZÁMLA + ÖNADÓZÁS"),IF(AF192&gt;Anyag_Beallitasok!$B$10,"FELÁR SZÜKSÉGES A 35%-HOZ",IF(AC192&lt;Anyag_Beallitasok!$B$3,"PIACI ÁRON NEM TARTHATÓ A 35%","OK")))</x:f>
        <x:v>FELÁR SZÜKSÉGES A 35%-HOZ</x:v>
      </x:c>
      <x:c r="AH192" s="207" t="n">
        <x:v>2</x:v>
      </x:c>
      <x:c r="AI192" s="207" t="n">
        <x:v>2</x:v>
      </x:c>
      <x:c r="AJ192" s="207" t="n">
        <x:v>2</x:v>
      </x:c>
      <x:c r="AK192" s="208"/>
      <x:c r="AL192" s="203" t="str">
        <x:f>IF(AK192="","",V192*AK192)</x:f>
      </x:c>
      <x:c r="AM192" s="203" t="str">
        <x:f>IF(AK192="","",AB192*AK192)</x:f>
      </x:c>
      <x:c r="AN192" s="204" t="str">
        <x:f>IFERROR(1-AL192/AM192,"")</x:f>
      </x:c>
      <x:c r="AO192" s="19" t="str">
        <x:v>https://www.argep.hu/trend/16OE/16-oetretegue-csoe-ar.html</x:v>
      </x:c>
      <x:c r="AP192" s="19" t="str">
        <x:v>2026 piaci becslés</x:v>
      </x:c>
      <x:c r="AQ192" s="19" t="str"/>
    </x:row>
    <x:row r="193">
      <x:c r="A193" s="19" t="str">
        <x:v>ANY-0192</x:v>
      </x:c>
      <x:c r="B193" s="19" t="str">
        <x:v>12 Gépészet</x:v>
      </x:c>
      <x:c r="C193" s="19" t="str">
        <x:v>Víz, csatorna és szaniter</x:v>
      </x:c>
      <x:c r="D193" s="19" t="str">
        <x:v>Mindegyik</x:v>
      </x:c>
      <x:c r="E193" s="19" t="str">
        <x:v>Fali WC csésze ülőkével</x:v>
      </x:c>
      <x:c r="F193" s="19" t="str">
        <x:v>középkategória</x:v>
      </x:c>
      <x:c r="G193" s="19" t="str">
        <x:v>db</x:v>
      </x:c>
      <x:c r="H193" s="203" t="n">
        <x:v>85000</x:v>
      </x:c>
      <x:c r="I193" s="204" t="n">
        <x:v>0.27</x:v>
      </x:c>
      <x:c r="J193" s="203" t="n">
        <x:f>IFERROR(H193/(1+I193),"")</x:f>
        <x:v>66929.13385826771</x:v>
      </x:c>
      <x:c r="K193" s="205" t="n">
        <x:v>0.25</x:v>
      </x:c>
      <x:c r="L193" s="203" t="n">
        <x:f>IFERROR(J193*(1-K193),"")</x:f>
        <x:v>50196.850393700784</x:v>
      </x:c>
      <x:c r="M193" s="19" t="str">
        <x:v>27% normál belföldi</x:v>
      </x:c>
      <x:c r="N193" s="204" t="n">
        <x:v>0.27</x:v>
      </x:c>
      <x:c r="O193" s="204" t="n">
        <x:v>0</x:v>
      </x:c>
      <x:c r="P193" s="19" t="str">
        <x:v>NEM</x:v>
      </x:c>
      <x:c r="Q193" s="203" t="n">
        <x:f>IFERROR(L193*(1+N193),"")</x:f>
        <x:v>63750</x:v>
      </x:c>
      <x:c r="R193" s="205" t="n">
        <x:v>0.02</x:v>
      </x:c>
      <x:c r="S193" s="203" t="n">
        <x:f>IFERROR(Q193*(1+R193),"")</x:f>
        <x:v>65025</x:v>
      </x:c>
      <x:c r="T193" s="206" t="n">
        <x:v>1800</x:v>
      </x:c>
      <x:c r="U193" s="206" t="n">
        <x:v>0</x:v>
      </x:c>
      <x:c r="V193" s="203" t="n">
        <x:f>IFERROR(S193+T193+U193,"")</x:f>
        <x:v>66825</x:v>
      </x:c>
      <x:c r="W193" s="203" t="n">
        <x:f>IFERROR(H193/(1+Anyag_Beallitasok!$B$2)*Anyag_Beallitasok!$B$9,"")</x:f>
        <x:v>80952.38095238095</x:v>
      </x:c>
      <x:c r="X193" s="203" t="n">
        <x:f>IFERROR(V193/((1-Anyag_Beallitasok!$B$3)*(1+Anyag_Beallitasok!$B$2)),"")</x:f>
        <x:v>97912.0879120879</x:v>
      </x:c>
      <x:c r="Y193" s="203" t="n">
        <x:f>IFERROR(V193/((1-Anyag_Beallitasok!$B$4)*(1+Anyag_Beallitasok!$B$2)),"")</x:f>
        <x:v>127285.71428571428</x:v>
      </x:c>
      <x:c r="Z193" s="203" t="n">
        <x:f>IFERROR(ROUNDUP(MAX(W193,X193)/Anyag_Beallitasok!$B$6,0)*Anyag_Beallitasok!$B$6,"")</x:f>
        <x:v>97950</x:v>
      </x:c>
      <x:c r="AA193" s="204" t="n">
        <x:f>Anyag_Beallitasok!$B$2</x:f>
        <x:v>0.05</x:v>
      </x:c>
      <x:c r="AB193" s="203" t="n">
        <x:f>IFERROR(Z193*(1+AA193),"")</x:f>
        <x:v>102847.5</x:v>
      </x:c>
      <x:c r="AC193" s="204" t="n">
        <x:f>IFERROR(1-V193/H193,"")</x:f>
        <x:v>0.21382352941176475</x:v>
      </x:c>
      <x:c r="AD193" s="204" t="n">
        <x:f>IFERROR(1-V193/AB193,"")</x:f>
        <x:v>0.35025158608619555</x:v>
      </x:c>
      <x:c r="AE193" s="19" t="str">
        <x:f>IF(AC193&lt;Anyag_Beallitasok!$B$3,"NEM ÉRI EL A 35%-OT",IF(AC193&lt;Anyag_Beallitasok!$B$4,"MINIMUM 35–49,9%",IF(AC193&lt;Anyag_Beallitasok!$B$5,"IDEÁLIS 50–59,9%","KIEMELKEDŐ ≥60%")))</x:f>
        <x:v>NEM ÉRI EL A 35%-OT</x:v>
      </x:c>
      <x:c r="AF193" s="204" t="n">
        <x:f>IFERROR(AB193/H193-1,"")</x:f>
        <x:v>0.20997058823529402</x:v>
      </x:c>
      <x:c r="AG193" s="19" t="str">
        <x:f>IF(AND(P193="IGEN",O193&gt;0),IF(AF193&gt;Anyag_Beallitasok!$B$10,"0%-OS SZÁMLA + ÖNADÓZÁS; FELÁR SZÜKSÉGES","0%-OS SZÁMLA + ÖNADÓZÁS"),IF(AF193&gt;Anyag_Beallitasok!$B$10,"FELÁR SZÜKSÉGES A 35%-HOZ",IF(AC193&lt;Anyag_Beallitasok!$B$3,"PIACI ÁRON NEM TARTHATÓ A 35%","OK")))</x:f>
        <x:v>FELÁR SZÜKSÉGES A 35%-HOZ</x:v>
      </x:c>
      <x:c r="AH193" s="207" t="n">
        <x:v>2</x:v>
      </x:c>
      <x:c r="AI193" s="207" t="n">
        <x:v>2</x:v>
      </x:c>
      <x:c r="AJ193" s="207" t="n">
        <x:v>2</x:v>
      </x:c>
      <x:c r="AK193" s="208"/>
      <x:c r="AL193" s="203" t="str">
        <x:f>IF(AK193="","",V193*AK193)</x:f>
      </x:c>
      <x:c r="AM193" s="203" t="str">
        <x:f>IF(AK193="","",AB193*AK193)</x:f>
      </x:c>
      <x:c r="AN193" s="204" t="str">
        <x:f>IFERROR(1-AL193/AM193,"")</x:f>
      </x:c>
      <x:c r="AO193" s="19" t="str">
        <x:v>https://www.argep.hu/trend/16OE/16-oetretegue-csoe-ar.html</x:v>
      </x:c>
      <x:c r="AP193" s="19" t="str">
        <x:v>2026 piaci becslés</x:v>
      </x:c>
      <x:c r="AQ193" s="19" t="str"/>
    </x:row>
    <x:row r="194">
      <x:c r="A194" s="19" t="str">
        <x:v>ANY-0193</x:v>
      </x:c>
      <x:c r="B194" s="19" t="str">
        <x:v>12 Gépészet</x:v>
      </x:c>
      <x:c r="C194" s="19" t="str">
        <x:v>Víz, csatorna és szaniter</x:v>
      </x:c>
      <x:c r="D194" s="19" t="str">
        <x:v>Mindegyik</x:v>
      </x:c>
      <x:c r="E194" s="19" t="str">
        <x:v>Mosdó</x:v>
      </x:c>
      <x:c r="F194" s="19" t="str">
        <x:v>60 cm, középkategória</x:v>
      </x:c>
      <x:c r="G194" s="19" t="str">
        <x:v>db</x:v>
      </x:c>
      <x:c r="H194" s="203" t="n">
        <x:v>55000</x:v>
      </x:c>
      <x:c r="I194" s="204" t="n">
        <x:v>0.27</x:v>
      </x:c>
      <x:c r="J194" s="203" t="n">
        <x:f>IFERROR(H194/(1+I194),"")</x:f>
        <x:v>43307.086614173226</x:v>
      </x:c>
      <x:c r="K194" s="205" t="n">
        <x:v>0.25</x:v>
      </x:c>
      <x:c r="L194" s="203" t="n">
        <x:f>IFERROR(J194*(1-K194),"")</x:f>
        <x:v>32480.31496062992</x:v>
      </x:c>
      <x:c r="M194" s="19" t="str">
        <x:v>27% normál belföldi</x:v>
      </x:c>
      <x:c r="N194" s="204" t="n">
        <x:v>0.27</x:v>
      </x:c>
      <x:c r="O194" s="204" t="n">
        <x:v>0</x:v>
      </x:c>
      <x:c r="P194" s="19" t="str">
        <x:v>NEM</x:v>
      </x:c>
      <x:c r="Q194" s="203" t="n">
        <x:f>IFERROR(L194*(1+N194),"")</x:f>
        <x:v>41250</x:v>
      </x:c>
      <x:c r="R194" s="205" t="n">
        <x:v>0.02</x:v>
      </x:c>
      <x:c r="S194" s="203" t="n">
        <x:f>IFERROR(Q194*(1+R194),"")</x:f>
        <x:v>42075</x:v>
      </x:c>
      <x:c r="T194" s="206" t="n">
        <x:v>1200</x:v>
      </x:c>
      <x:c r="U194" s="206" t="n">
        <x:v>0</x:v>
      </x:c>
      <x:c r="V194" s="203" t="n">
        <x:f>IFERROR(S194+T194+U194,"")</x:f>
        <x:v>43275</x:v>
      </x:c>
      <x:c r="W194" s="203" t="n">
        <x:f>IFERROR(H194/(1+Anyag_Beallitasok!$B$2)*Anyag_Beallitasok!$B$9,"")</x:f>
        <x:v>52380.95238095238</x:v>
      </x:c>
      <x:c r="X194" s="203" t="n">
        <x:f>IFERROR(V194/((1-Anyag_Beallitasok!$B$3)*(1+Anyag_Beallitasok!$B$2)),"")</x:f>
        <x:v>63406.5934065934</x:v>
      </x:c>
      <x:c r="Y194" s="203" t="n">
        <x:f>IFERROR(V194/((1-Anyag_Beallitasok!$B$4)*(1+Anyag_Beallitasok!$B$2)),"")</x:f>
        <x:v>82428.57142857142</x:v>
      </x:c>
      <x:c r="Z194" s="203" t="n">
        <x:f>IFERROR(ROUNDUP(MAX(W194,X194)/Anyag_Beallitasok!$B$6,0)*Anyag_Beallitasok!$B$6,"")</x:f>
        <x:v>63450</x:v>
      </x:c>
      <x:c r="AA194" s="204" t="n">
        <x:f>Anyag_Beallitasok!$B$2</x:f>
        <x:v>0.05</x:v>
      </x:c>
      <x:c r="AB194" s="203" t="n">
        <x:f>IFERROR(Z194*(1+AA194),"")</x:f>
        <x:v>66622.5</x:v>
      </x:c>
      <x:c r="AC194" s="204" t="n">
        <x:f>IFERROR(1-V194/H194,"")</x:f>
        <x:v>0.21318181818181814</x:v>
      </x:c>
      <x:c r="AD194" s="204" t="n">
        <x:f>IFERROR(1-V194/AB194,"")</x:f>
        <x:v>0.35044466959360576</x:v>
      </x:c>
      <x:c r="AE194" s="19" t="str">
        <x:f>IF(AC194&lt;Anyag_Beallitasok!$B$3,"NEM ÉRI EL A 35%-OT",IF(AC194&lt;Anyag_Beallitasok!$B$4,"MINIMUM 35–49,9%",IF(AC194&lt;Anyag_Beallitasok!$B$5,"IDEÁLIS 50–59,9%","KIEMELKEDŐ ≥60%")))</x:f>
        <x:v>NEM ÉRI EL A 35%-OT</x:v>
      </x:c>
      <x:c r="AF194" s="204" t="n">
        <x:f>IFERROR(AB194/H194-1,"")</x:f>
        <x:v>0.21131818181818174</x:v>
      </x:c>
      <x:c r="AG194" s="19" t="str">
        <x:f>IF(AND(P194="IGEN",O194&gt;0),IF(AF194&gt;Anyag_Beallitasok!$B$10,"0%-OS SZÁMLA + ÖNADÓZÁS; FELÁR SZÜKSÉGES","0%-OS SZÁMLA + ÖNADÓZÁS"),IF(AF194&gt;Anyag_Beallitasok!$B$10,"FELÁR SZÜKSÉGES A 35%-HOZ",IF(AC194&lt;Anyag_Beallitasok!$B$3,"PIACI ÁRON NEM TARTHATÓ A 35%","OK")))</x:f>
        <x:v>FELÁR SZÜKSÉGES A 35%-HOZ</x:v>
      </x:c>
      <x:c r="AH194" s="207" t="n">
        <x:v>3</x:v>
      </x:c>
      <x:c r="AI194" s="207" t="n">
        <x:v>3</x:v>
      </x:c>
      <x:c r="AJ194" s="207" t="n">
        <x:v>3</x:v>
      </x:c>
      <x:c r="AK194" s="208"/>
      <x:c r="AL194" s="203" t="str">
        <x:f>IF(AK194="","",V194*AK194)</x:f>
      </x:c>
      <x:c r="AM194" s="203" t="str">
        <x:f>IF(AK194="","",AB194*AK194)</x:f>
      </x:c>
      <x:c r="AN194" s="204" t="str">
        <x:f>IFERROR(1-AL194/AM194,"")</x:f>
      </x:c>
      <x:c r="AO194" s="19" t="str">
        <x:v>https://www.argep.hu/trend/16OE/16-oetretegue-csoe-ar.html</x:v>
      </x:c>
      <x:c r="AP194" s="19" t="str">
        <x:v>2026 piaci becslés</x:v>
      </x:c>
      <x:c r="AQ194" s="19" t="str"/>
    </x:row>
    <x:row r="195">
      <x:c r="A195" s="19" t="str">
        <x:v>ANY-0194</x:v>
      </x:c>
      <x:c r="B195" s="19" t="str">
        <x:v>12 Gépészet</x:v>
      </x:c>
      <x:c r="C195" s="19" t="str">
        <x:v>Víz, csatorna és szaniter</x:v>
      </x:c>
      <x:c r="D195" s="19" t="str">
        <x:v>Mindegyik</x:v>
      </x:c>
      <x:c r="E195" s="19" t="str">
        <x:v>Mosdó csaptelep</x:v>
      </x:c>
      <x:c r="F195" s="19" t="str">
        <x:v>középkategória</x:v>
      </x:c>
      <x:c r="G195" s="19" t="str">
        <x:v>db</x:v>
      </x:c>
      <x:c r="H195" s="203" t="n">
        <x:v>45000</x:v>
      </x:c>
      <x:c r="I195" s="204" t="n">
        <x:v>0.27</x:v>
      </x:c>
      <x:c r="J195" s="203" t="n">
        <x:f>IFERROR(H195/(1+I195),"")</x:f>
        <x:v>35433.07086614173</x:v>
      </x:c>
      <x:c r="K195" s="205" t="n">
        <x:v>0.25</x:v>
      </x:c>
      <x:c r="L195" s="203" t="n">
        <x:f>IFERROR(J195*(1-K195),"")</x:f>
        <x:v>26574.803149606298</x:v>
      </x:c>
      <x:c r="M195" s="19" t="str">
        <x:v>27% normál belföldi</x:v>
      </x:c>
      <x:c r="N195" s="204" t="n">
        <x:v>0.27</x:v>
      </x:c>
      <x:c r="O195" s="204" t="n">
        <x:v>0</x:v>
      </x:c>
      <x:c r="P195" s="19" t="str">
        <x:v>NEM</x:v>
      </x:c>
      <x:c r="Q195" s="203" t="n">
        <x:f>IFERROR(L195*(1+N195),"")</x:f>
        <x:v>33750</x:v>
      </x:c>
      <x:c r="R195" s="205" t="n">
        <x:v>0.02</x:v>
      </x:c>
      <x:c r="S195" s="203" t="n">
        <x:f>IFERROR(Q195*(1+R195),"")</x:f>
        <x:v>34425</x:v>
      </x:c>
      <x:c r="T195" s="206" t="n">
        <x:v>800</x:v>
      </x:c>
      <x:c r="U195" s="206" t="n">
        <x:v>0</x:v>
      </x:c>
      <x:c r="V195" s="203" t="n">
        <x:f>IFERROR(S195+T195+U195,"")</x:f>
        <x:v>35225</x:v>
      </x:c>
      <x:c r="W195" s="203" t="n">
        <x:f>IFERROR(H195/(1+Anyag_Beallitasok!$B$2)*Anyag_Beallitasok!$B$9,"")</x:f>
        <x:v>42857.142857142855</x:v>
      </x:c>
      <x:c r="X195" s="203" t="n">
        <x:f>IFERROR(V195/((1-Anyag_Beallitasok!$B$3)*(1+Anyag_Beallitasok!$B$2)),"")</x:f>
        <x:v>51611.7216117216</x:v>
      </x:c>
      <x:c r="Y195" s="203" t="n">
        <x:f>IFERROR(V195/((1-Anyag_Beallitasok!$B$4)*(1+Anyag_Beallitasok!$B$2)),"")</x:f>
        <x:v>67095.23809523809</x:v>
      </x:c>
      <x:c r="Z195" s="203" t="n">
        <x:f>IFERROR(ROUNDUP(MAX(W195,X195)/Anyag_Beallitasok!$B$6,0)*Anyag_Beallitasok!$B$6,"")</x:f>
        <x:v>51650</x:v>
      </x:c>
      <x:c r="AA195" s="204" t="n">
        <x:f>Anyag_Beallitasok!$B$2</x:f>
        <x:v>0.05</x:v>
      </x:c>
      <x:c r="AB195" s="203" t="n">
        <x:f>IFERROR(Z195*(1+AA195),"")</x:f>
        <x:v>54232.5</x:v>
      </x:c>
      <x:c r="AC195" s="204" t="n">
        <x:f>IFERROR(1-V195/H195,"")</x:f>
        <x:v>0.2172222222222222</x:v>
      </x:c>
      <x:c r="AD195" s="204" t="n">
        <x:f>IFERROR(1-V195/AB195,"")</x:f>
        <x:v>0.3504817222145392</x:v>
      </x:c>
      <x:c r="AE195" s="19" t="str">
        <x:f>IF(AC195&lt;Anyag_Beallitasok!$B$3,"NEM ÉRI EL A 35%-OT",IF(AC195&lt;Anyag_Beallitasok!$B$4,"MINIMUM 35–49,9%",IF(AC195&lt;Anyag_Beallitasok!$B$5,"IDEÁLIS 50–59,9%","KIEMELKEDŐ ≥60%")))</x:f>
        <x:v>NEM ÉRI EL A 35%-OT</x:v>
      </x:c>
      <x:c r="AF195" s="204" t="n">
        <x:f>IFERROR(AB195/H195-1,"")</x:f>
        <x:v>0.20516666666666672</x:v>
      </x:c>
      <x:c r="AG195" s="19" t="str">
        <x:f>IF(AND(P195="IGEN",O195&gt;0),IF(AF195&gt;Anyag_Beallitasok!$B$10,"0%-OS SZÁMLA + ÖNADÓZÁS; FELÁR SZÜKSÉGES","0%-OS SZÁMLA + ÖNADÓZÁS"),IF(AF195&gt;Anyag_Beallitasok!$B$10,"FELÁR SZÜKSÉGES A 35%-HOZ",IF(AC195&lt;Anyag_Beallitasok!$B$3,"PIACI ÁRON NEM TARTHATÓ A 35%","OK")))</x:f>
        <x:v>FELÁR SZÜKSÉGES A 35%-HOZ</x:v>
      </x:c>
      <x:c r="AH195" s="207" t="n">
        <x:v>3</x:v>
      </x:c>
      <x:c r="AI195" s="207" t="n">
        <x:v>3</x:v>
      </x:c>
      <x:c r="AJ195" s="207" t="n">
        <x:v>3</x:v>
      </x:c>
      <x:c r="AK195" s="208"/>
      <x:c r="AL195" s="203" t="str">
        <x:f>IF(AK195="","",V195*AK195)</x:f>
      </x:c>
      <x:c r="AM195" s="203" t="str">
        <x:f>IF(AK195="","",AB195*AK195)</x:f>
      </x:c>
      <x:c r="AN195" s="204" t="str">
        <x:f>IFERROR(1-AL195/AM195,"")</x:f>
      </x:c>
      <x:c r="AO195" s="19" t="str">
        <x:v>https://www.argep.hu/trend/16OE/16-oetretegue-csoe-ar.html</x:v>
      </x:c>
      <x:c r="AP195" s="19" t="str">
        <x:v>2026 piaci becslés</x:v>
      </x:c>
      <x:c r="AQ195" s="19" t="str"/>
    </x:row>
    <x:row r="196">
      <x:c r="A196" s="19" t="str">
        <x:v>ANY-0195</x:v>
      </x:c>
      <x:c r="B196" s="19" t="str">
        <x:v>12 Gépészet</x:v>
      </x:c>
      <x:c r="C196" s="19" t="str">
        <x:v>Víz, csatorna és szaniter</x:v>
      </x:c>
      <x:c r="D196" s="19" t="str">
        <x:v>Mindegyik</x:v>
      </x:c>
      <x:c r="E196" s="19" t="str">
        <x:v>Zuhany csaptelep és fej</x:v>
      </x:c>
      <x:c r="F196" s="19" t="str">
        <x:v>termosztátos</x:v>
      </x:c>
      <x:c r="G196" s="19" t="str">
        <x:v>db</x:v>
      </x:c>
      <x:c r="H196" s="203" t="n">
        <x:v>95000</x:v>
      </x:c>
      <x:c r="I196" s="204" t="n">
        <x:v>0.27</x:v>
      </x:c>
      <x:c r="J196" s="203" t="n">
        <x:f>IFERROR(H196/(1+I196),"")</x:f>
        <x:v>74803.14960629921</x:v>
      </x:c>
      <x:c r="K196" s="205" t="n">
        <x:v>0.25</x:v>
      </x:c>
      <x:c r="L196" s="203" t="n">
        <x:f>IFERROR(J196*(1-K196),"")</x:f>
        <x:v>56102.362204724406</x:v>
      </x:c>
      <x:c r="M196" s="19" t="str">
        <x:v>27% normál belföldi</x:v>
      </x:c>
      <x:c r="N196" s="204" t="n">
        <x:v>0.27</x:v>
      </x:c>
      <x:c r="O196" s="204" t="n">
        <x:v>0</x:v>
      </x:c>
      <x:c r="P196" s="19" t="str">
        <x:v>NEM</x:v>
      </x:c>
      <x:c r="Q196" s="203" t="n">
        <x:f>IFERROR(L196*(1+N196),"")</x:f>
        <x:v>71250</x:v>
      </x:c>
      <x:c r="R196" s="205" t="n">
        <x:v>0.02</x:v>
      </x:c>
      <x:c r="S196" s="203" t="n">
        <x:f>IFERROR(Q196*(1+R196),"")</x:f>
        <x:v>72675</x:v>
      </x:c>
      <x:c r="T196" s="206" t="n">
        <x:v>1200</x:v>
      </x:c>
      <x:c r="U196" s="206" t="n">
        <x:v>0</x:v>
      </x:c>
      <x:c r="V196" s="203" t="n">
        <x:f>IFERROR(S196+T196+U196,"")</x:f>
        <x:v>73875</x:v>
      </x:c>
      <x:c r="W196" s="203" t="n">
        <x:f>IFERROR(H196/(1+Anyag_Beallitasok!$B$2)*Anyag_Beallitasok!$B$9,"")</x:f>
        <x:v>90476.19047619047</x:v>
      </x:c>
      <x:c r="X196" s="203" t="n">
        <x:f>IFERROR(V196/((1-Anyag_Beallitasok!$B$3)*(1+Anyag_Beallitasok!$B$2)),"")</x:f>
        <x:v>108241.75824175823</x:v>
      </x:c>
      <x:c r="Y196" s="203" t="n">
        <x:f>IFERROR(V196/((1-Anyag_Beallitasok!$B$4)*(1+Anyag_Beallitasok!$B$2)),"")</x:f>
        <x:v>140714.2857142857</x:v>
      </x:c>
      <x:c r="Z196" s="203" t="n">
        <x:f>IFERROR(ROUNDUP(MAX(W196,X196)/Anyag_Beallitasok!$B$6,0)*Anyag_Beallitasok!$B$6,"")</x:f>
        <x:v>108250</x:v>
      </x:c>
      <x:c r="AA196" s="204" t="n">
        <x:f>Anyag_Beallitasok!$B$2</x:f>
        <x:v>0.05</x:v>
      </x:c>
      <x:c r="AB196" s="203" t="n">
        <x:f>IFERROR(Z196*(1+AA196),"")</x:f>
        <x:v>113662.5</x:v>
      </x:c>
      <x:c r="AC196" s="204" t="n">
        <x:f>IFERROR(1-V196/H196,"")</x:f>
        <x:v>0.22236842105263155</x:v>
      </x:c>
      <x:c r="AD196" s="204" t="n">
        <x:f>IFERROR(1-V196/AB196,"")</x:f>
        <x:v>0.350049488617618</x:v>
      </x:c>
      <x:c r="AE196" s="19" t="str">
        <x:f>IF(AC196&lt;Anyag_Beallitasok!$B$3,"NEM ÉRI EL A 35%-OT",IF(AC196&lt;Anyag_Beallitasok!$B$4,"MINIMUM 35–49,9%",IF(AC196&lt;Anyag_Beallitasok!$B$5,"IDEÁLIS 50–59,9%","KIEMELKEDŐ ≥60%")))</x:f>
        <x:v>NEM ÉRI EL A 35%-OT</x:v>
      </x:c>
      <x:c r="AF196" s="204" t="n">
        <x:f>IFERROR(AB196/H196-1,"")</x:f>
        <x:v>0.1964473684210526</x:v>
      </x:c>
      <x:c r="AG196" s="19" t="str">
        <x:f>IF(AND(P196="IGEN",O196&gt;0),IF(AF196&gt;Anyag_Beallitasok!$B$10,"0%-OS SZÁMLA + ÖNADÓZÁS; FELÁR SZÜKSÉGES","0%-OS SZÁMLA + ÖNADÓZÁS"),IF(AF196&gt;Anyag_Beallitasok!$B$10,"FELÁR SZÜKSÉGES A 35%-HOZ",IF(AC196&lt;Anyag_Beallitasok!$B$3,"PIACI ÁRON NEM TARTHATÓ A 35%","OK")))</x:f>
        <x:v>PIACI ÁRON NEM TARTHATÓ A 35%</x:v>
      </x:c>
      <x:c r="AH196" s="207" t="n">
        <x:v>2</x:v>
      </x:c>
      <x:c r="AI196" s="207" t="n">
        <x:v>2</x:v>
      </x:c>
      <x:c r="AJ196" s="207" t="n">
        <x:v>2</x:v>
      </x:c>
      <x:c r="AK196" s="208"/>
      <x:c r="AL196" s="203" t="str">
        <x:f>IF(AK196="","",V196*AK196)</x:f>
      </x:c>
      <x:c r="AM196" s="203" t="str">
        <x:f>IF(AK196="","",AB196*AK196)</x:f>
      </x:c>
      <x:c r="AN196" s="204" t="str">
        <x:f>IFERROR(1-AL196/AM196,"")</x:f>
      </x:c>
      <x:c r="AO196" s="19" t="str">
        <x:v>https://www.argep.hu/trend/16OE/16-oetretegue-csoe-ar.html</x:v>
      </x:c>
      <x:c r="AP196" s="19" t="str">
        <x:v>2026 piaci becslés</x:v>
      </x:c>
      <x:c r="AQ196" s="19" t="str"/>
    </x:row>
    <x:row r="197">
      <x:c r="A197" s="19" t="str">
        <x:v>ANY-0196</x:v>
      </x:c>
      <x:c r="B197" s="19" t="str">
        <x:v>12 Gépészet</x:v>
      </x:c>
      <x:c r="C197" s="19" t="str">
        <x:v>Víz, csatorna és szaniter</x:v>
      </x:c>
      <x:c r="D197" s="19" t="str">
        <x:v>Mindegyik</x:v>
      </x:c>
      <x:c r="E197" s="19" t="str">
        <x:v>Zuhanyfolyóka</x:v>
      </x:c>
      <x:c r="F197" s="19" t="str">
        <x:v>80–100 cm</x:v>
      </x:c>
      <x:c r="G197" s="19" t="str">
        <x:v>db</x:v>
      </x:c>
      <x:c r="H197" s="203" t="n">
        <x:v>65000</x:v>
      </x:c>
      <x:c r="I197" s="204" t="n">
        <x:v>0.27</x:v>
      </x:c>
      <x:c r="J197" s="203" t="n">
        <x:f>IFERROR(H197/(1+I197),"")</x:f>
        <x:v>51181.10236220472</x:v>
      </x:c>
      <x:c r="K197" s="205" t="n">
        <x:v>0.25</x:v>
      </x:c>
      <x:c r="L197" s="203" t="n">
        <x:f>IFERROR(J197*(1-K197),"")</x:f>
        <x:v>38385.82677165354</x:v>
      </x:c>
      <x:c r="M197" s="19" t="str">
        <x:v>27% normál belföldi</x:v>
      </x:c>
      <x:c r="N197" s="204" t="n">
        <x:v>0.27</x:v>
      </x:c>
      <x:c r="O197" s="204" t="n">
        <x:v>0</x:v>
      </x:c>
      <x:c r="P197" s="19" t="str">
        <x:v>NEM</x:v>
      </x:c>
      <x:c r="Q197" s="203" t="n">
        <x:f>IFERROR(L197*(1+N197),"")</x:f>
        <x:v>48750</x:v>
      </x:c>
      <x:c r="R197" s="205" t="n">
        <x:v>0.02</x:v>
      </x:c>
      <x:c r="S197" s="203" t="n">
        <x:f>IFERROR(Q197*(1+R197),"")</x:f>
        <x:v>49725</x:v>
      </x:c>
      <x:c r="T197" s="206" t="n">
        <x:v>1200</x:v>
      </x:c>
      <x:c r="U197" s="206" t="n">
        <x:v>0</x:v>
      </x:c>
      <x:c r="V197" s="203" t="n">
        <x:f>IFERROR(S197+T197+U197,"")</x:f>
        <x:v>50925</x:v>
      </x:c>
      <x:c r="W197" s="203" t="n">
        <x:f>IFERROR(H197/(1+Anyag_Beallitasok!$B$2)*Anyag_Beallitasok!$B$9,"")</x:f>
        <x:v>61904.7619047619</x:v>
      </x:c>
      <x:c r="X197" s="203" t="n">
        <x:f>IFERROR(V197/((1-Anyag_Beallitasok!$B$3)*(1+Anyag_Beallitasok!$B$2)),"")</x:f>
        <x:v>74615.38461538461</x:v>
      </x:c>
      <x:c r="Y197" s="203" t="n">
        <x:f>IFERROR(V197/((1-Anyag_Beallitasok!$B$4)*(1+Anyag_Beallitasok!$B$2)),"")</x:f>
        <x:v>97000</x:v>
      </x:c>
      <x:c r="Z197" s="203" t="n">
        <x:f>IFERROR(ROUNDUP(MAX(W197,X197)/Anyag_Beallitasok!$B$6,0)*Anyag_Beallitasok!$B$6,"")</x:f>
        <x:v>74650</x:v>
      </x:c>
      <x:c r="AA197" s="204" t="n">
        <x:f>Anyag_Beallitasok!$B$2</x:f>
        <x:v>0.05</x:v>
      </x:c>
      <x:c r="AB197" s="203" t="n">
        <x:f>IFERROR(Z197*(1+AA197),"")</x:f>
        <x:v>78382.5</x:v>
      </x:c>
      <x:c r="AC197" s="204" t="n">
        <x:f>IFERROR(1-V197/H197,"")</x:f>
        <x:v>0.21653846153846157</x:v>
      </x:c>
      <x:c r="AD197" s="204" t="n">
        <x:f>IFERROR(1-V197/AB197,"")</x:f>
        <x:v>0.35030140656396513</x:v>
      </x:c>
      <x:c r="AE197" s="19" t="str">
        <x:f>IF(AC197&lt;Anyag_Beallitasok!$B$3,"NEM ÉRI EL A 35%-OT",IF(AC197&lt;Anyag_Beallitasok!$B$4,"MINIMUM 35–49,9%",IF(AC197&lt;Anyag_Beallitasok!$B$5,"IDEÁLIS 50–59,9%","KIEMELKEDŐ ≥60%")))</x:f>
        <x:v>NEM ÉRI EL A 35%-OT</x:v>
      </x:c>
      <x:c r="AF197" s="204" t="n">
        <x:f>IFERROR(AB197/H197-1,"")</x:f>
        <x:v>0.20588461538461544</x:v>
      </x:c>
      <x:c r="AG197" s="19" t="str">
        <x:f>IF(AND(P197="IGEN",O197&gt;0),IF(AF197&gt;Anyag_Beallitasok!$B$10,"0%-OS SZÁMLA + ÖNADÓZÁS; FELÁR SZÜKSÉGES","0%-OS SZÁMLA + ÖNADÓZÁS"),IF(AF197&gt;Anyag_Beallitasok!$B$10,"FELÁR SZÜKSÉGES A 35%-HOZ",IF(AC197&lt;Anyag_Beallitasok!$B$3,"PIACI ÁRON NEM TARTHATÓ A 35%","OK")))</x:f>
        <x:v>FELÁR SZÜKSÉGES A 35%-HOZ</x:v>
      </x:c>
      <x:c r="AH197" s="207" t="n">
        <x:v>2</x:v>
      </x:c>
      <x:c r="AI197" s="207" t="n">
        <x:v>2</x:v>
      </x:c>
      <x:c r="AJ197" s="207" t="n">
        <x:v>2</x:v>
      </x:c>
      <x:c r="AK197" s="208"/>
      <x:c r="AL197" s="203" t="str">
        <x:f>IF(AK197="","",V197*AK197)</x:f>
      </x:c>
      <x:c r="AM197" s="203" t="str">
        <x:f>IF(AK197="","",AB197*AK197)</x:f>
      </x:c>
      <x:c r="AN197" s="204" t="str">
        <x:f>IFERROR(1-AL197/AM197,"")</x:f>
      </x:c>
      <x:c r="AO197" s="19" t="str">
        <x:v>https://www.argep.hu/trend/16OE/16-oetretegue-csoe-ar.html</x:v>
      </x:c>
      <x:c r="AP197" s="19" t="str">
        <x:v>2026 piaci becslés</x:v>
      </x:c>
      <x:c r="AQ197" s="19" t="str"/>
    </x:row>
    <x:row r="198">
      <x:c r="A198" s="19" t="str">
        <x:v>ANY-0197</x:v>
      </x:c>
      <x:c r="B198" s="19" t="str">
        <x:v>12 Gépészet</x:v>
      </x:c>
      <x:c r="C198" s="19" t="str">
        <x:v>Víz, csatorna és szaniter</x:v>
      </x:c>
      <x:c r="D198" s="19" t="str">
        <x:v>Mindegyik</x:v>
      </x:c>
      <x:c r="E198" s="19" t="str">
        <x:v>Akril kád</x:v>
      </x:c>
      <x:c r="F198" s="19" t="str">
        <x:v>170 cm</x:v>
      </x:c>
      <x:c r="G198" s="19" t="str">
        <x:v>db</x:v>
      </x:c>
      <x:c r="H198" s="203" t="n">
        <x:v>110000</x:v>
      </x:c>
      <x:c r="I198" s="204" t="n">
        <x:v>0.27</x:v>
      </x:c>
      <x:c r="J198" s="203" t="n">
        <x:f>IFERROR(H198/(1+I198),"")</x:f>
        <x:v>86614.17322834645</x:v>
      </x:c>
      <x:c r="K198" s="205" t="n">
        <x:v>0.25</x:v>
      </x:c>
      <x:c r="L198" s="203" t="n">
        <x:f>IFERROR(J198*(1-K198),"")</x:f>
        <x:v>64960.62992125984</x:v>
      </x:c>
      <x:c r="M198" s="19" t="str">
        <x:v>27% normál belföldi</x:v>
      </x:c>
      <x:c r="N198" s="204" t="n">
        <x:v>0.27</x:v>
      </x:c>
      <x:c r="O198" s="204" t="n">
        <x:v>0</x:v>
      </x:c>
      <x:c r="P198" s="19" t="str">
        <x:v>NEM</x:v>
      </x:c>
      <x:c r="Q198" s="203" t="n">
        <x:f>IFERROR(L198*(1+N198),"")</x:f>
        <x:v>82500</x:v>
      </x:c>
      <x:c r="R198" s="205" t="n">
        <x:v>0.02</x:v>
      </x:c>
      <x:c r="S198" s="203" t="n">
        <x:f>IFERROR(Q198*(1+R198),"")</x:f>
        <x:v>84150</x:v>
      </x:c>
      <x:c r="T198" s="206" t="n">
        <x:v>2500</x:v>
      </x:c>
      <x:c r="U198" s="206" t="n">
        <x:v>0</x:v>
      </x:c>
      <x:c r="V198" s="203" t="n">
        <x:f>IFERROR(S198+T198+U198,"")</x:f>
        <x:v>86650</x:v>
      </x:c>
      <x:c r="W198" s="203" t="n">
        <x:f>IFERROR(H198/(1+Anyag_Beallitasok!$B$2)*Anyag_Beallitasok!$B$9,"")</x:f>
        <x:v>104761.90476190476</x:v>
      </x:c>
      <x:c r="X198" s="203" t="n">
        <x:f>IFERROR(V198/((1-Anyag_Beallitasok!$B$3)*(1+Anyag_Beallitasok!$B$2)),"")</x:f>
        <x:v>126959.70695970693</x:v>
      </x:c>
      <x:c r="Y198" s="203" t="n">
        <x:f>IFERROR(V198/((1-Anyag_Beallitasok!$B$4)*(1+Anyag_Beallitasok!$B$2)),"")</x:f>
        <x:v>165047.61904761905</x:v>
      </x:c>
      <x:c r="Z198" s="203" t="n">
        <x:f>IFERROR(ROUNDUP(MAX(W198,X198)/Anyag_Beallitasok!$B$6,0)*Anyag_Beallitasok!$B$6,"")</x:f>
        <x:v>127000</x:v>
      </x:c>
      <x:c r="AA198" s="204" t="n">
        <x:f>Anyag_Beallitasok!$B$2</x:f>
        <x:v>0.05</x:v>
      </x:c>
      <x:c r="AB198" s="203" t="n">
        <x:f>IFERROR(Z198*(1+AA198),"")</x:f>
        <x:v>133350</x:v>
      </x:c>
      <x:c r="AC198" s="204" t="n">
        <x:f>IFERROR(1-V198/H198,"")</x:f>
        <x:v>0.21227272727272728</x:v>
      </x:c>
      <x:c r="AD198" s="204" t="n">
        <x:f>IFERROR(1-V198/AB198,"")</x:f>
        <x:v>0.35020622422197223</x:v>
      </x:c>
      <x:c r="AE198" s="19" t="str">
        <x:f>IF(AC198&lt;Anyag_Beallitasok!$B$3,"NEM ÉRI EL A 35%-OT",IF(AC198&lt;Anyag_Beallitasok!$B$4,"MINIMUM 35–49,9%",IF(AC198&lt;Anyag_Beallitasok!$B$5,"IDEÁLIS 50–59,9%","KIEMELKEDŐ ≥60%")))</x:f>
        <x:v>NEM ÉRI EL A 35%-OT</x:v>
      </x:c>
      <x:c r="AF198" s="204" t="n">
        <x:f>IFERROR(AB198/H198-1,"")</x:f>
        <x:v>0.21227272727272717</x:v>
      </x:c>
      <x:c r="AG198" s="19" t="str">
        <x:f>IF(AND(P198="IGEN",O198&gt;0),IF(AF198&gt;Anyag_Beallitasok!$B$10,"0%-OS SZÁMLA + ÖNADÓZÁS; FELÁR SZÜKSÉGES","0%-OS SZÁMLA + ÖNADÓZÁS"),IF(AF198&gt;Anyag_Beallitasok!$B$10,"FELÁR SZÜKSÉGES A 35%-HOZ",IF(AC198&lt;Anyag_Beallitasok!$B$3,"PIACI ÁRON NEM TARTHATÓ A 35%","OK")))</x:f>
        <x:v>FELÁR SZÜKSÉGES A 35%-HOZ</x:v>
      </x:c>
      <x:c r="AH198" s="207" t="n">
        <x:v>1</x:v>
      </x:c>
      <x:c r="AI198" s="207" t="n">
        <x:v>1</x:v>
      </x:c>
      <x:c r="AJ198" s="207" t="n">
        <x:v>1</x:v>
      </x:c>
      <x:c r="AK198" s="208"/>
      <x:c r="AL198" s="203" t="str">
        <x:f>IF(AK198="","",V198*AK198)</x:f>
      </x:c>
      <x:c r="AM198" s="203" t="str">
        <x:f>IF(AK198="","",AB198*AK198)</x:f>
      </x:c>
      <x:c r="AN198" s="204" t="str">
        <x:f>IFERROR(1-AL198/AM198,"")</x:f>
      </x:c>
      <x:c r="AO198" s="19" t="str">
        <x:v>https://www.argep.hu/trend/16OE/16-oetretegue-csoe-ar.html</x:v>
      </x:c>
      <x:c r="AP198" s="19" t="str">
        <x:v>2026 piaci becslés</x:v>
      </x:c>
      <x:c r="AQ198" s="19" t="str"/>
    </x:row>
    <x:row r="199">
      <x:c r="A199" s="19" t="str">
        <x:v>ANY-0198</x:v>
      </x:c>
      <x:c r="B199" s="19" t="str">
        <x:v>12 Gépészet</x:v>
      </x:c>
      <x:c r="C199" s="19" t="str">
        <x:v>Víz, csatorna és szaniter</x:v>
      </x:c>
      <x:c r="D199" s="19" t="str">
        <x:v>Mindegyik</x:v>
      </x:c>
      <x:c r="E199" s="19" t="str">
        <x:v>Konyhai mosogató</x:v>
      </x:c>
      <x:c r="F199" s="19" t="str">
        <x:v>gránit/rozsdamentes</x:v>
      </x:c>
      <x:c r="G199" s="19" t="str">
        <x:v>db</x:v>
      </x:c>
      <x:c r="H199" s="203" t="n">
        <x:v>95000</x:v>
      </x:c>
      <x:c r="I199" s="204" t="n">
        <x:v>0.27</x:v>
      </x:c>
      <x:c r="J199" s="203" t="n">
        <x:f>IFERROR(H199/(1+I199),"")</x:f>
        <x:v>74803.14960629921</x:v>
      </x:c>
      <x:c r="K199" s="205" t="n">
        <x:v>0.25</x:v>
      </x:c>
      <x:c r="L199" s="203" t="n">
        <x:f>IFERROR(J199*(1-K199),"")</x:f>
        <x:v>56102.362204724406</x:v>
      </x:c>
      <x:c r="M199" s="19" t="str">
        <x:v>27% normál belföldi</x:v>
      </x:c>
      <x:c r="N199" s="204" t="n">
        <x:v>0.27</x:v>
      </x:c>
      <x:c r="O199" s="204" t="n">
        <x:v>0</x:v>
      </x:c>
      <x:c r="P199" s="19" t="str">
        <x:v>NEM</x:v>
      </x:c>
      <x:c r="Q199" s="203" t="n">
        <x:f>IFERROR(L199*(1+N199),"")</x:f>
        <x:v>71250</x:v>
      </x:c>
      <x:c r="R199" s="205" t="n">
        <x:v>0.02</x:v>
      </x:c>
      <x:c r="S199" s="203" t="n">
        <x:f>IFERROR(Q199*(1+R199),"")</x:f>
        <x:v>72675</x:v>
      </x:c>
      <x:c r="T199" s="206" t="n">
        <x:v>1500</x:v>
      </x:c>
      <x:c r="U199" s="206" t="n">
        <x:v>0</x:v>
      </x:c>
      <x:c r="V199" s="203" t="n">
        <x:f>IFERROR(S199+T199+U199,"")</x:f>
        <x:v>74175</x:v>
      </x:c>
      <x:c r="W199" s="203" t="n">
        <x:f>IFERROR(H199/(1+Anyag_Beallitasok!$B$2)*Anyag_Beallitasok!$B$9,"")</x:f>
        <x:v>90476.19047619047</x:v>
      </x:c>
      <x:c r="X199" s="203" t="n">
        <x:f>IFERROR(V199/((1-Anyag_Beallitasok!$B$3)*(1+Anyag_Beallitasok!$B$2)),"")</x:f>
        <x:v>108681.31868131866</x:v>
      </x:c>
      <x:c r="Y199" s="203" t="n">
        <x:f>IFERROR(V199/((1-Anyag_Beallitasok!$B$4)*(1+Anyag_Beallitasok!$B$2)),"")</x:f>
        <x:v>141285.7142857143</x:v>
      </x:c>
      <x:c r="Z199" s="203" t="n">
        <x:f>IFERROR(ROUNDUP(MAX(W199,X199)/Anyag_Beallitasok!$B$6,0)*Anyag_Beallitasok!$B$6,"")</x:f>
        <x:v>108700</x:v>
      </x:c>
      <x:c r="AA199" s="204" t="n">
        <x:f>Anyag_Beallitasok!$B$2</x:f>
        <x:v>0.05</x:v>
      </x:c>
      <x:c r="AB199" s="203" t="n">
        <x:f>IFERROR(Z199*(1+AA199),"")</x:f>
        <x:v>114135</x:v>
      </x:c>
      <x:c r="AC199" s="204" t="n">
        <x:f>IFERROR(1-V199/H199,"")</x:f>
        <x:v>0.21921052631578952</x:v>
      </x:c>
      <x:c r="AD199" s="204" t="n">
        <x:f>IFERROR(1-V199/AB199,"")</x:f>
        <x:v>0.35011170981732165</x:v>
      </x:c>
      <x:c r="AE199" s="19" t="str">
        <x:f>IF(AC199&lt;Anyag_Beallitasok!$B$3,"NEM ÉRI EL A 35%-OT",IF(AC199&lt;Anyag_Beallitasok!$B$4,"MINIMUM 35–49,9%",IF(AC199&lt;Anyag_Beallitasok!$B$5,"IDEÁLIS 50–59,9%","KIEMELKEDŐ ≥60%")))</x:f>
        <x:v>NEM ÉRI EL A 35%-OT</x:v>
      </x:c>
      <x:c r="AF199" s="204" t="n">
        <x:f>IFERROR(AB199/H199-1,"")</x:f>
        <x:v>0.20142105263157895</x:v>
      </x:c>
      <x:c r="AG199" s="19" t="str">
        <x:f>IF(AND(P199="IGEN",O199&gt;0),IF(AF199&gt;Anyag_Beallitasok!$B$10,"0%-OS SZÁMLA + ÖNADÓZÁS; FELÁR SZÜKSÉGES","0%-OS SZÁMLA + ÖNADÓZÁS"),IF(AF199&gt;Anyag_Beallitasok!$B$10,"FELÁR SZÜKSÉGES A 35%-HOZ",IF(AC199&lt;Anyag_Beallitasok!$B$3,"PIACI ÁRON NEM TARTHATÓ A 35%","OK")))</x:f>
        <x:v>FELÁR SZÜKSÉGES A 35%-HOZ</x:v>
      </x:c>
      <x:c r="AH199" s="207" t="n">
        <x:v>1</x:v>
      </x:c>
      <x:c r="AI199" s="207" t="n">
        <x:v>1</x:v>
      </x:c>
      <x:c r="AJ199" s="207" t="n">
        <x:v>1</x:v>
      </x:c>
      <x:c r="AK199" s="208"/>
      <x:c r="AL199" s="203" t="str">
        <x:f>IF(AK199="","",V199*AK199)</x:f>
      </x:c>
      <x:c r="AM199" s="203" t="str">
        <x:f>IF(AK199="","",AB199*AK199)</x:f>
      </x:c>
      <x:c r="AN199" s="204" t="str">
        <x:f>IFERROR(1-AL199/AM199,"")</x:f>
      </x:c>
      <x:c r="AO199" s="19" t="str">
        <x:v>https://www.argep.hu/trend/16OE/16-oetretegue-csoe-ar.html</x:v>
      </x:c>
      <x:c r="AP199" s="19" t="str">
        <x:v>2026 piaci becslés</x:v>
      </x:c>
      <x:c r="AQ199" s="19" t="str"/>
    </x:row>
    <x:row r="200">
      <x:c r="A200" s="19" t="str">
        <x:v>ANY-0199</x:v>
      </x:c>
      <x:c r="B200" s="19" t="str">
        <x:v>12 Gépészet</x:v>
      </x:c>
      <x:c r="C200" s="19" t="str">
        <x:v>Víz, csatorna és szaniter</x:v>
      </x:c>
      <x:c r="D200" s="19" t="str">
        <x:v>Mindegyik</x:v>
      </x:c>
      <x:c r="E200" s="19" t="str">
        <x:v>Konyhai csaptelep</x:v>
      </x:c>
      <x:c r="F200" s="19" t="str">
        <x:v>középkategória</x:v>
      </x:c>
      <x:c r="G200" s="19" t="str">
        <x:v>db</x:v>
      </x:c>
      <x:c r="H200" s="203" t="n">
        <x:v>45000</x:v>
      </x:c>
      <x:c r="I200" s="204" t="n">
        <x:v>0.27</x:v>
      </x:c>
      <x:c r="J200" s="203" t="n">
        <x:f>IFERROR(H200/(1+I200),"")</x:f>
        <x:v>35433.07086614173</x:v>
      </x:c>
      <x:c r="K200" s="205" t="n">
        <x:v>0.25</x:v>
      </x:c>
      <x:c r="L200" s="203" t="n">
        <x:f>IFERROR(J200*(1-K200),"")</x:f>
        <x:v>26574.803149606298</x:v>
      </x:c>
      <x:c r="M200" s="19" t="str">
        <x:v>27% normál belföldi</x:v>
      </x:c>
      <x:c r="N200" s="204" t="n">
        <x:v>0.27</x:v>
      </x:c>
      <x:c r="O200" s="204" t="n">
        <x:v>0</x:v>
      </x:c>
      <x:c r="P200" s="19" t="str">
        <x:v>NEM</x:v>
      </x:c>
      <x:c r="Q200" s="203" t="n">
        <x:f>IFERROR(L200*(1+N200),"")</x:f>
        <x:v>33750</x:v>
      </x:c>
      <x:c r="R200" s="205" t="n">
        <x:v>0.02</x:v>
      </x:c>
      <x:c r="S200" s="203" t="n">
        <x:f>IFERROR(Q200*(1+R200),"")</x:f>
        <x:v>34425</x:v>
      </x:c>
      <x:c r="T200" s="206" t="n">
        <x:v>800</x:v>
      </x:c>
      <x:c r="U200" s="206" t="n">
        <x:v>0</x:v>
      </x:c>
      <x:c r="V200" s="203" t="n">
        <x:f>IFERROR(S200+T200+U200,"")</x:f>
        <x:v>35225</x:v>
      </x:c>
      <x:c r="W200" s="203" t="n">
        <x:f>IFERROR(H200/(1+Anyag_Beallitasok!$B$2)*Anyag_Beallitasok!$B$9,"")</x:f>
        <x:v>42857.142857142855</x:v>
      </x:c>
      <x:c r="X200" s="203" t="n">
        <x:f>IFERROR(V200/((1-Anyag_Beallitasok!$B$3)*(1+Anyag_Beallitasok!$B$2)),"")</x:f>
        <x:v>51611.7216117216</x:v>
      </x:c>
      <x:c r="Y200" s="203" t="n">
        <x:f>IFERROR(V200/((1-Anyag_Beallitasok!$B$4)*(1+Anyag_Beallitasok!$B$2)),"")</x:f>
        <x:v>67095.23809523809</x:v>
      </x:c>
      <x:c r="Z200" s="203" t="n">
        <x:f>IFERROR(ROUNDUP(MAX(W200,X200)/Anyag_Beallitasok!$B$6,0)*Anyag_Beallitasok!$B$6,"")</x:f>
        <x:v>51650</x:v>
      </x:c>
      <x:c r="AA200" s="204" t="n">
        <x:f>Anyag_Beallitasok!$B$2</x:f>
        <x:v>0.05</x:v>
      </x:c>
      <x:c r="AB200" s="203" t="n">
        <x:f>IFERROR(Z200*(1+AA200),"")</x:f>
        <x:v>54232.5</x:v>
      </x:c>
      <x:c r="AC200" s="204" t="n">
        <x:f>IFERROR(1-V200/H200,"")</x:f>
        <x:v>0.2172222222222222</x:v>
      </x:c>
      <x:c r="AD200" s="204" t="n">
        <x:f>IFERROR(1-V200/AB200,"")</x:f>
        <x:v>0.3504817222145392</x:v>
      </x:c>
      <x:c r="AE200" s="19" t="str">
        <x:f>IF(AC200&lt;Anyag_Beallitasok!$B$3,"NEM ÉRI EL A 35%-OT",IF(AC200&lt;Anyag_Beallitasok!$B$4,"MINIMUM 35–49,9%",IF(AC200&lt;Anyag_Beallitasok!$B$5,"IDEÁLIS 50–59,9%","KIEMELKEDŐ ≥60%")))</x:f>
        <x:v>NEM ÉRI EL A 35%-OT</x:v>
      </x:c>
      <x:c r="AF200" s="204" t="n">
        <x:f>IFERROR(AB200/H200-1,"")</x:f>
        <x:v>0.20516666666666672</x:v>
      </x:c>
      <x:c r="AG200" s="19" t="str">
        <x:f>IF(AND(P200="IGEN",O200&gt;0),IF(AF200&gt;Anyag_Beallitasok!$B$10,"0%-OS SZÁMLA + ÖNADÓZÁS; FELÁR SZÜKSÉGES","0%-OS SZÁMLA + ÖNADÓZÁS"),IF(AF200&gt;Anyag_Beallitasok!$B$10,"FELÁR SZÜKSÉGES A 35%-HOZ",IF(AC200&lt;Anyag_Beallitasok!$B$3,"PIACI ÁRON NEM TARTHATÓ A 35%","OK")))</x:f>
        <x:v>FELÁR SZÜKSÉGES A 35%-HOZ</x:v>
      </x:c>
      <x:c r="AH200" s="207" t="n">
        <x:v>1</x:v>
      </x:c>
      <x:c r="AI200" s="207" t="n">
        <x:v>1</x:v>
      </x:c>
      <x:c r="AJ200" s="207" t="n">
        <x:v>1</x:v>
      </x:c>
      <x:c r="AK200" s="208"/>
      <x:c r="AL200" s="203" t="str">
        <x:f>IF(AK200="","",V200*AK200)</x:f>
      </x:c>
      <x:c r="AM200" s="203" t="str">
        <x:f>IF(AK200="","",AB200*AK200)</x:f>
      </x:c>
      <x:c r="AN200" s="204" t="str">
        <x:f>IFERROR(1-AL200/AM200,"")</x:f>
      </x:c>
      <x:c r="AO200" s="19" t="str">
        <x:v>https://www.argep.hu/trend/16OE/16-oetretegue-csoe-ar.html</x:v>
      </x:c>
      <x:c r="AP200" s="19" t="str">
        <x:v>2026 piaci becslés</x:v>
      </x:c>
      <x:c r="AQ200" s="19" t="str"/>
    </x:row>
    <x:row r="201">
      <x:c r="A201" s="19" t="str">
        <x:v>ANY-0200</x:v>
      </x:c>
      <x:c r="B201" s="19" t="str">
        <x:v>12 Gépészet</x:v>
      </x:c>
      <x:c r="C201" s="19" t="str">
        <x:v>Víz, csatorna és szaniter</x:v>
      </x:c>
      <x:c r="D201" s="19" t="str">
        <x:v>Mindegyik</x:v>
      </x:c>
      <x:c r="E201" s="19" t="str">
        <x:v>Kerti csap fagymentes</x:v>
      </x:c>
      <x:c r="F201" s="19" t="str">
        <x:v>fali</x:v>
      </x:c>
      <x:c r="G201" s="19" t="str">
        <x:v>db</x:v>
      </x:c>
      <x:c r="H201" s="203" t="n">
        <x:v>18000</x:v>
      </x:c>
      <x:c r="I201" s="204" t="n">
        <x:v>0.27</x:v>
      </x:c>
      <x:c r="J201" s="203" t="n">
        <x:f>IFERROR(H201/(1+I201),"")</x:f>
        <x:v>14173.228346456694</x:v>
      </x:c>
      <x:c r="K201" s="205" t="n">
        <x:v>0.22</x:v>
      </x:c>
      <x:c r="L201" s="203" t="n">
        <x:f>IFERROR(J201*(1-K201),"")</x:f>
        <x:v>11055.11811023622</x:v>
      </x:c>
      <x:c r="M201" s="19" t="str">
        <x:v>27% normál belföldi</x:v>
      </x:c>
      <x:c r="N201" s="204" t="n">
        <x:v>0.27</x:v>
      </x:c>
      <x:c r="O201" s="204" t="n">
        <x:v>0</x:v>
      </x:c>
      <x:c r="P201" s="19" t="str">
        <x:v>NEM</x:v>
      </x:c>
      <x:c r="Q201" s="203" t="n">
        <x:f>IFERROR(L201*(1+N201),"")</x:f>
        <x:v>14040</x:v>
      </x:c>
      <x:c r="R201" s="205" t="n">
        <x:v>0.02</x:v>
      </x:c>
      <x:c r="S201" s="203" t="n">
        <x:f>IFERROR(Q201*(1+R201),"")</x:f>
        <x:v>14320.800000000001</x:v>
      </x:c>
      <x:c r="T201" s="206" t="n">
        <x:v>500</x:v>
      </x:c>
      <x:c r="U201" s="206" t="n">
        <x:v>0</x:v>
      </x:c>
      <x:c r="V201" s="203" t="n">
        <x:f>IFERROR(S201+T201+U201,"")</x:f>
        <x:v>14820.800000000001</x:v>
      </x:c>
      <x:c r="W201" s="203" t="n">
        <x:f>IFERROR(H201/(1+Anyag_Beallitasok!$B$2)*Anyag_Beallitasok!$B$9,"")</x:f>
        <x:v>17142.85714285714</x:v>
      </x:c>
      <x:c r="X201" s="203" t="n">
        <x:f>IFERROR(V201/((1-Anyag_Beallitasok!$B$3)*(1+Anyag_Beallitasok!$B$2)),"")</x:f>
        <x:v>21715.457875457872</x:v>
      </x:c>
      <x:c r="Y201" s="203" t="n">
        <x:f>IFERROR(V201/((1-Anyag_Beallitasok!$B$4)*(1+Anyag_Beallitasok!$B$2)),"")</x:f>
        <x:v>28230.09523809524</x:v>
      </x:c>
      <x:c r="Z201" s="203" t="n">
        <x:f>IFERROR(ROUNDUP(MAX(W201,X201)/Anyag_Beallitasok!$B$6,0)*Anyag_Beallitasok!$B$6,"")</x:f>
        <x:v>21750</x:v>
      </x:c>
      <x:c r="AA201" s="204" t="n">
        <x:f>Anyag_Beallitasok!$B$2</x:f>
        <x:v>0.05</x:v>
      </x:c>
      <x:c r="AB201" s="203" t="n">
        <x:f>IFERROR(Z201*(1+AA201),"")</x:f>
        <x:v>22837.5</x:v>
      </x:c>
      <x:c r="AC201" s="204" t="n">
        <x:f>IFERROR(1-V201/H201,"")</x:f>
        <x:v>0.17662222222222212</x:v>
      </x:c>
      <x:c r="AD201" s="204" t="n">
        <x:f>IFERROR(1-V201/AB201,"")</x:f>
        <x:v>0.35103229337712094</x:v>
      </x:c>
      <x:c r="AE201" s="19" t="str">
        <x:f>IF(AC201&lt;Anyag_Beallitasok!$B$3,"NEM ÉRI EL A 35%-OT",IF(AC201&lt;Anyag_Beallitasok!$B$4,"MINIMUM 35–49,9%",IF(AC201&lt;Anyag_Beallitasok!$B$5,"IDEÁLIS 50–59,9%","KIEMELKEDŐ ≥60%")))</x:f>
        <x:v>NEM ÉRI EL A 35%-OT</x:v>
      </x:c>
      <x:c r="AF201" s="204" t="n">
        <x:f>IFERROR(AB201/H201-1,"")</x:f>
        <x:v>0.26875000000000004</x:v>
      </x:c>
      <x:c r="AG201" s="19" t="str">
        <x:f>IF(AND(P201="IGEN",O201&gt;0),IF(AF201&gt;Anyag_Beallitasok!$B$10,"0%-OS SZÁMLA + ÖNADÓZÁS; FELÁR SZÜKSÉGES","0%-OS SZÁMLA + ÖNADÓZÁS"),IF(AF201&gt;Anyag_Beallitasok!$B$10,"FELÁR SZÜKSÉGES A 35%-HOZ",IF(AC201&lt;Anyag_Beallitasok!$B$3,"PIACI ÁRON NEM TARTHATÓ A 35%","OK")))</x:f>
        <x:v>FELÁR SZÜKSÉGES A 35%-HOZ</x:v>
      </x:c>
      <x:c r="AH201" s="207" t="n">
        <x:v>2</x:v>
      </x:c>
      <x:c r="AI201" s="207" t="n">
        <x:v>2</x:v>
      </x:c>
      <x:c r="AJ201" s="207" t="n">
        <x:v>2</x:v>
      </x:c>
      <x:c r="AK201" s="208"/>
      <x:c r="AL201" s="203" t="str">
        <x:f>IF(AK201="","",V201*AK201)</x:f>
      </x:c>
      <x:c r="AM201" s="203" t="str">
        <x:f>IF(AK201="","",AB201*AK201)</x:f>
      </x:c>
      <x:c r="AN201" s="204" t="str">
        <x:f>IFERROR(1-AL201/AM201,"")</x:f>
      </x:c>
      <x:c r="AO201" s="19" t="str">
        <x:v>https://www.argep.hu/trend/16OE/16-oetretegue-csoe-ar.html</x:v>
      </x:c>
      <x:c r="AP201" s="19" t="str">
        <x:v>2026 piaci becslés</x:v>
      </x:c>
      <x:c r="AQ201" s="19" t="str"/>
    </x:row>
    <x:row r="202">
      <x:c r="A202" s="19" t="str">
        <x:v>ANY-0201</x:v>
      </x:c>
      <x:c r="B202" s="19" t="str">
        <x:v>13 Gépészet</x:v>
      </x:c>
      <x:c r="C202" s="19" t="str">
        <x:v>Fűtés, hűtés, szellőzés</x:v>
      </x:c>
      <x:c r="D202" s="19" t="str">
        <x:v>Mindegyik</x:v>
      </x:c>
      <x:c r="E202" s="19" t="str">
        <x:v>Padlófűtés cső 16×2</x:v>
      </x:c>
      <x:c r="F202" s="19" t="str">
        <x:v>PE-X/ötrétegű</x:v>
      </x:c>
      <x:c r="G202" s="19" t="str">
        <x:v>fm</x:v>
      </x:c>
      <x:c r="H202" s="203" t="n">
        <x:v>275</x:v>
      </x:c>
      <x:c r="I202" s="204" t="n">
        <x:v>0.27</x:v>
      </x:c>
      <x:c r="J202" s="203" t="n">
        <x:f>IFERROR(H202/(1+I202),"")</x:f>
        <x:v>216.53543307086613</x:v>
      </x:c>
      <x:c r="K202" s="205" t="n">
        <x:v>0.22</x:v>
      </x:c>
      <x:c r="L202" s="203" t="n">
        <x:f>IFERROR(J202*(1-K202),"")</x:f>
        <x:v>168.89763779527559</x:v>
      </x:c>
      <x:c r="M202" s="19" t="str">
        <x:v>27% normál belföldi</x:v>
      </x:c>
      <x:c r="N202" s="204" t="n">
        <x:v>0.27</x:v>
      </x:c>
      <x:c r="O202" s="204" t="n">
        <x:v>0</x:v>
      </x:c>
      <x:c r="P202" s="19" t="str">
        <x:v>NEM</x:v>
      </x:c>
      <x:c r="Q202" s="203" t="n">
        <x:f>IFERROR(L202*(1+N202),"")</x:f>
        <x:v>214.5</x:v>
      </x:c>
      <x:c r="R202" s="205" t="n">
        <x:v>0.08</x:v>
      </x:c>
      <x:c r="S202" s="203" t="n">
        <x:f>IFERROR(Q202*(1+R202),"")</x:f>
        <x:v>231.66000000000003</x:v>
      </x:c>
      <x:c r="T202" s="206" t="n">
        <x:v>12</x:v>
      </x:c>
      <x:c r="U202" s="206" t="n">
        <x:v>0</x:v>
      </x:c>
      <x:c r="V202" s="203" t="n">
        <x:f>IFERROR(S202+T202+U202,"")</x:f>
        <x:v>243.66000000000003</x:v>
      </x:c>
      <x:c r="W202" s="203" t="n">
        <x:f>IFERROR(H202/(1+Anyag_Beallitasok!$B$2)*Anyag_Beallitasok!$B$9,"")</x:f>
        <x:v>261.90476190476187</x:v>
      </x:c>
      <x:c r="X202" s="203" t="n">
        <x:f>IFERROR(V202/((1-Anyag_Beallitasok!$B$3)*(1+Anyag_Beallitasok!$B$2)),"")</x:f>
        <x:v>357.01098901098896</x:v>
      </x:c>
      <x:c r="Y202" s="203" t="n">
        <x:f>IFERROR(V202/((1-Anyag_Beallitasok!$B$4)*(1+Anyag_Beallitasok!$B$2)),"")</x:f>
        <x:v>464.11428571428576</x:v>
      </x:c>
      <x:c r="Z202" s="203" t="n">
        <x:f>IFERROR(ROUNDUP(MAX(W202,X202)/Anyag_Beallitasok!$B$6,0)*Anyag_Beallitasok!$B$6,"")</x:f>
        <x:v>400</x:v>
      </x:c>
      <x:c r="AA202" s="204" t="n">
        <x:f>Anyag_Beallitasok!$B$2</x:f>
        <x:v>0.05</x:v>
      </x:c>
      <x:c r="AB202" s="203" t="n">
        <x:f>IFERROR(Z202*(1+AA202),"")</x:f>
        <x:v>420</x:v>
      </x:c>
      <x:c r="AC202" s="204" t="n">
        <x:f>IFERROR(1-V202/H202,"")</x:f>
        <x:v>0.11396363636363627</x:v>
      </x:c>
      <x:c r="AD202" s="204" t="n">
        <x:f>IFERROR(1-V202/AB202,"")</x:f>
        <x:v>0.4198571428571428</x:v>
      </x:c>
      <x:c r="AE202" s="19" t="str">
        <x:f>IF(AC202&lt;Anyag_Beallitasok!$B$3,"NEM ÉRI EL A 35%-OT",IF(AC202&lt;Anyag_Beallitasok!$B$4,"MINIMUM 35–49,9%",IF(AC202&lt;Anyag_Beallitasok!$B$5,"IDEÁLIS 50–59,9%","KIEMELKEDŐ ≥60%")))</x:f>
        <x:v>NEM ÉRI EL A 35%-OT</x:v>
      </x:c>
      <x:c r="AF202" s="204" t="n">
        <x:f>IFERROR(AB202/H202-1,"")</x:f>
        <x:v>0.5272727272727273</x:v>
      </x:c>
      <x:c r="AG202" s="19" t="str">
        <x:f>IF(AND(P202="IGEN",O202&gt;0),IF(AF202&gt;Anyag_Beallitasok!$B$10,"0%-OS SZÁMLA + ÖNADÓZÁS; FELÁR SZÜKSÉGES","0%-OS SZÁMLA + ÖNADÓZÁS"),IF(AF202&gt;Anyag_Beallitasok!$B$10,"FELÁR SZÜKSÉGES A 35%-HOZ",IF(AC202&lt;Anyag_Beallitasok!$B$3,"PIACI ÁRON NEM TARTHATÓ A 35%","OK")))</x:f>
        <x:v>FELÁR SZÜKSÉGES A 35%-HOZ</x:v>
      </x:c>
      <x:c r="AH202" s="207" t="n">
        <x:v>950</x:v>
      </x:c>
      <x:c r="AI202" s="207" t="n">
        <x:v>950</x:v>
      </x:c>
      <x:c r="AJ202" s="207" t="n">
        <x:v>950</x:v>
      </x:c>
      <x:c r="AK202" s="208"/>
      <x:c r="AL202" s="203" t="str">
        <x:f>IF(AK202="","",V202*AK202)</x:f>
      </x:c>
      <x:c r="AM202" s="203" t="str">
        <x:f>IF(AK202="","",AB202*AK202)</x:f>
      </x:c>
      <x:c r="AN202" s="204" t="str">
        <x:f>IFERROR(1-AL202/AM202,"")</x:f>
      </x:c>
      <x:c r="AO202" s="19" t="str">
        <x:v>https://www.argep.hu/trend/16OE/16-oetretegue-csoe-ar.html</x:v>
      </x:c>
      <x:c r="AP202" s="19" t="str">
        <x:v>Közvetlen 2026 webár</x:v>
      </x:c>
      <x:c r="AQ202" s="19" t="str"/>
    </x:row>
    <x:row r="203">
      <x:c r="A203" s="19" t="str">
        <x:v>ANY-0202</x:v>
      </x:c>
      <x:c r="B203" s="19" t="str">
        <x:v>13 Gépészet</x:v>
      </x:c>
      <x:c r="C203" s="19" t="str">
        <x:v>Fűtés, hűtés, szellőzés</x:v>
      </x:c>
      <x:c r="D203" s="19" t="str">
        <x:v>Mindegyik</x:v>
      </x:c>
      <x:c r="E203" s="19" t="str">
        <x:v>Padlófűtés rendszerlemez</x:v>
      </x:c>
      <x:c r="F203" s="19" t="str">
        <x:v>pogácsás / tacker</x:v>
      </x:c>
      <x:c r="G203" s="19" t="str">
        <x:v>m²</x:v>
      </x:c>
      <x:c r="H203" s="203" t="n">
        <x:v>3200</x:v>
      </x:c>
      <x:c r="I203" s="204" t="n">
        <x:v>0.27</x:v>
      </x:c>
      <x:c r="J203" s="203" t="n">
        <x:f>IFERROR(H203/(1+I203),"")</x:f>
        <x:v>2519.685039370079</x:v>
      </x:c>
      <x:c r="K203" s="205" t="n">
        <x:v>0.22</x:v>
      </x:c>
      <x:c r="L203" s="203" t="n">
        <x:f>IFERROR(J203*(1-K203),"")</x:f>
        <x:v>1965.3543307086616</x:v>
      </x:c>
      <x:c r="M203" s="19" t="str">
        <x:v>27% normál belföldi</x:v>
      </x:c>
      <x:c r="N203" s="204" t="n">
        <x:v>0.27</x:v>
      </x:c>
      <x:c r="O203" s="204" t="n">
        <x:v>0</x:v>
      </x:c>
      <x:c r="P203" s="19" t="str">
        <x:v>NEM</x:v>
      </x:c>
      <x:c r="Q203" s="203" t="n">
        <x:f>IFERROR(L203*(1+N203),"")</x:f>
        <x:v>2496</x:v>
      </x:c>
      <x:c r="R203" s="205" t="n">
        <x:v>0.05</x:v>
      </x:c>
      <x:c r="S203" s="203" t="n">
        <x:f>IFERROR(Q203*(1+R203),"")</x:f>
        <x:v>2620.8</x:v>
      </x:c>
      <x:c r="T203" s="206" t="n">
        <x:v>120</x:v>
      </x:c>
      <x:c r="U203" s="206" t="n">
        <x:v>0</x:v>
      </x:c>
      <x:c r="V203" s="203" t="n">
        <x:f>IFERROR(S203+T203+U203,"")</x:f>
        <x:v>2740.8</x:v>
      </x:c>
      <x:c r="W203" s="203" t="n">
        <x:f>IFERROR(H203/(1+Anyag_Beallitasok!$B$2)*Anyag_Beallitasok!$B$9,"")</x:f>
        <x:v>3047.6190476190477</x:v>
      </x:c>
      <x:c r="X203" s="203" t="n">
        <x:f>IFERROR(V203/((1-Anyag_Beallitasok!$B$3)*(1+Anyag_Beallitasok!$B$2)),"")</x:f>
        <x:v>4015.8241758241757</x:v>
      </x:c>
      <x:c r="Y203" s="203" t="n">
        <x:f>IFERROR(V203/((1-Anyag_Beallitasok!$B$4)*(1+Anyag_Beallitasok!$B$2)),"")</x:f>
        <x:v>5220.571428571428</x:v>
      </x:c>
      <x:c r="Z203" s="203" t="n">
        <x:f>IFERROR(ROUNDUP(MAX(W203,X203)/Anyag_Beallitasok!$B$6,0)*Anyag_Beallitasok!$B$6,"")</x:f>
        <x:v>4050</x:v>
      </x:c>
      <x:c r="AA203" s="204" t="n">
        <x:f>Anyag_Beallitasok!$B$2</x:f>
        <x:v>0.05</x:v>
      </x:c>
      <x:c r="AB203" s="203" t="n">
        <x:f>IFERROR(Z203*(1+AA203),"")</x:f>
        <x:v>4252.5</x:v>
      </x:c>
      <x:c r="AC203" s="204" t="n">
        <x:f>IFERROR(1-V203/H203,"")</x:f>
        <x:v>0.14349999999999996</x:v>
      </x:c>
      <x:c r="AD203" s="204" t="n">
        <x:f>IFERROR(1-V203/AB203,"")</x:f>
        <x:v>0.3554850088183421</x:v>
      </x:c>
      <x:c r="AE203" s="19" t="str">
        <x:f>IF(AC203&lt;Anyag_Beallitasok!$B$3,"NEM ÉRI EL A 35%-OT",IF(AC203&lt;Anyag_Beallitasok!$B$4,"MINIMUM 35–49,9%",IF(AC203&lt;Anyag_Beallitasok!$B$5,"IDEÁLIS 50–59,9%","KIEMELKEDŐ ≥60%")))</x:f>
        <x:v>NEM ÉRI EL A 35%-OT</x:v>
      </x:c>
      <x:c r="AF203" s="204" t="n">
        <x:f>IFERROR(AB203/H203-1,"")</x:f>
        <x:v>0.32890624999999996</x:v>
      </x:c>
      <x:c r="AG203" s="19" t="str">
        <x:f>IF(AND(P203="IGEN",O203&gt;0),IF(AF203&gt;Anyag_Beallitasok!$B$10,"0%-OS SZÁMLA + ÖNADÓZÁS; FELÁR SZÜKSÉGES","0%-OS SZÁMLA + ÖNADÓZÁS"),IF(AF203&gt;Anyag_Beallitasok!$B$10,"FELÁR SZÜKSÉGES A 35%-HOZ",IF(AC203&lt;Anyag_Beallitasok!$B$3,"PIACI ÁRON NEM TARTHATÓ A 35%","OK")))</x:f>
        <x:v>FELÁR SZÜKSÉGES A 35%-HOZ</x:v>
      </x:c>
      <x:c r="AH203" s="207" t="n">
        <x:v>120</x:v>
      </x:c>
      <x:c r="AI203" s="207" t="n">
        <x:v>120</x:v>
      </x:c>
      <x:c r="AJ203" s="207" t="n">
        <x:v>120</x:v>
      </x:c>
      <x:c r="AK203" s="208"/>
      <x:c r="AL203" s="203" t="str">
        <x:f>IF(AK203="","",V203*AK203)</x:f>
      </x:c>
      <x:c r="AM203" s="203" t="str">
        <x:f>IF(AK203="","",AB203*AK203)</x:f>
      </x:c>
      <x:c r="AN203" s="204" t="str">
        <x:f>IFERROR(1-AL203/AM203,"")</x:f>
      </x:c>
      <x:c r="AO203" s="19" t="str">
        <x:v>https://www.argep.hu/trend/16OE/16-oetretegue-csoe-ar.html</x:v>
      </x:c>
      <x:c r="AP203" s="19" t="str">
        <x:v>2026 piaci becslés</x:v>
      </x:c>
      <x:c r="AQ203" s="19" t="str"/>
    </x:row>
    <x:row r="204">
      <x:c r="A204" s="19" t="str">
        <x:v>ANY-0203</x:v>
      </x:c>
      <x:c r="B204" s="19" t="str">
        <x:v>13 Gépészet</x:v>
      </x:c>
      <x:c r="C204" s="19" t="str">
        <x:v>Fűtés, hűtés, szellőzés</x:v>
      </x:c>
      <x:c r="D204" s="19" t="str">
        <x:v>Mindegyik</x:v>
      </x:c>
      <x:c r="E204" s="19" t="str">
        <x:v>Padlófűtés osztó-gyűjtő 8 kör</x:v>
      </x:c>
      <x:c r="F204" s="19" t="str">
        <x:v>átfolyásmérős</x:v>
      </x:c>
      <x:c r="G204" s="19" t="str">
        <x:v>db</x:v>
      </x:c>
      <x:c r="H204" s="203" t="n">
        <x:v>95000</x:v>
      </x:c>
      <x:c r="I204" s="204" t="n">
        <x:v>0.27</x:v>
      </x:c>
      <x:c r="J204" s="203" t="n">
        <x:f>IFERROR(H204/(1+I204),"")</x:f>
        <x:v>74803.14960629921</x:v>
      </x:c>
      <x:c r="K204" s="205" t="n">
        <x:v>0.25</x:v>
      </x:c>
      <x:c r="L204" s="203" t="n">
        <x:f>IFERROR(J204*(1-K204),"")</x:f>
        <x:v>56102.362204724406</x:v>
      </x:c>
      <x:c r="M204" s="19" t="str">
        <x:v>27% normál belföldi</x:v>
      </x:c>
      <x:c r="N204" s="204" t="n">
        <x:v>0.27</x:v>
      </x:c>
      <x:c r="O204" s="204" t="n">
        <x:v>0</x:v>
      </x:c>
      <x:c r="P204" s="19" t="str">
        <x:v>NEM</x:v>
      </x:c>
      <x:c r="Q204" s="203" t="n">
        <x:f>IFERROR(L204*(1+N204),"")</x:f>
        <x:v>71250</x:v>
      </x:c>
      <x:c r="R204" s="205" t="n">
        <x:v>0.02</x:v>
      </x:c>
      <x:c r="S204" s="203" t="n">
        <x:f>IFERROR(Q204*(1+R204),"")</x:f>
        <x:v>72675</x:v>
      </x:c>
      <x:c r="T204" s="206" t="n">
        <x:v>1800</x:v>
      </x:c>
      <x:c r="U204" s="206" t="n">
        <x:v>0</x:v>
      </x:c>
      <x:c r="V204" s="203" t="n">
        <x:f>IFERROR(S204+T204+U204,"")</x:f>
        <x:v>74475</x:v>
      </x:c>
      <x:c r="W204" s="203" t="n">
        <x:f>IFERROR(H204/(1+Anyag_Beallitasok!$B$2)*Anyag_Beallitasok!$B$9,"")</x:f>
        <x:v>90476.19047619047</x:v>
      </x:c>
      <x:c r="X204" s="203" t="n">
        <x:f>IFERROR(V204/((1-Anyag_Beallitasok!$B$3)*(1+Anyag_Beallitasok!$B$2)),"")</x:f>
        <x:v>109120.87912087911</x:v>
      </x:c>
      <x:c r="Y204" s="203" t="n">
        <x:f>IFERROR(V204/((1-Anyag_Beallitasok!$B$4)*(1+Anyag_Beallitasok!$B$2)),"")</x:f>
        <x:v>141857.14285714284</x:v>
      </x:c>
      <x:c r="Z204" s="203" t="n">
        <x:f>IFERROR(ROUNDUP(MAX(W204,X204)/Anyag_Beallitasok!$B$6,0)*Anyag_Beallitasok!$B$6,"")</x:f>
        <x:v>109150</x:v>
      </x:c>
      <x:c r="AA204" s="204" t="n">
        <x:f>Anyag_Beallitasok!$B$2</x:f>
        <x:v>0.05</x:v>
      </x:c>
      <x:c r="AB204" s="203" t="n">
        <x:f>IFERROR(Z204*(1+AA204),"")</x:f>
        <x:v>114607.5</x:v>
      </x:c>
      <x:c r="AC204" s="204" t="n">
        <x:f>IFERROR(1-V204/H204,"")</x:f>
        <x:v>0.21605263157894739</x:v>
      </x:c>
      <x:c r="AD204" s="204" t="n">
        <x:f>IFERROR(1-V204/AB204,"")</x:f>
        <x:v>0.3501734179700281</x:v>
      </x:c>
      <x:c r="AE204" s="19" t="str">
        <x:f>IF(AC204&lt;Anyag_Beallitasok!$B$3,"NEM ÉRI EL A 35%-OT",IF(AC204&lt;Anyag_Beallitasok!$B$4,"MINIMUM 35–49,9%",IF(AC204&lt;Anyag_Beallitasok!$B$5,"IDEÁLIS 50–59,9%","KIEMELKEDŐ ≥60%")))</x:f>
        <x:v>NEM ÉRI EL A 35%-OT</x:v>
      </x:c>
      <x:c r="AF204" s="204" t="n">
        <x:f>IFERROR(AB204/H204-1,"")</x:f>
        <x:v>0.2063947368421053</x:v>
      </x:c>
      <x:c r="AG204" s="19" t="str">
        <x:f>IF(AND(P204="IGEN",O204&gt;0),IF(AF204&gt;Anyag_Beallitasok!$B$10,"0%-OS SZÁMLA + ÖNADÓZÁS; FELÁR SZÜKSÉGES","0%-OS SZÁMLA + ÖNADÓZÁS"),IF(AF204&gt;Anyag_Beallitasok!$B$10,"FELÁR SZÜKSÉGES A 35%-HOZ",IF(AC204&lt;Anyag_Beallitasok!$B$3,"PIACI ÁRON NEM TARTHATÓ A 35%","OK")))</x:f>
        <x:v>FELÁR SZÜKSÉGES A 35%-HOZ</x:v>
      </x:c>
      <x:c r="AH204" s="207" t="n">
        <x:v>2</x:v>
      </x:c>
      <x:c r="AI204" s="207" t="n">
        <x:v>2</x:v>
      </x:c>
      <x:c r="AJ204" s="207" t="n">
        <x:v>2</x:v>
      </x:c>
      <x:c r="AK204" s="208"/>
      <x:c r="AL204" s="203" t="str">
        <x:f>IF(AK204="","",V204*AK204)</x:f>
      </x:c>
      <x:c r="AM204" s="203" t="str">
        <x:f>IF(AK204="","",AB204*AK204)</x:f>
      </x:c>
      <x:c r="AN204" s="204" t="str">
        <x:f>IFERROR(1-AL204/AM204,"")</x:f>
      </x:c>
      <x:c r="AO204" s="19" t="str">
        <x:v>https://www.argep.hu/trend/16OE/16-oetretegue-csoe-ar.html</x:v>
      </x:c>
      <x:c r="AP204" s="19" t="str">
        <x:v>2026 piaci becslés</x:v>
      </x:c>
      <x:c r="AQ204" s="19" t="str"/>
    </x:row>
    <x:row r="205">
      <x:c r="A205" s="19" t="str">
        <x:v>ANY-0204</x:v>
      </x:c>
      <x:c r="B205" s="19" t="str">
        <x:v>13 Gépészet</x:v>
      </x:c>
      <x:c r="C205" s="19" t="str">
        <x:v>Fűtés, hűtés, szellőzés</x:v>
      </x:c>
      <x:c r="D205" s="19" t="str">
        <x:v>Mindegyik</x:v>
      </x:c>
      <x:c r="E205" s="19" t="str">
        <x:v>Padlófűtés osztó-gyűjtő szekrény</x:v>
      </x:c>
      <x:c r="F205" s="19" t="str">
        <x:v>falon kívüli/süllyesztett</x:v>
      </x:c>
      <x:c r="G205" s="19" t="str">
        <x:v>db</x:v>
      </x:c>
      <x:c r="H205" s="203" t="n">
        <x:v>42000</x:v>
      </x:c>
      <x:c r="I205" s="204" t="n">
        <x:v>0.27</x:v>
      </x:c>
      <x:c r="J205" s="203" t="n">
        <x:f>IFERROR(H205/(1+I205),"")</x:f>
        <x:v>33070.86614173228</x:v>
      </x:c>
      <x:c r="K205" s="205" t="n">
        <x:v>0.25</x:v>
      </x:c>
      <x:c r="L205" s="203" t="n">
        <x:f>IFERROR(J205*(1-K205),"")</x:f>
        <x:v>24803.14960629921</x:v>
      </x:c>
      <x:c r="M205" s="19" t="str">
        <x:v>27% normál belföldi</x:v>
      </x:c>
      <x:c r="N205" s="204" t="n">
        <x:v>0.27</x:v>
      </x:c>
      <x:c r="O205" s="204" t="n">
        <x:v>0</x:v>
      </x:c>
      <x:c r="P205" s="19" t="str">
        <x:v>NEM</x:v>
      </x:c>
      <x:c r="Q205" s="203" t="n">
        <x:f>IFERROR(L205*(1+N205),"")</x:f>
        <x:v>31499.999999999996</x:v>
      </x:c>
      <x:c r="R205" s="205" t="n">
        <x:v>0.02</x:v>
      </x:c>
      <x:c r="S205" s="203" t="n">
        <x:f>IFERROR(Q205*(1+R205),"")</x:f>
        <x:v>32129.999999999996</x:v>
      </x:c>
      <x:c r="T205" s="206" t="n">
        <x:v>900</x:v>
      </x:c>
      <x:c r="U205" s="206" t="n">
        <x:v>0</x:v>
      </x:c>
      <x:c r="V205" s="203" t="n">
        <x:f>IFERROR(S205+T205+U205,"")</x:f>
        <x:v>33030</x:v>
      </x:c>
      <x:c r="W205" s="203" t="n">
        <x:f>IFERROR(H205/(1+Anyag_Beallitasok!$B$2)*Anyag_Beallitasok!$B$9,"")</x:f>
        <x:v>40000</x:v>
      </x:c>
      <x:c r="X205" s="203" t="n">
        <x:f>IFERROR(V205/((1-Anyag_Beallitasok!$B$3)*(1+Anyag_Beallitasok!$B$2)),"")</x:f>
        <x:v>48395.60439560439</x:v>
      </x:c>
      <x:c r="Y205" s="203" t="n">
        <x:f>IFERROR(V205/((1-Anyag_Beallitasok!$B$4)*(1+Anyag_Beallitasok!$B$2)),"")</x:f>
        <x:v>62914.28571428571</x:v>
      </x:c>
      <x:c r="Z205" s="203" t="n">
        <x:f>IFERROR(ROUNDUP(MAX(W205,X205)/Anyag_Beallitasok!$B$6,0)*Anyag_Beallitasok!$B$6,"")</x:f>
        <x:v>48400</x:v>
      </x:c>
      <x:c r="AA205" s="204" t="n">
        <x:f>Anyag_Beallitasok!$B$2</x:f>
        <x:v>0.05</x:v>
      </x:c>
      <x:c r="AB205" s="203" t="n">
        <x:f>IFERROR(Z205*(1+AA205),"")</x:f>
        <x:v>50820</x:v>
      </x:c>
      <x:c r="AC205" s="204" t="n">
        <x:f>IFERROR(1-V205/H205,"")</x:f>
        <x:v>0.21357142857142852</x:v>
      </x:c>
      <x:c r="AD205" s="204" t="n">
        <x:f>IFERROR(1-V205/AB205,"")</x:f>
        <x:v>0.35005903187721366</x:v>
      </x:c>
      <x:c r="AE205" s="19" t="str">
        <x:f>IF(AC205&lt;Anyag_Beallitasok!$B$3,"NEM ÉRI EL A 35%-OT",IF(AC205&lt;Anyag_Beallitasok!$B$4,"MINIMUM 35–49,9%",IF(AC205&lt;Anyag_Beallitasok!$B$5,"IDEÁLIS 50–59,9%","KIEMELKEDŐ ≥60%")))</x:f>
        <x:v>NEM ÉRI EL A 35%-OT</x:v>
      </x:c>
      <x:c r="AF205" s="204" t="n">
        <x:f>IFERROR(AB205/H205-1,"")</x:f>
        <x:v>0.20999999999999996</x:v>
      </x:c>
      <x:c r="AG205" s="19" t="str">
        <x:f>IF(AND(P205="IGEN",O205&gt;0),IF(AF205&gt;Anyag_Beallitasok!$B$10,"0%-OS SZÁMLA + ÖNADÓZÁS; FELÁR SZÜKSÉGES","0%-OS SZÁMLA + ÖNADÓZÁS"),IF(AF205&gt;Anyag_Beallitasok!$B$10,"FELÁR SZÜKSÉGES A 35%-HOZ",IF(AC205&lt;Anyag_Beallitasok!$B$3,"PIACI ÁRON NEM TARTHATÓ A 35%","OK")))</x:f>
        <x:v>FELÁR SZÜKSÉGES A 35%-HOZ</x:v>
      </x:c>
      <x:c r="AH205" s="207" t="n">
        <x:v>2</x:v>
      </x:c>
      <x:c r="AI205" s="207" t="n">
        <x:v>2</x:v>
      </x:c>
      <x:c r="AJ205" s="207" t="n">
        <x:v>2</x:v>
      </x:c>
      <x:c r="AK205" s="208"/>
      <x:c r="AL205" s="203" t="str">
        <x:f>IF(AK205="","",V205*AK205)</x:f>
      </x:c>
      <x:c r="AM205" s="203" t="str">
        <x:f>IF(AK205="","",AB205*AK205)</x:f>
      </x:c>
      <x:c r="AN205" s="204" t="str">
        <x:f>IFERROR(1-AL205/AM205,"")</x:f>
      </x:c>
      <x:c r="AO205" s="19" t="str">
        <x:v>https://www.argep.hu/trend/16OE/16-oetretegue-csoe-ar.html</x:v>
      </x:c>
      <x:c r="AP205" s="19" t="str">
        <x:v>2026 piaci becslés</x:v>
      </x:c>
      <x:c r="AQ205" s="19" t="str"/>
    </x:row>
    <x:row r="206">
      <x:c r="A206" s="19" t="str">
        <x:v>ANY-0205</x:v>
      </x:c>
      <x:c r="B206" s="19" t="str">
        <x:v>13 Gépészet</x:v>
      </x:c>
      <x:c r="C206" s="19" t="str">
        <x:v>Fűtés, hűtés, szellőzés</x:v>
      </x:c>
      <x:c r="D206" s="19" t="str">
        <x:v>Mindegyik</x:v>
      </x:c>
      <x:c r="E206" s="19" t="str">
        <x:v>Termosztát vezetékes</x:v>
      </x:c>
      <x:c r="F206" s="19" t="str">
        <x:v>helyiségenként</x:v>
      </x:c>
      <x:c r="G206" s="19" t="str">
        <x:v>db</x:v>
      </x:c>
      <x:c r="H206" s="203" t="n">
        <x:v>18000</x:v>
      </x:c>
      <x:c r="I206" s="204" t="n">
        <x:v>0.27</x:v>
      </x:c>
      <x:c r="J206" s="203" t="n">
        <x:f>IFERROR(H206/(1+I206),"")</x:f>
        <x:v>14173.228346456694</x:v>
      </x:c>
      <x:c r="K206" s="205" t="n">
        <x:v>0.25</x:v>
      </x:c>
      <x:c r="L206" s="203" t="n">
        <x:f>IFERROR(J206*(1-K206),"")</x:f>
        <x:v>10629.92125984252</x:v>
      </x:c>
      <x:c r="M206" s="19" t="str">
        <x:v>27% normál belföldi</x:v>
      </x:c>
      <x:c r="N206" s="204" t="n">
        <x:v>0.27</x:v>
      </x:c>
      <x:c r="O206" s="204" t="n">
        <x:v>0</x:v>
      </x:c>
      <x:c r="P206" s="19" t="str">
        <x:v>NEM</x:v>
      </x:c>
      <x:c r="Q206" s="203" t="n">
        <x:f>IFERROR(L206*(1+N206),"")</x:f>
        <x:v>13500</x:v>
      </x:c>
      <x:c r="R206" s="205" t="n">
        <x:v>0.02</x:v>
      </x:c>
      <x:c r="S206" s="203" t="n">
        <x:f>IFERROR(Q206*(1+R206),"")</x:f>
        <x:v>13770</x:v>
      </x:c>
      <x:c r="T206" s="206" t="n">
        <x:v>300</x:v>
      </x:c>
      <x:c r="U206" s="206" t="n">
        <x:v>0</x:v>
      </x:c>
      <x:c r="V206" s="203" t="n">
        <x:f>IFERROR(S206+T206+U206,"")</x:f>
        <x:v>14070</x:v>
      </x:c>
      <x:c r="W206" s="203" t="n">
        <x:f>IFERROR(H206/(1+Anyag_Beallitasok!$B$2)*Anyag_Beallitasok!$B$9,"")</x:f>
        <x:v>17142.85714285714</x:v>
      </x:c>
      <x:c r="X206" s="203" t="n">
        <x:f>IFERROR(V206/((1-Anyag_Beallitasok!$B$3)*(1+Anyag_Beallitasok!$B$2)),"")</x:f>
        <x:v>20615.384615384613</x:v>
      </x:c>
      <x:c r="Y206" s="203" t="n">
        <x:f>IFERROR(V206/((1-Anyag_Beallitasok!$B$4)*(1+Anyag_Beallitasok!$B$2)),"")</x:f>
        <x:v>26800</x:v>
      </x:c>
      <x:c r="Z206" s="203" t="n">
        <x:f>IFERROR(ROUNDUP(MAX(W206,X206)/Anyag_Beallitasok!$B$6,0)*Anyag_Beallitasok!$B$6,"")</x:f>
        <x:v>20650</x:v>
      </x:c>
      <x:c r="AA206" s="204" t="n">
        <x:f>Anyag_Beallitasok!$B$2</x:f>
        <x:v>0.05</x:v>
      </x:c>
      <x:c r="AB206" s="203" t="n">
        <x:f>IFERROR(Z206*(1+AA206),"")</x:f>
        <x:v>21682.5</x:v>
      </x:c>
      <x:c r="AC206" s="204" t="n">
        <x:f>IFERROR(1-V206/H206,"")</x:f>
        <x:v>0.21833333333333338</x:v>
      </x:c>
      <x:c r="AD206" s="204" t="n">
        <x:f>IFERROR(1-V206/AB206,"")</x:f>
        <x:v>0.35108958837772397</x:v>
      </x:c>
      <x:c r="AE206" s="19" t="str">
        <x:f>IF(AC206&lt;Anyag_Beallitasok!$B$3,"NEM ÉRI EL A 35%-OT",IF(AC206&lt;Anyag_Beallitasok!$B$4,"MINIMUM 35–49,9%",IF(AC206&lt;Anyag_Beallitasok!$B$5,"IDEÁLIS 50–59,9%","KIEMELKEDŐ ≥60%")))</x:f>
        <x:v>NEM ÉRI EL A 35%-OT</x:v>
      </x:c>
      <x:c r="AF206" s="204" t="n">
        <x:f>IFERROR(AB206/H206-1,"")</x:f>
        <x:v>0.20458333333333334</x:v>
      </x:c>
      <x:c r="AG206" s="19" t="str">
        <x:f>IF(AND(P206="IGEN",O206&gt;0),IF(AF206&gt;Anyag_Beallitasok!$B$10,"0%-OS SZÁMLA + ÖNADÓZÁS; FELÁR SZÜKSÉGES","0%-OS SZÁMLA + ÖNADÓZÁS"),IF(AF206&gt;Anyag_Beallitasok!$B$10,"FELÁR SZÜKSÉGES A 35%-HOZ",IF(AC206&lt;Anyag_Beallitasok!$B$3,"PIACI ÁRON NEM TARTHATÓ A 35%","OK")))</x:f>
        <x:v>FELÁR SZÜKSÉGES A 35%-HOZ</x:v>
      </x:c>
      <x:c r="AH206" s="207" t="n">
        <x:v>8</x:v>
      </x:c>
      <x:c r="AI206" s="207" t="n">
        <x:v>8</x:v>
      </x:c>
      <x:c r="AJ206" s="207" t="n">
        <x:v>8</x:v>
      </x:c>
      <x:c r="AK206" s="208"/>
      <x:c r="AL206" s="203" t="str">
        <x:f>IF(AK206="","",V206*AK206)</x:f>
      </x:c>
      <x:c r="AM206" s="203" t="str">
        <x:f>IF(AK206="","",AB206*AK206)</x:f>
      </x:c>
      <x:c r="AN206" s="204" t="str">
        <x:f>IFERROR(1-AL206/AM206,"")</x:f>
      </x:c>
      <x:c r="AO206" s="19" t="str">
        <x:v>https://www.argep.hu/trend/16OE/16-oetretegue-csoe-ar.html</x:v>
      </x:c>
      <x:c r="AP206" s="19" t="str">
        <x:v>2026 piaci becslés</x:v>
      </x:c>
      <x:c r="AQ206" s="19" t="str"/>
    </x:row>
    <x:row r="207">
      <x:c r="A207" s="19" t="str">
        <x:v>ANY-0206</x:v>
      </x:c>
      <x:c r="B207" s="19" t="str">
        <x:v>13 Gépészet</x:v>
      </x:c>
      <x:c r="C207" s="19" t="str">
        <x:v>Fűtés, hűtés, szellőzés</x:v>
      </x:c>
      <x:c r="D207" s="19" t="str">
        <x:v>Mindegyik</x:v>
      </x:c>
      <x:c r="E207" s="19" t="str">
        <x:v>Elektrotermikus szelepmozgató</x:v>
      </x:c>
      <x:c r="F207" s="19" t="str">
        <x:v>230 V</x:v>
      </x:c>
      <x:c r="G207" s="19" t="str">
        <x:v>db</x:v>
      </x:c>
      <x:c r="H207" s="203" t="n">
        <x:v>12000</x:v>
      </x:c>
      <x:c r="I207" s="204" t="n">
        <x:v>0.27</x:v>
      </x:c>
      <x:c r="J207" s="203" t="n">
        <x:f>IFERROR(H207/(1+I207),"")</x:f>
        <x:v>9448.818897637795</x:v>
      </x:c>
      <x:c r="K207" s="205" t="n">
        <x:v>0.25</x:v>
      </x:c>
      <x:c r="L207" s="203" t="n">
        <x:f>IFERROR(J207*(1-K207),"")</x:f>
        <x:v>7086.614173228347</x:v>
      </x:c>
      <x:c r="M207" s="19" t="str">
        <x:v>27% normál belföldi</x:v>
      </x:c>
      <x:c r="N207" s="204" t="n">
        <x:v>0.27</x:v>
      </x:c>
      <x:c r="O207" s="204" t="n">
        <x:v>0</x:v>
      </x:c>
      <x:c r="P207" s="19" t="str">
        <x:v>NEM</x:v>
      </x:c>
      <x:c r="Q207" s="203" t="n">
        <x:f>IFERROR(L207*(1+N207),"")</x:f>
        <x:v>9000</x:v>
      </x:c>
      <x:c r="R207" s="205" t="n">
        <x:v>0.02</x:v>
      </x:c>
      <x:c r="S207" s="203" t="n">
        <x:f>IFERROR(Q207*(1+R207),"")</x:f>
        <x:v>9180</x:v>
      </x:c>
      <x:c r="T207" s="206" t="n">
        <x:v>250</x:v>
      </x:c>
      <x:c r="U207" s="206" t="n">
        <x:v>0</x:v>
      </x:c>
      <x:c r="V207" s="203" t="n">
        <x:f>IFERROR(S207+T207+U207,"")</x:f>
        <x:v>9430</x:v>
      </x:c>
      <x:c r="W207" s="203" t="n">
        <x:f>IFERROR(H207/(1+Anyag_Beallitasok!$B$2)*Anyag_Beallitasok!$B$9,"")</x:f>
        <x:v>11428.571428571428</x:v>
      </x:c>
      <x:c r="X207" s="203" t="n">
        <x:f>IFERROR(V207/((1-Anyag_Beallitasok!$B$3)*(1+Anyag_Beallitasok!$B$2)),"")</x:f>
        <x:v>13816.849816849815</x:v>
      </x:c>
      <x:c r="Y207" s="203" t="n">
        <x:f>IFERROR(V207/((1-Anyag_Beallitasok!$B$4)*(1+Anyag_Beallitasok!$B$2)),"")</x:f>
        <x:v>17961.90476190476</x:v>
      </x:c>
      <x:c r="Z207" s="203" t="n">
        <x:f>IFERROR(ROUNDUP(MAX(W207,X207)/Anyag_Beallitasok!$B$6,0)*Anyag_Beallitasok!$B$6,"")</x:f>
        <x:v>13850</x:v>
      </x:c>
      <x:c r="AA207" s="204" t="n">
        <x:f>Anyag_Beallitasok!$B$2</x:f>
        <x:v>0.05</x:v>
      </x:c>
      <x:c r="AB207" s="203" t="n">
        <x:f>IFERROR(Z207*(1+AA207),"")</x:f>
        <x:v>14542.5</x:v>
      </x:c>
      <x:c r="AC207" s="204" t="n">
        <x:f>IFERROR(1-V207/H207,"")</x:f>
        <x:v>0.21416666666666662</x:v>
      </x:c>
      <x:c r="AD207" s="204" t="n">
        <x:f>IFERROR(1-V207/AB207,"")</x:f>
        <x:v>0.35155578476878113</x:v>
      </x:c>
      <x:c r="AE207" s="19" t="str">
        <x:f>IF(AC207&lt;Anyag_Beallitasok!$B$3,"NEM ÉRI EL A 35%-OT",IF(AC207&lt;Anyag_Beallitasok!$B$4,"MINIMUM 35–49,9%",IF(AC207&lt;Anyag_Beallitasok!$B$5,"IDEÁLIS 50–59,9%","KIEMELKEDŐ ≥60%")))</x:f>
        <x:v>NEM ÉRI EL A 35%-OT</x:v>
      </x:c>
      <x:c r="AF207" s="204" t="n">
        <x:f>IFERROR(AB207/H207-1,"")</x:f>
        <x:v>0.21187500000000004</x:v>
      </x:c>
      <x:c r="AG207" s="19" t="str">
        <x:f>IF(AND(P207="IGEN",O207&gt;0),IF(AF207&gt;Anyag_Beallitasok!$B$10,"0%-OS SZÁMLA + ÖNADÓZÁS; FELÁR SZÜKSÉGES","0%-OS SZÁMLA + ÖNADÓZÁS"),IF(AF207&gt;Anyag_Beallitasok!$B$10,"FELÁR SZÜKSÉGES A 35%-HOZ",IF(AC207&lt;Anyag_Beallitasok!$B$3,"PIACI ÁRON NEM TARTHATÓ A 35%","OK")))</x:f>
        <x:v>FELÁR SZÜKSÉGES A 35%-HOZ</x:v>
      </x:c>
      <x:c r="AH207" s="207" t="n">
        <x:v>12</x:v>
      </x:c>
      <x:c r="AI207" s="207" t="n">
        <x:v>12</x:v>
      </x:c>
      <x:c r="AJ207" s="207" t="n">
        <x:v>12</x:v>
      </x:c>
      <x:c r="AK207" s="208"/>
      <x:c r="AL207" s="203" t="str">
        <x:f>IF(AK207="","",V207*AK207)</x:f>
      </x:c>
      <x:c r="AM207" s="203" t="str">
        <x:f>IF(AK207="","",AB207*AK207)</x:f>
      </x:c>
      <x:c r="AN207" s="204" t="str">
        <x:f>IFERROR(1-AL207/AM207,"")</x:f>
      </x:c>
      <x:c r="AO207" s="19" t="str">
        <x:v>https://www.argep.hu/trend/16OE/16-oetretegue-csoe-ar.html</x:v>
      </x:c>
      <x:c r="AP207" s="19" t="str">
        <x:v>2026 piaci becslés</x:v>
      </x:c>
      <x:c r="AQ207" s="19" t="str"/>
    </x:row>
    <x:row r="208">
      <x:c r="A208" s="19" t="str">
        <x:v>ANY-0207</x:v>
      </x:c>
      <x:c r="B208" s="19" t="str">
        <x:v>13 Gépészet</x:v>
      </x:c>
      <x:c r="C208" s="19" t="str">
        <x:v>Fűtés, hűtés, szellőzés</x:v>
      </x:c>
      <x:c r="D208" s="19" t="str">
        <x:v>Mindegyik</x:v>
      </x:c>
      <x:c r="E208" s="19" t="str">
        <x:v>Levegő-víz hőszivattyú 8 kW</x:v>
      </x:c>
      <x:c r="F208" s="19" t="str">
        <x:v>belépő monoblokk</x:v>
      </x:c>
      <x:c r="G208" s="19" t="str">
        <x:v>db</x:v>
      </x:c>
      <x:c r="H208" s="203" t="n">
        <x:v>1141857</x:v>
      </x:c>
      <x:c r="I208" s="204" t="n">
        <x:v>0.27</x:v>
      </x:c>
      <x:c r="J208" s="203" t="n">
        <x:f>IFERROR(H208/(1+I208),"")</x:f>
        <x:v>899100</x:v>
      </x:c>
      <x:c r="K208" s="205" t="n">
        <x:v>0.25</x:v>
      </x:c>
      <x:c r="L208" s="203" t="n">
        <x:f>IFERROR(J208*(1-K208),"")</x:f>
        <x:v>674325</x:v>
      </x:c>
      <x:c r="M208" s="19" t="str">
        <x:v>0% számla – Közösségi beszerzés; 27% önadózás</x:v>
      </x:c>
      <x:c r="N208" s="204" t="n">
        <x:v>0</x:v>
      </x:c>
      <x:c r="O208" s="204" t="n">
        <x:v>0.27</x:v>
      </x:c>
      <x:c r="P208" s="19" t="str">
        <x:v>IGEN</x:v>
      </x:c>
      <x:c r="Q208" s="203" t="n">
        <x:f>IFERROR(L208*(1+N208),"")</x:f>
        <x:v>674325</x:v>
      </x:c>
      <x:c r="R208" s="205" t="n">
        <x:v>0.02</x:v>
      </x:c>
      <x:c r="S208" s="203" t="n">
        <x:f>IFERROR(Q208*(1+R208),"")</x:f>
        <x:v>687811.5</x:v>
      </x:c>
      <x:c r="T208" s="206" t="n">
        <x:v>18000</x:v>
      </x:c>
      <x:c r="U208" s="206" t="n">
        <x:v>3000</x:v>
      </x:c>
      <x:c r="V208" s="203" t="n">
        <x:f>IFERROR(S208+T208+U208,"")</x:f>
        <x:v>708811.5</x:v>
      </x:c>
      <x:c r="W208" s="203" t="n">
        <x:f>IFERROR(H208/(1+Anyag_Beallitasok!$B$2)*Anyag_Beallitasok!$B$9,"")</x:f>
        <x:v>1087482.857142857</x:v>
      </x:c>
      <x:c r="X208" s="203" t="n">
        <x:f>IFERROR(V208/((1-Anyag_Beallitasok!$B$3)*(1+Anyag_Beallitasok!$B$2)),"")</x:f>
        <x:v>1038551.6483516482</x:v>
      </x:c>
      <x:c r="Y208" s="203" t="n">
        <x:f>IFERROR(V208/((1-Anyag_Beallitasok!$B$4)*(1+Anyag_Beallitasok!$B$2)),"")</x:f>
        <x:v>1350117.1428571427</x:v>
      </x:c>
      <x:c r="Z208" s="203" t="n">
        <x:f>IFERROR(ROUNDUP(MAX(W208,X208)/Anyag_Beallitasok!$B$6,0)*Anyag_Beallitasok!$B$6,"")</x:f>
        <x:v>1087500</x:v>
      </x:c>
      <x:c r="AA208" s="204" t="n">
        <x:f>Anyag_Beallitasok!$B$2</x:f>
        <x:v>0.05</x:v>
      </x:c>
      <x:c r="AB208" s="203" t="n">
        <x:f>IFERROR(Z208*(1+AA208),"")</x:f>
        <x:v>1141875</x:v>
      </x:c>
      <x:c r="AC208" s="204" t="n">
        <x:f>IFERROR(1-V208/H208,"")</x:f>
        <x:v>0.37924670076901046</x:v>
      </x:c>
      <x:c r="AD208" s="204" t="n">
        <x:f>IFERROR(1-V208/AB208,"")</x:f>
        <x:v>0.3792564860426929</x:v>
      </x:c>
      <x:c r="AE208" s="19" t="str">
        <x:f>IF(AC208&lt;Anyag_Beallitasok!$B$3,"NEM ÉRI EL A 35%-OT",IF(AC208&lt;Anyag_Beallitasok!$B$4,"MINIMUM 35–49,9%",IF(AC208&lt;Anyag_Beallitasok!$B$5,"IDEÁLIS 50–59,9%","KIEMELKEDŐ ≥60%")))</x:f>
        <x:v>MINIMUM 35–49,9%</x:v>
      </x:c>
      <x:c r="AF208" s="204" t="n">
        <x:f>IFERROR(AB208/H208-1,"")</x:f>
        <x:v>0.00001576379529133476</x:v>
      </x:c>
      <x:c r="AG208" s="19" t="str">
        <x:f>IF(AND(P208="IGEN",O208&gt;0),IF(AF208&gt;Anyag_Beallitasok!$B$10,"0%-OS SZÁMLA + ÖNADÓZÁS; FELÁR SZÜKSÉGES","0%-OS SZÁMLA + ÖNADÓZÁS"),IF(AF208&gt;Anyag_Beallitasok!$B$10,"FELÁR SZÜKSÉGES A 35%-HOZ",IF(AC208&lt;Anyag_Beallitasok!$B$3,"PIACI ÁRON NEM TARTHATÓ A 35%","OK")))</x:f>
        <x:v>0%-OS SZÁMLA + ÖNADÓZÁS</x:v>
      </x:c>
      <x:c r="AH208" s="207" t="n">
        <x:v>1</x:v>
      </x:c>
      <x:c r="AI208" s="207" t="n">
        <x:v>1</x:v>
      </x:c>
      <x:c r="AJ208" s="207" t="n">
        <x:v>1</x:v>
      </x:c>
      <x:c r="AK208" s="208"/>
      <x:c r="AL208" s="203" t="str">
        <x:f>IF(AK208="","",V208*AK208)</x:f>
      </x:c>
      <x:c r="AM208" s="203" t="str">
        <x:f>IF(AK208="","",AB208*AK208)</x:f>
      </x:c>
      <x:c r="AN208" s="204" t="str">
        <x:f>IFERROR(1-AL208/AM208,"")</x:f>
      </x:c>
      <x:c r="AO208" s="19" t="str">
        <x:v>https://www.gepeszplaza.hu/k-hoszivattyuk-es-klimak/hoszivattyu-3377</x:v>
      </x:c>
      <x:c r="AP208" s="19" t="str">
        <x:v>Közvetlen 2026 webár</x:v>
      </x:c>
      <x:c r="AQ208" s="19" t="str">
        <x:v>Garancia és gyártói üzembe helyezés ellenőrzendő.</x:v>
      </x:c>
    </x:row>
    <x:row r="209">
      <x:c r="A209" s="19" t="str">
        <x:v>ANY-0208</x:v>
      </x:c>
      <x:c r="B209" s="19" t="str">
        <x:v>13 Gépészet</x:v>
      </x:c>
      <x:c r="C209" s="19" t="str">
        <x:v>Fűtés, hűtés, szellőzés</x:v>
      </x:c>
      <x:c r="D209" s="19" t="str">
        <x:v>Mindegyik</x:v>
      </x:c>
      <x:c r="E209" s="19" t="str">
        <x:v>Levegő-víz hőszivattyú 8–10 kW</x:v>
      </x:c>
      <x:c r="F209" s="19" t="str">
        <x:v>középkategória split</x:v>
      </x:c>
      <x:c r="G209" s="19" t="str">
        <x:v>db</x:v>
      </x:c>
      <x:c r="H209" s="203" t="n">
        <x:v>2445000</x:v>
      </x:c>
      <x:c r="I209" s="204" t="n">
        <x:v>0.27</x:v>
      </x:c>
      <x:c r="J209" s="203" t="n">
        <x:f>IFERROR(H209/(1+I209),"")</x:f>
        <x:v>1925196.8503937006</x:v>
      </x:c>
      <x:c r="K209" s="205" t="n">
        <x:v>0.25</x:v>
      </x:c>
      <x:c r="L209" s="203" t="n">
        <x:f>IFERROR(J209*(1-K209),"")</x:f>
        <x:v>1443897.6377952755</x:v>
      </x:c>
      <x:c r="M209" s="19" t="str">
        <x:v>0% számla – Közösségi beszerzés; 27% önadózás</x:v>
      </x:c>
      <x:c r="N209" s="204" t="n">
        <x:v>0</x:v>
      </x:c>
      <x:c r="O209" s="204" t="n">
        <x:v>0.27</x:v>
      </x:c>
      <x:c r="P209" s="19" t="str">
        <x:v>IGEN</x:v>
      </x:c>
      <x:c r="Q209" s="203" t="n">
        <x:f>IFERROR(L209*(1+N209),"")</x:f>
        <x:v>1443897.6377952755</x:v>
      </x:c>
      <x:c r="R209" s="205" t="n">
        <x:v>0.02</x:v>
      </x:c>
      <x:c r="S209" s="203" t="n">
        <x:f>IFERROR(Q209*(1+R209),"")</x:f>
        <x:v>1472775.590551181</x:v>
      </x:c>
      <x:c r="T209" s="206" t="n">
        <x:v>25000</x:v>
      </x:c>
      <x:c r="U209" s="206" t="n">
        <x:v>5000</x:v>
      </x:c>
      <x:c r="V209" s="203" t="n">
        <x:f>IFERROR(S209+T209+U209,"")</x:f>
        <x:v>1502775.590551181</x:v>
      </x:c>
      <x:c r="W209" s="203" t="n">
        <x:f>IFERROR(H209/(1+Anyag_Beallitasok!$B$2)*Anyag_Beallitasok!$B$9,"")</x:f>
        <x:v>2328571.4285714286</x:v>
      </x:c>
      <x:c r="X209" s="203" t="n">
        <x:f>IFERROR(V209/((1-Anyag_Beallitasok!$B$3)*(1+Anyag_Beallitasok!$B$2)),"")</x:f>
        <x:v>2201868.9971445873</x:v>
      </x:c>
      <x:c r="Y209" s="203" t="n">
        <x:f>IFERROR(V209/((1-Anyag_Beallitasok!$B$4)*(1+Anyag_Beallitasok!$B$2)),"")</x:f>
        <x:v>2862429.6962879635</x:v>
      </x:c>
      <x:c r="Z209" s="203" t="n">
        <x:f>IFERROR(ROUNDUP(MAX(W209,X209)/Anyag_Beallitasok!$B$6,0)*Anyag_Beallitasok!$B$6,"")</x:f>
        <x:v>2328600</x:v>
      </x:c>
      <x:c r="AA209" s="204" t="n">
        <x:f>Anyag_Beallitasok!$B$2</x:f>
        <x:v>0.05</x:v>
      </x:c>
      <x:c r="AB209" s="203" t="n">
        <x:f>IFERROR(Z209*(1+AA209),"")</x:f>
        <x:v>2445030</x:v>
      </x:c>
      <x:c r="AC209" s="204" t="n">
        <x:f>IFERROR(1-V209/H209,"")</x:f>
        <x:v>0.38536785662528383</x:v>
      </x:c>
      <x:c r="AD209" s="204" t="n">
        <x:f>IFERROR(1-V209/AB209,"")</x:f>
        <x:v>0.38537539803144294</x:v>
      </x:c>
      <x:c r="AE209" s="19" t="str">
        <x:f>IF(AC209&lt;Anyag_Beallitasok!$B$3,"NEM ÉRI EL A 35%-OT",IF(AC209&lt;Anyag_Beallitasok!$B$4,"MINIMUM 35–49,9%",IF(AC209&lt;Anyag_Beallitasok!$B$5,"IDEÁLIS 50–59,9%","KIEMELKEDŐ ≥60%")))</x:f>
        <x:v>MINIMUM 35–49,9%</x:v>
      </x:c>
      <x:c r="AF209" s="204" t="n">
        <x:f>IFERROR(AB209/H209-1,"")</x:f>
        <x:v>0.0000122699386502223</x:v>
      </x:c>
      <x:c r="AG209" s="19" t="str">
        <x:f>IF(AND(P209="IGEN",O209&gt;0),IF(AF209&gt;Anyag_Beallitasok!$B$10,"0%-OS SZÁMLA + ÖNADÓZÁS; FELÁR SZÜKSÉGES","0%-OS SZÁMLA + ÖNADÓZÁS"),IF(AF209&gt;Anyag_Beallitasok!$B$10,"FELÁR SZÜKSÉGES A 35%-HOZ",IF(AC209&lt;Anyag_Beallitasok!$B$3,"PIACI ÁRON NEM TARTHATÓ A 35%","OK")))</x:f>
        <x:v>0%-OS SZÁMLA + ÖNADÓZÁS</x:v>
      </x:c>
      <x:c r="AH209" s="207" t="n">
        <x:v>0</x:v>
      </x:c>
      <x:c r="AI209" s="207" t="n">
        <x:v>0</x:v>
      </x:c>
      <x:c r="AJ209" s="207" t="n">
        <x:v>0</x:v>
      </x:c>
      <x:c r="AK209" s="208"/>
      <x:c r="AL209" s="203" t="str">
        <x:f>IF(AK209="","",V209*AK209)</x:f>
      </x:c>
      <x:c r="AM209" s="203" t="str">
        <x:f>IF(AK209="","",AB209*AK209)</x:f>
      </x:c>
      <x:c r="AN209" s="204" t="str">
        <x:f>IFERROR(1-AL209/AM209,"")</x:f>
      </x:c>
      <x:c r="AO209" s="19" t="str">
        <x:v>https://www.gepeszplaza.hu/k-hoszivattyuk-es-klimak/hoszivattyu-3377</x:v>
      </x:c>
      <x:c r="AP209" s="19" t="str">
        <x:v>Közvetlen 2026 webár</x:v>
      </x:c>
      <x:c r="AQ209" s="19" t="str">
        <x:v>Alternatíva.</x:v>
      </x:c>
    </x:row>
    <x:row r="210">
      <x:c r="A210" s="19" t="str">
        <x:v>ANY-0209</x:v>
      </x:c>
      <x:c r="B210" s="19" t="str">
        <x:v>13 Gépészet</x:v>
      </x:c>
      <x:c r="C210" s="19" t="str">
        <x:v>Fűtés, hűtés, szellőzés</x:v>
      </x:c>
      <x:c r="D210" s="19" t="str">
        <x:v>Mindegyik</x:v>
      </x:c>
      <x:c r="E210" s="19" t="str">
        <x:v>HMV tartály 200–300 l</x:v>
      </x:c>
      <x:c r="F210" s="19" t="str">
        <x:v>hőszivattyúhoz</x:v>
      </x:c>
      <x:c r="G210" s="19" t="str">
        <x:v>db</x:v>
      </x:c>
      <x:c r="H210" s="203" t="n">
        <x:v>420000</x:v>
      </x:c>
      <x:c r="I210" s="204" t="n">
        <x:v>0.27</x:v>
      </x:c>
      <x:c r="J210" s="203" t="n">
        <x:f>IFERROR(H210/(1+I210),"")</x:f>
        <x:v>330708.6614173228</x:v>
      </x:c>
      <x:c r="K210" s="205" t="n">
        <x:v>0.25</x:v>
      </x:c>
      <x:c r="L210" s="203" t="n">
        <x:f>IFERROR(J210*(1-K210),"")</x:f>
        <x:v>248031.4960629921</x:v>
      </x:c>
      <x:c r="M210" s="19" t="str">
        <x:v>27% normál belföldi</x:v>
      </x:c>
      <x:c r="N210" s="204" t="n">
        <x:v>0.27</x:v>
      </x:c>
      <x:c r="O210" s="204" t="n">
        <x:v>0</x:v>
      </x:c>
      <x:c r="P210" s="19" t="str">
        <x:v>NEM</x:v>
      </x:c>
      <x:c r="Q210" s="203" t="n">
        <x:f>IFERROR(L210*(1+N210),"")</x:f>
        <x:v>315000</x:v>
      </x:c>
      <x:c r="R210" s="205" t="n">
        <x:v>0.02</x:v>
      </x:c>
      <x:c r="S210" s="203" t="n">
        <x:f>IFERROR(Q210*(1+R210),"")</x:f>
        <x:v>321300</x:v>
      </x:c>
      <x:c r="T210" s="206" t="n">
        <x:v>8000</x:v>
      </x:c>
      <x:c r="U210" s="206" t="n">
        <x:v>0</x:v>
      </x:c>
      <x:c r="V210" s="203" t="n">
        <x:f>IFERROR(S210+T210+U210,"")</x:f>
        <x:v>329300</x:v>
      </x:c>
      <x:c r="W210" s="203" t="n">
        <x:f>IFERROR(H210/(1+Anyag_Beallitasok!$B$2)*Anyag_Beallitasok!$B$9,"")</x:f>
        <x:v>400000</x:v>
      </x:c>
      <x:c r="X210" s="203" t="n">
        <x:f>IFERROR(V210/((1-Anyag_Beallitasok!$B$3)*(1+Anyag_Beallitasok!$B$2)),"")</x:f>
        <x:v>482490.8424908424</x:v>
      </x:c>
      <x:c r="Y210" s="203" t="n">
        <x:f>IFERROR(V210/((1-Anyag_Beallitasok!$B$4)*(1+Anyag_Beallitasok!$B$2)),"")</x:f>
        <x:v>627238.0952380953</x:v>
      </x:c>
      <x:c r="Z210" s="203" t="n">
        <x:f>IFERROR(ROUNDUP(MAX(W210,X210)/Anyag_Beallitasok!$B$6,0)*Anyag_Beallitasok!$B$6,"")</x:f>
        <x:v>482500</x:v>
      </x:c>
      <x:c r="AA210" s="204" t="n">
        <x:f>Anyag_Beallitasok!$B$2</x:f>
        <x:v>0.05</x:v>
      </x:c>
      <x:c r="AB210" s="203" t="n">
        <x:f>IFERROR(Z210*(1+AA210),"")</x:f>
        <x:v>506625</x:v>
      </x:c>
      <x:c r="AC210" s="204" t="n">
        <x:f>IFERROR(1-V210/H210,"")</x:f>
        <x:v>0.215952380952381</x:v>
      </x:c>
      <x:c r="AD210" s="204" t="n">
        <x:f>IFERROR(1-V210/AB210,"")</x:f>
        <x:v>0.35001233654083397</x:v>
      </x:c>
      <x:c r="AE210" s="19" t="str">
        <x:f>IF(AC210&lt;Anyag_Beallitasok!$B$3,"NEM ÉRI EL A 35%-OT",IF(AC210&lt;Anyag_Beallitasok!$B$4,"MINIMUM 35–49,9%",IF(AC210&lt;Anyag_Beallitasok!$B$5,"IDEÁLIS 50–59,9%","KIEMELKEDŐ ≥60%")))</x:f>
        <x:v>NEM ÉRI EL A 35%-OT</x:v>
      </x:c>
      <x:c r="AF210" s="204" t="n">
        <x:f>IFERROR(AB210/H210-1,"")</x:f>
        <x:v>0.20625000000000004</x:v>
      </x:c>
      <x:c r="AG210" s="19" t="str">
        <x:f>IF(AND(P210="IGEN",O210&gt;0),IF(AF210&gt;Anyag_Beallitasok!$B$10,"0%-OS SZÁMLA + ÖNADÓZÁS; FELÁR SZÜKSÉGES","0%-OS SZÁMLA + ÖNADÓZÁS"),IF(AF210&gt;Anyag_Beallitasok!$B$10,"FELÁR SZÜKSÉGES A 35%-HOZ",IF(AC210&lt;Anyag_Beallitasok!$B$3,"PIACI ÁRON NEM TARTHATÓ A 35%","OK")))</x:f>
        <x:v>FELÁR SZÜKSÉGES A 35%-HOZ</x:v>
      </x:c>
      <x:c r="AH210" s="207" t="n">
        <x:v>1</x:v>
      </x:c>
      <x:c r="AI210" s="207" t="n">
        <x:v>1</x:v>
      </x:c>
      <x:c r="AJ210" s="207" t="n">
        <x:v>1</x:v>
      </x:c>
      <x:c r="AK210" s="208"/>
      <x:c r="AL210" s="203" t="str">
        <x:f>IF(AK210="","",V210*AK210)</x:f>
      </x:c>
      <x:c r="AM210" s="203" t="str">
        <x:f>IF(AK210="","",AB210*AK210)</x:f>
      </x:c>
      <x:c r="AN210" s="204" t="str">
        <x:f>IFERROR(1-AL210/AM210,"")</x:f>
      </x:c>
      <x:c r="AO210" s="19" t="str">
        <x:v>https://www.gepeszplaza.hu/k-hoszivattyuk-es-klimak/hoszivattyu-3377</x:v>
      </x:c>
      <x:c r="AP210" s="19" t="str">
        <x:v>2026 piaci becslés</x:v>
      </x:c>
      <x:c r="AQ210" s="19" t="str"/>
    </x:row>
    <x:row r="211">
      <x:c r="A211" s="19" t="str">
        <x:v>ANY-0210</x:v>
      </x:c>
      <x:c r="B211" s="19" t="str">
        <x:v>13 Gépészet</x:v>
      </x:c>
      <x:c r="C211" s="19" t="str">
        <x:v>Fűtés, hűtés, szellőzés</x:v>
      </x:c>
      <x:c r="D211" s="19" t="str">
        <x:v>Mindegyik</x:v>
      </x:c>
      <x:c r="E211" s="19" t="str">
        <x:v>Puffertartály 100 l</x:v>
      </x:c>
      <x:c r="F211" s="19" t="str">
        <x:v>fűtési rendszerhez</x:v>
      </x:c>
      <x:c r="G211" s="19" t="str">
        <x:v>db</x:v>
      </x:c>
      <x:c r="H211" s="203" t="n">
        <x:v>150000</x:v>
      </x:c>
      <x:c r="I211" s="204" t="n">
        <x:v>0.27</x:v>
      </x:c>
      <x:c r="J211" s="203" t="n">
        <x:f>IFERROR(H211/(1+I211),"")</x:f>
        <x:v>118110.23622047243</x:v>
      </x:c>
      <x:c r="K211" s="205" t="n">
        <x:v>0.25</x:v>
      </x:c>
      <x:c r="L211" s="203" t="n">
        <x:f>IFERROR(J211*(1-K211),"")</x:f>
        <x:v>88582.67716535433</x:v>
      </x:c>
      <x:c r="M211" s="19" t="str">
        <x:v>27% normál belföldi</x:v>
      </x:c>
      <x:c r="N211" s="204" t="n">
        <x:v>0.27</x:v>
      </x:c>
      <x:c r="O211" s="204" t="n">
        <x:v>0</x:v>
      </x:c>
      <x:c r="P211" s="19" t="str">
        <x:v>NEM</x:v>
      </x:c>
      <x:c r="Q211" s="203" t="n">
        <x:f>IFERROR(L211*(1+N211),"")</x:f>
        <x:v>112500</x:v>
      </x:c>
      <x:c r="R211" s="205" t="n">
        <x:v>0.02</x:v>
      </x:c>
      <x:c r="S211" s="203" t="n">
        <x:f>IFERROR(Q211*(1+R211),"")</x:f>
        <x:v>114750</x:v>
      </x:c>
      <x:c r="T211" s="206" t="n">
        <x:v>4000</x:v>
      </x:c>
      <x:c r="U211" s="206" t="n">
        <x:v>0</x:v>
      </x:c>
      <x:c r="V211" s="203" t="n">
        <x:f>IFERROR(S211+T211+U211,"")</x:f>
        <x:v>118750</x:v>
      </x:c>
      <x:c r="W211" s="203" t="n">
        <x:f>IFERROR(H211/(1+Anyag_Beallitasok!$B$2)*Anyag_Beallitasok!$B$9,"")</x:f>
        <x:v>142857.14285714284</x:v>
      </x:c>
      <x:c r="X211" s="203" t="n">
        <x:f>IFERROR(V211/((1-Anyag_Beallitasok!$B$3)*(1+Anyag_Beallitasok!$B$2)),"")</x:f>
        <x:v>173992.67399267395</x:v>
      </x:c>
      <x:c r="Y211" s="203" t="n">
        <x:f>IFERROR(V211/((1-Anyag_Beallitasok!$B$4)*(1+Anyag_Beallitasok!$B$2)),"")</x:f>
        <x:v>226190.47619047618</x:v>
      </x:c>
      <x:c r="Z211" s="203" t="n">
        <x:f>IFERROR(ROUNDUP(MAX(W211,X211)/Anyag_Beallitasok!$B$6,0)*Anyag_Beallitasok!$B$6,"")</x:f>
        <x:v>174000</x:v>
      </x:c>
      <x:c r="AA211" s="204" t="n">
        <x:f>Anyag_Beallitasok!$B$2</x:f>
        <x:v>0.05</x:v>
      </x:c>
      <x:c r="AB211" s="203" t="n">
        <x:f>IFERROR(Z211*(1+AA211),"")</x:f>
        <x:v>182700</x:v>
      </x:c>
      <x:c r="AC211" s="204" t="n">
        <x:f>IFERROR(1-V211/H211,"")</x:f>
        <x:v>0.20833333333333337</x:v>
      </x:c>
      <x:c r="AD211" s="204" t="n">
        <x:f>IFERROR(1-V211/AB211,"")</x:f>
        <x:v>0.3500273672687466</x:v>
      </x:c>
      <x:c r="AE211" s="19" t="str">
        <x:f>IF(AC211&lt;Anyag_Beallitasok!$B$3,"NEM ÉRI EL A 35%-OT",IF(AC211&lt;Anyag_Beallitasok!$B$4,"MINIMUM 35–49,9%",IF(AC211&lt;Anyag_Beallitasok!$B$5,"IDEÁLIS 50–59,9%","KIEMELKEDŐ ≥60%")))</x:f>
        <x:v>NEM ÉRI EL A 35%-OT</x:v>
      </x:c>
      <x:c r="AF211" s="204" t="n">
        <x:f>IFERROR(AB211/H211-1,"")</x:f>
        <x:v>0.21799999999999997</x:v>
      </x:c>
      <x:c r="AG211" s="19" t="str">
        <x:f>IF(AND(P211="IGEN",O211&gt;0),IF(AF211&gt;Anyag_Beallitasok!$B$10,"0%-OS SZÁMLA + ÖNADÓZÁS; FELÁR SZÜKSÉGES","0%-OS SZÁMLA + ÖNADÓZÁS"),IF(AF211&gt;Anyag_Beallitasok!$B$10,"FELÁR SZÜKSÉGES A 35%-HOZ",IF(AC211&lt;Anyag_Beallitasok!$B$3,"PIACI ÁRON NEM TARTHATÓ A 35%","OK")))</x:f>
        <x:v>FELÁR SZÜKSÉGES A 35%-HOZ</x:v>
      </x:c>
      <x:c r="AH211" s="207" t="n">
        <x:v>1</x:v>
      </x:c>
      <x:c r="AI211" s="207" t="n">
        <x:v>1</x:v>
      </x:c>
      <x:c r="AJ211" s="207" t="n">
        <x:v>1</x:v>
      </x:c>
      <x:c r="AK211" s="208"/>
      <x:c r="AL211" s="203" t="str">
        <x:f>IF(AK211="","",V211*AK211)</x:f>
      </x:c>
      <x:c r="AM211" s="203" t="str">
        <x:f>IF(AK211="","",AB211*AK211)</x:f>
      </x:c>
      <x:c r="AN211" s="204" t="str">
        <x:f>IFERROR(1-AL211/AM211,"")</x:f>
      </x:c>
      <x:c r="AO211" s="19" t="str">
        <x:v>https://www.gepeszplaza.hu/k-hoszivattyuk-es-klimak/hoszivattyu-3377</x:v>
      </x:c>
      <x:c r="AP211" s="19" t="str">
        <x:v>2026 piaci becslés</x:v>
      </x:c>
      <x:c r="AQ211" s="19" t="str"/>
    </x:row>
    <x:row r="212">
      <x:c r="A212" s="19" t="str">
        <x:v>ANY-0211</x:v>
      </x:c>
      <x:c r="B212" s="19" t="str">
        <x:v>13 Gépészet</x:v>
      </x:c>
      <x:c r="C212" s="19" t="str">
        <x:v>Fűtés, hűtés, szellőzés</x:v>
      </x:c>
      <x:c r="D212" s="19" t="str">
        <x:v>Mindegyik</x:v>
      </x:c>
      <x:c r="E212" s="19" t="str">
        <x:v>Hidraulikus váltó</x:v>
      </x:c>
      <x:c r="F212" s="19" t="str">
        <x:v>családi ház</x:v>
      </x:c>
      <x:c r="G212" s="19" t="str">
        <x:v>db</x:v>
      </x:c>
      <x:c r="H212" s="203" t="n">
        <x:v>85000</x:v>
      </x:c>
      <x:c r="I212" s="204" t="n">
        <x:v>0.27</x:v>
      </x:c>
      <x:c r="J212" s="203" t="n">
        <x:f>IFERROR(H212/(1+I212),"")</x:f>
        <x:v>66929.13385826771</x:v>
      </x:c>
      <x:c r="K212" s="205" t="n">
        <x:v>0.25</x:v>
      </x:c>
      <x:c r="L212" s="203" t="n">
        <x:f>IFERROR(J212*(1-K212),"")</x:f>
        <x:v>50196.850393700784</x:v>
      </x:c>
      <x:c r="M212" s="19" t="str">
        <x:v>27% normál belföldi</x:v>
      </x:c>
      <x:c r="N212" s="204" t="n">
        <x:v>0.27</x:v>
      </x:c>
      <x:c r="O212" s="204" t="n">
        <x:v>0</x:v>
      </x:c>
      <x:c r="P212" s="19" t="str">
        <x:v>NEM</x:v>
      </x:c>
      <x:c r="Q212" s="203" t="n">
        <x:f>IFERROR(L212*(1+N212),"")</x:f>
        <x:v>63750</x:v>
      </x:c>
      <x:c r="R212" s="205" t="n">
        <x:v>0.02</x:v>
      </x:c>
      <x:c r="S212" s="203" t="n">
        <x:f>IFERROR(Q212*(1+R212),"")</x:f>
        <x:v>65025</x:v>
      </x:c>
      <x:c r="T212" s="206" t="n">
        <x:v>1500</x:v>
      </x:c>
      <x:c r="U212" s="206" t="n">
        <x:v>0</x:v>
      </x:c>
      <x:c r="V212" s="203" t="n">
        <x:f>IFERROR(S212+T212+U212,"")</x:f>
        <x:v>66525</x:v>
      </x:c>
      <x:c r="W212" s="203" t="n">
        <x:f>IFERROR(H212/(1+Anyag_Beallitasok!$B$2)*Anyag_Beallitasok!$B$9,"")</x:f>
        <x:v>80952.38095238095</x:v>
      </x:c>
      <x:c r="X212" s="203" t="n">
        <x:f>IFERROR(V212/((1-Anyag_Beallitasok!$B$3)*(1+Anyag_Beallitasok!$B$2)),"")</x:f>
        <x:v>97472.52747252745</x:v>
      </x:c>
      <x:c r="Y212" s="203" t="n">
        <x:f>IFERROR(V212/((1-Anyag_Beallitasok!$B$4)*(1+Anyag_Beallitasok!$B$2)),"")</x:f>
        <x:v>126714.28571428571</x:v>
      </x:c>
      <x:c r="Z212" s="203" t="n">
        <x:f>IFERROR(ROUNDUP(MAX(W212,X212)/Anyag_Beallitasok!$B$6,0)*Anyag_Beallitasok!$B$6,"")</x:f>
        <x:v>97500</x:v>
      </x:c>
      <x:c r="AA212" s="204" t="n">
        <x:f>Anyag_Beallitasok!$B$2</x:f>
        <x:v>0.05</x:v>
      </x:c>
      <x:c r="AB212" s="203" t="n">
        <x:f>IFERROR(Z212*(1+AA212),"")</x:f>
        <x:v>102375</x:v>
      </x:c>
      <x:c r="AC212" s="204" t="n">
        <x:f>IFERROR(1-V212/H212,"")</x:f>
        <x:v>0.21735294117647064</x:v>
      </x:c>
      <x:c r="AD212" s="204" t="n">
        <x:f>IFERROR(1-V212/AB212,"")</x:f>
        <x:v>0.35018315018315016</x:v>
      </x:c>
      <x:c r="AE212" s="19" t="str">
        <x:f>IF(AC212&lt;Anyag_Beallitasok!$B$3,"NEM ÉRI EL A 35%-OT",IF(AC212&lt;Anyag_Beallitasok!$B$4,"MINIMUM 35–49,9%",IF(AC212&lt;Anyag_Beallitasok!$B$5,"IDEÁLIS 50–59,9%","KIEMELKEDŐ ≥60%")))</x:f>
        <x:v>NEM ÉRI EL A 35%-OT</x:v>
      </x:c>
      <x:c r="AF212" s="204" t="n">
        <x:f>IFERROR(AB212/H212-1,"")</x:f>
        <x:v>0.2044117647058823</x:v>
      </x:c>
      <x:c r="AG212" s="19" t="str">
        <x:f>IF(AND(P212="IGEN",O212&gt;0),IF(AF212&gt;Anyag_Beallitasok!$B$10,"0%-OS SZÁMLA + ÖNADÓZÁS; FELÁR SZÜKSÉGES","0%-OS SZÁMLA + ÖNADÓZÁS"),IF(AF212&gt;Anyag_Beallitasok!$B$10,"FELÁR SZÜKSÉGES A 35%-HOZ",IF(AC212&lt;Anyag_Beallitasok!$B$3,"PIACI ÁRON NEM TARTHATÓ A 35%","OK")))</x:f>
        <x:v>FELÁR SZÜKSÉGES A 35%-HOZ</x:v>
      </x:c>
      <x:c r="AH212" s="207" t="n">
        <x:v>1</x:v>
      </x:c>
      <x:c r="AI212" s="207" t="n">
        <x:v>1</x:v>
      </x:c>
      <x:c r="AJ212" s="207" t="n">
        <x:v>1</x:v>
      </x:c>
      <x:c r="AK212" s="208"/>
      <x:c r="AL212" s="203" t="str">
        <x:f>IF(AK212="","",V212*AK212)</x:f>
      </x:c>
      <x:c r="AM212" s="203" t="str">
        <x:f>IF(AK212="","",AB212*AK212)</x:f>
      </x:c>
      <x:c r="AN212" s="204" t="str">
        <x:f>IFERROR(1-AL212/AM212,"")</x:f>
      </x:c>
      <x:c r="AO212" s="19" t="str">
        <x:v>https://www.gepeszplaza.hu/k-hoszivattyuk-es-klimak/hoszivattyu-3377</x:v>
      </x:c>
      <x:c r="AP212" s="19" t="str">
        <x:v>2026 piaci becslés</x:v>
      </x:c>
      <x:c r="AQ212" s="19" t="str"/>
    </x:row>
    <x:row r="213">
      <x:c r="A213" s="19" t="str">
        <x:v>ANY-0212</x:v>
      </x:c>
      <x:c r="B213" s="19" t="str">
        <x:v>13 Gépészet</x:v>
      </x:c>
      <x:c r="C213" s="19" t="str">
        <x:v>Fűtés, hűtés, szellőzés</x:v>
      </x:c>
      <x:c r="D213" s="19" t="str">
        <x:v>Mindegyik</x:v>
      </x:c>
      <x:c r="E213" s="19" t="str">
        <x:v>Keringető szivattyú</x:v>
      </x:c>
      <x:c r="F213" s="19" t="str">
        <x:v>EC motoros</x:v>
      </x:c>
      <x:c r="G213" s="19" t="str">
        <x:v>db</x:v>
      </x:c>
      <x:c r="H213" s="203" t="n">
        <x:v>95000</x:v>
      </x:c>
      <x:c r="I213" s="204" t="n">
        <x:v>0.27</x:v>
      </x:c>
      <x:c r="J213" s="203" t="n">
        <x:f>IFERROR(H213/(1+I213),"")</x:f>
        <x:v>74803.14960629921</x:v>
      </x:c>
      <x:c r="K213" s="205" t="n">
        <x:v>0.25</x:v>
      </x:c>
      <x:c r="L213" s="203" t="n">
        <x:f>IFERROR(J213*(1-K213),"")</x:f>
        <x:v>56102.362204724406</x:v>
      </x:c>
      <x:c r="M213" s="19" t="str">
        <x:v>27% normál belföldi</x:v>
      </x:c>
      <x:c r="N213" s="204" t="n">
        <x:v>0.27</x:v>
      </x:c>
      <x:c r="O213" s="204" t="n">
        <x:v>0</x:v>
      </x:c>
      <x:c r="P213" s="19" t="str">
        <x:v>NEM</x:v>
      </x:c>
      <x:c r="Q213" s="203" t="n">
        <x:f>IFERROR(L213*(1+N213),"")</x:f>
        <x:v>71250</x:v>
      </x:c>
      <x:c r="R213" s="205" t="n">
        <x:v>0.02</x:v>
      </x:c>
      <x:c r="S213" s="203" t="n">
        <x:f>IFERROR(Q213*(1+R213),"")</x:f>
        <x:v>72675</x:v>
      </x:c>
      <x:c r="T213" s="206" t="n">
        <x:v>1500</x:v>
      </x:c>
      <x:c r="U213" s="206" t="n">
        <x:v>0</x:v>
      </x:c>
      <x:c r="V213" s="203" t="n">
        <x:f>IFERROR(S213+T213+U213,"")</x:f>
        <x:v>74175</x:v>
      </x:c>
      <x:c r="W213" s="203" t="n">
        <x:f>IFERROR(H213/(1+Anyag_Beallitasok!$B$2)*Anyag_Beallitasok!$B$9,"")</x:f>
        <x:v>90476.19047619047</x:v>
      </x:c>
      <x:c r="X213" s="203" t="n">
        <x:f>IFERROR(V213/((1-Anyag_Beallitasok!$B$3)*(1+Anyag_Beallitasok!$B$2)),"")</x:f>
        <x:v>108681.31868131866</x:v>
      </x:c>
      <x:c r="Y213" s="203" t="n">
        <x:f>IFERROR(V213/((1-Anyag_Beallitasok!$B$4)*(1+Anyag_Beallitasok!$B$2)),"")</x:f>
        <x:v>141285.7142857143</x:v>
      </x:c>
      <x:c r="Z213" s="203" t="n">
        <x:f>IFERROR(ROUNDUP(MAX(W213,X213)/Anyag_Beallitasok!$B$6,0)*Anyag_Beallitasok!$B$6,"")</x:f>
        <x:v>108700</x:v>
      </x:c>
      <x:c r="AA213" s="204" t="n">
        <x:f>Anyag_Beallitasok!$B$2</x:f>
        <x:v>0.05</x:v>
      </x:c>
      <x:c r="AB213" s="203" t="n">
        <x:f>IFERROR(Z213*(1+AA213),"")</x:f>
        <x:v>114135</x:v>
      </x:c>
      <x:c r="AC213" s="204" t="n">
        <x:f>IFERROR(1-V213/H213,"")</x:f>
        <x:v>0.21921052631578952</x:v>
      </x:c>
      <x:c r="AD213" s="204" t="n">
        <x:f>IFERROR(1-V213/AB213,"")</x:f>
        <x:v>0.35011170981732165</x:v>
      </x:c>
      <x:c r="AE213" s="19" t="str">
        <x:f>IF(AC213&lt;Anyag_Beallitasok!$B$3,"NEM ÉRI EL A 35%-OT",IF(AC213&lt;Anyag_Beallitasok!$B$4,"MINIMUM 35–49,9%",IF(AC213&lt;Anyag_Beallitasok!$B$5,"IDEÁLIS 50–59,9%","KIEMELKEDŐ ≥60%")))</x:f>
        <x:v>NEM ÉRI EL A 35%-OT</x:v>
      </x:c>
      <x:c r="AF213" s="204" t="n">
        <x:f>IFERROR(AB213/H213-1,"")</x:f>
        <x:v>0.20142105263157895</x:v>
      </x:c>
      <x:c r="AG213" s="19" t="str">
        <x:f>IF(AND(P213="IGEN",O213&gt;0),IF(AF213&gt;Anyag_Beallitasok!$B$10,"0%-OS SZÁMLA + ÖNADÓZÁS; FELÁR SZÜKSÉGES","0%-OS SZÁMLA + ÖNADÓZÁS"),IF(AF213&gt;Anyag_Beallitasok!$B$10,"FELÁR SZÜKSÉGES A 35%-HOZ",IF(AC213&lt;Anyag_Beallitasok!$B$3,"PIACI ÁRON NEM TARTHATÓ A 35%","OK")))</x:f>
        <x:v>FELÁR SZÜKSÉGES A 35%-HOZ</x:v>
      </x:c>
      <x:c r="AH213" s="207" t="n">
        <x:v>2</x:v>
      </x:c>
      <x:c r="AI213" s="207" t="n">
        <x:v>2</x:v>
      </x:c>
      <x:c r="AJ213" s="207" t="n">
        <x:v>2</x:v>
      </x:c>
      <x:c r="AK213" s="208"/>
      <x:c r="AL213" s="203" t="str">
        <x:f>IF(AK213="","",V213*AK213)</x:f>
      </x:c>
      <x:c r="AM213" s="203" t="str">
        <x:f>IF(AK213="","",AB213*AK213)</x:f>
      </x:c>
      <x:c r="AN213" s="204" t="str">
        <x:f>IFERROR(1-AL213/AM213,"")</x:f>
      </x:c>
      <x:c r="AO213" s="19" t="str">
        <x:v>https://www.gepeszplaza.hu/k-hoszivattyuk-es-klimak/hoszivattyu-3377</x:v>
      </x:c>
      <x:c r="AP213" s="19" t="str">
        <x:v>2026 piaci becslés</x:v>
      </x:c>
      <x:c r="AQ213" s="19" t="str"/>
    </x:row>
    <x:row r="214">
      <x:c r="A214" s="19" t="str">
        <x:v>ANY-0213</x:v>
      </x:c>
      <x:c r="B214" s="19" t="str">
        <x:v>13 Gépészet</x:v>
      </x:c>
      <x:c r="C214" s="19" t="str">
        <x:v>Fűtés, hűtés, szellőzés</x:v>
      </x:c>
      <x:c r="D214" s="19" t="str">
        <x:v>Mindegyik</x:v>
      </x:c>
      <x:c r="E214" s="19" t="str">
        <x:v>Biztonsági szerelvénycsoport</x:v>
      </x:c>
      <x:c r="F214" s="19" t="str">
        <x:v>tágulási tartállyal</x:v>
      </x:c>
      <x:c r="G214" s="19" t="str">
        <x:v>rendszer</x:v>
      </x:c>
      <x:c r="H214" s="203" t="n">
        <x:v>180000</x:v>
      </x:c>
      <x:c r="I214" s="204" t="n">
        <x:v>0.27</x:v>
      </x:c>
      <x:c r="J214" s="203" t="n">
        <x:f>IFERROR(H214/(1+I214),"")</x:f>
        <x:v>141732.28346456692</x:v>
      </x:c>
      <x:c r="K214" s="205" t="n">
        <x:v>0.25</x:v>
      </x:c>
      <x:c r="L214" s="203" t="n">
        <x:f>IFERROR(J214*(1-K214),"")</x:f>
        <x:v>106299.21259842519</x:v>
      </x:c>
      <x:c r="M214" s="19" t="str">
        <x:v>27% normál belföldi</x:v>
      </x:c>
      <x:c r="N214" s="204" t="n">
        <x:v>0.27</x:v>
      </x:c>
      <x:c r="O214" s="204" t="n">
        <x:v>0</x:v>
      </x:c>
      <x:c r="P214" s="19" t="str">
        <x:v>NEM</x:v>
      </x:c>
      <x:c r="Q214" s="203" t="n">
        <x:f>IFERROR(L214*(1+N214),"")</x:f>
        <x:v>135000</x:v>
      </x:c>
      <x:c r="R214" s="205" t="n">
        <x:v>0.03</x:v>
      </x:c>
      <x:c r="S214" s="203" t="n">
        <x:f>IFERROR(Q214*(1+R214),"")</x:f>
        <x:v>139050</x:v>
      </x:c>
      <x:c r="T214" s="206" t="n">
        <x:v>2500</x:v>
      </x:c>
      <x:c r="U214" s="206" t="n">
        <x:v>0</x:v>
      </x:c>
      <x:c r="V214" s="203" t="n">
        <x:f>IFERROR(S214+T214+U214,"")</x:f>
        <x:v>141550</x:v>
      </x:c>
      <x:c r="W214" s="203" t="n">
        <x:f>IFERROR(H214/(1+Anyag_Beallitasok!$B$2)*Anyag_Beallitasok!$B$9,"")</x:f>
        <x:v>171428.57142857142</x:v>
      </x:c>
      <x:c r="X214" s="203" t="n">
        <x:f>IFERROR(V214/((1-Anyag_Beallitasok!$B$3)*(1+Anyag_Beallitasok!$B$2)),"")</x:f>
        <x:v>207399.26739926738</x:v>
      </x:c>
      <x:c r="Y214" s="203" t="n">
        <x:f>IFERROR(V214/((1-Anyag_Beallitasok!$B$4)*(1+Anyag_Beallitasok!$B$2)),"")</x:f>
        <x:v>269619.04761904763</x:v>
      </x:c>
      <x:c r="Z214" s="203" t="n">
        <x:f>IFERROR(ROUNDUP(MAX(W214,X214)/Anyag_Beallitasok!$B$6,0)*Anyag_Beallitasok!$B$6,"")</x:f>
        <x:v>207400</x:v>
      </x:c>
      <x:c r="AA214" s="204" t="n">
        <x:f>Anyag_Beallitasok!$B$2</x:f>
        <x:v>0.05</x:v>
      </x:c>
      <x:c r="AB214" s="203" t="n">
        <x:f>IFERROR(Z214*(1+AA214),"")</x:f>
        <x:v>217770</x:v>
      </x:c>
      <x:c r="AC214" s="204" t="n">
        <x:f>IFERROR(1-V214/H214,"")</x:f>
        <x:v>0.21361111111111108</x:v>
      </x:c>
      <x:c r="AD214" s="204" t="n">
        <x:f>IFERROR(1-V214/AB214,"")</x:f>
        <x:v>0.35000229600036736</x:v>
      </x:c>
      <x:c r="AE214" s="19" t="str">
        <x:f>IF(AC214&lt;Anyag_Beallitasok!$B$3,"NEM ÉRI EL A 35%-OT",IF(AC214&lt;Anyag_Beallitasok!$B$4,"MINIMUM 35–49,9%",IF(AC214&lt;Anyag_Beallitasok!$B$5,"IDEÁLIS 50–59,9%","KIEMELKEDŐ ≥60%")))</x:f>
        <x:v>NEM ÉRI EL A 35%-OT</x:v>
      </x:c>
      <x:c r="AF214" s="204" t="n">
        <x:f>IFERROR(AB214/H214-1,"")</x:f>
        <x:v>0.20983333333333332</x:v>
      </x:c>
      <x:c r="AG214" s="19" t="str">
        <x:f>IF(AND(P214="IGEN",O214&gt;0),IF(AF214&gt;Anyag_Beallitasok!$B$10,"0%-OS SZÁMLA + ÖNADÓZÁS; FELÁR SZÜKSÉGES","0%-OS SZÁMLA + ÖNADÓZÁS"),IF(AF214&gt;Anyag_Beallitasok!$B$10,"FELÁR SZÜKSÉGES A 35%-HOZ",IF(AC214&lt;Anyag_Beallitasok!$B$3,"PIACI ÁRON NEM TARTHATÓ A 35%","OK")))</x:f>
        <x:v>FELÁR SZÜKSÉGES A 35%-HOZ</x:v>
      </x:c>
      <x:c r="AH214" s="207" t="n">
        <x:v>1</x:v>
      </x:c>
      <x:c r="AI214" s="207" t="n">
        <x:v>1</x:v>
      </x:c>
      <x:c r="AJ214" s="207" t="n">
        <x:v>1</x:v>
      </x:c>
      <x:c r="AK214" s="208"/>
      <x:c r="AL214" s="203" t="str">
        <x:f>IF(AK214="","",V214*AK214)</x:f>
      </x:c>
      <x:c r="AM214" s="203" t="str">
        <x:f>IF(AK214="","",AB214*AK214)</x:f>
      </x:c>
      <x:c r="AN214" s="204" t="str">
        <x:f>IFERROR(1-AL214/AM214,"")</x:f>
      </x:c>
      <x:c r="AO214" s="19" t="str">
        <x:v>https://www.gepeszplaza.hu/k-hoszivattyuk-es-klimak/hoszivattyu-3377</x:v>
      </x:c>
      <x:c r="AP214" s="19" t="str">
        <x:v>2026 piaci becslés</x:v>
      </x:c>
      <x:c r="AQ214" s="19" t="str"/>
    </x:row>
    <x:row r="215">
      <x:c r="A215" s="19" t="str">
        <x:v>ANY-0214</x:v>
      </x:c>
      <x:c r="B215" s="19" t="str">
        <x:v>13 Gépészet</x:v>
      </x:c>
      <x:c r="C215" s="19" t="str">
        <x:v>Fűtés, hűtés, szellőzés</x:v>
      </x:c>
      <x:c r="D215" s="19" t="str">
        <x:v>Mindegyik</x:v>
      </x:c>
      <x:c r="E215" s="19" t="str">
        <x:v>Fagyálló hőközlő folyadék</x:v>
      </x:c>
      <x:c r="F215" s="19" t="str">
        <x:v>propilénglikol</x:v>
      </x:c>
      <x:c r="G215" s="19" t="str">
        <x:v>liter</x:v>
      </x:c>
      <x:c r="H215" s="203" t="n">
        <x:v>1800</x:v>
      </x:c>
      <x:c r="I215" s="204" t="n">
        <x:v>0.27</x:v>
      </x:c>
      <x:c r="J215" s="203" t="n">
        <x:f>IFERROR(H215/(1+I215),"")</x:f>
        <x:v>1417.3228346456692</x:v>
      </x:c>
      <x:c r="K215" s="205" t="n">
        <x:v>0.2</x:v>
      </x:c>
      <x:c r="L215" s="203" t="n">
        <x:f>IFERROR(J215*(1-K215),"")</x:f>
        <x:v>1133.8582677165355</x:v>
      </x:c>
      <x:c r="M215" s="19" t="str">
        <x:v>27% normál belföldi</x:v>
      </x:c>
      <x:c r="N215" s="204" t="n">
        <x:v>0.27</x:v>
      </x:c>
      <x:c r="O215" s="204" t="n">
        <x:v>0</x:v>
      </x:c>
      <x:c r="P215" s="19" t="str">
        <x:v>NEM</x:v>
      </x:c>
      <x:c r="Q215" s="203" t="n">
        <x:f>IFERROR(L215*(1+N215),"")</x:f>
        <x:v>1440</x:v>
      </x:c>
      <x:c r="R215" s="205" t="n">
        <x:v>0.08</x:v>
      </x:c>
      <x:c r="S215" s="203" t="n">
        <x:f>IFERROR(Q215*(1+R215),"")</x:f>
        <x:v>1555.2</x:v>
      </x:c>
      <x:c r="T215" s="206" t="n">
        <x:v>40</x:v>
      </x:c>
      <x:c r="U215" s="206" t="n">
        <x:v>0</x:v>
      </x:c>
      <x:c r="V215" s="203" t="n">
        <x:f>IFERROR(S215+T215+U215,"")</x:f>
        <x:v>1595.2</x:v>
      </x:c>
      <x:c r="W215" s="203" t="n">
        <x:f>IFERROR(H215/(1+Anyag_Beallitasok!$B$2)*Anyag_Beallitasok!$B$9,"")</x:f>
        <x:v>1714.2857142857142</x:v>
      </x:c>
      <x:c r="X215" s="203" t="n">
        <x:f>IFERROR(V215/((1-Anyag_Beallitasok!$B$3)*(1+Anyag_Beallitasok!$B$2)),"")</x:f>
        <x:v>2337.289377289377</x:v>
      </x:c>
      <x:c r="Y215" s="203" t="n">
        <x:f>IFERROR(V215/((1-Anyag_Beallitasok!$B$4)*(1+Anyag_Beallitasok!$B$2)),"")</x:f>
        <x:v>3038.4761904761904</x:v>
      </x:c>
      <x:c r="Z215" s="203" t="n">
        <x:f>IFERROR(ROUNDUP(MAX(W215,X215)/Anyag_Beallitasok!$B$6,0)*Anyag_Beallitasok!$B$6,"")</x:f>
        <x:v>2350</x:v>
      </x:c>
      <x:c r="AA215" s="204" t="n">
        <x:f>Anyag_Beallitasok!$B$2</x:f>
        <x:v>0.05</x:v>
      </x:c>
      <x:c r="AB215" s="203" t="n">
        <x:f>IFERROR(Z215*(1+AA215),"")</x:f>
        <x:v>2467.5</x:v>
      </x:c>
      <x:c r="AC215" s="204" t="n">
        <x:f>IFERROR(1-V215/H215,"")</x:f>
        <x:v>0.11377777777777776</x:v>
      </x:c>
      <x:c r="AD215" s="204" t="n">
        <x:f>IFERROR(1-V215/AB215,"")</x:f>
        <x:v>0.353515704154002</x:v>
      </x:c>
      <x:c r="AE215" s="19" t="str">
        <x:f>IF(AC215&lt;Anyag_Beallitasok!$B$3,"NEM ÉRI EL A 35%-OT",IF(AC215&lt;Anyag_Beallitasok!$B$4,"MINIMUM 35–49,9%",IF(AC215&lt;Anyag_Beallitasok!$B$5,"IDEÁLIS 50–59,9%","KIEMELKEDŐ ≥60%")))</x:f>
        <x:v>NEM ÉRI EL A 35%-OT</x:v>
      </x:c>
      <x:c r="AF215" s="204" t="n">
        <x:f>IFERROR(AB215/H215-1,"")</x:f>
        <x:v>0.37083333333333335</x:v>
      </x:c>
      <x:c r="AG215" s="19" t="str">
        <x:f>IF(AND(P215="IGEN",O215&gt;0),IF(AF215&gt;Anyag_Beallitasok!$B$10,"0%-OS SZÁMLA + ÖNADÓZÁS; FELÁR SZÜKSÉGES","0%-OS SZÁMLA + ÖNADÓZÁS"),IF(AF215&gt;Anyag_Beallitasok!$B$10,"FELÁR SZÜKSÉGES A 35%-HOZ",IF(AC215&lt;Anyag_Beallitasok!$B$3,"PIACI ÁRON NEM TARTHATÓ A 35%","OK")))</x:f>
        <x:v>FELÁR SZÜKSÉGES A 35%-HOZ</x:v>
      </x:c>
      <x:c r="AH215" s="207" t="n">
        <x:v>50</x:v>
      </x:c>
      <x:c r="AI215" s="207" t="n">
        <x:v>50</x:v>
      </x:c>
      <x:c r="AJ215" s="207" t="n">
        <x:v>50</x:v>
      </x:c>
      <x:c r="AK215" s="208"/>
      <x:c r="AL215" s="203" t="str">
        <x:f>IF(AK215="","",V215*AK215)</x:f>
      </x:c>
      <x:c r="AM215" s="203" t="str">
        <x:f>IF(AK215="","",AB215*AK215)</x:f>
      </x:c>
      <x:c r="AN215" s="204" t="str">
        <x:f>IFERROR(1-AL215/AM215,"")</x:f>
      </x:c>
      <x:c r="AO215" s="19" t="str">
        <x:v>https://www.gepeszplaza.hu/k-hoszivattyuk-es-klimak/hoszivattyu-3377</x:v>
      </x:c>
      <x:c r="AP215" s="19" t="str">
        <x:v>2026 piaci becslés</x:v>
      </x:c>
      <x:c r="AQ215" s="19" t="str"/>
    </x:row>
    <x:row r="216">
      <x:c r="A216" s="19" t="str">
        <x:v>ANY-0215</x:v>
      </x:c>
      <x:c r="B216" s="19" t="str">
        <x:v>13 Gépészet</x:v>
      </x:c>
      <x:c r="C216" s="19" t="str">
        <x:v>Fűtés, hűtés, szellőzés</x:v>
      </x:c>
      <x:c r="D216" s="19" t="str">
        <x:v>Mindegyik</x:v>
      </x:c>
      <x:c r="E216" s="19" t="str">
        <x:v>Split klíma 3,5 kW</x:v>
      </x:c>
      <x:c r="F216" s="19" t="str">
        <x:v>A++ középkategória</x:v>
      </x:c>
      <x:c r="G216" s="19" t="str">
        <x:v>db</x:v>
      </x:c>
      <x:c r="H216" s="203" t="n">
        <x:v>280000</x:v>
      </x:c>
      <x:c r="I216" s="204" t="n">
        <x:v>0.27</x:v>
      </x:c>
      <x:c r="J216" s="203" t="n">
        <x:f>IFERROR(H216/(1+I216),"")</x:f>
        <x:v>220472.44094488188</x:v>
      </x:c>
      <x:c r="K216" s="205" t="n">
        <x:v>0.25</x:v>
      </x:c>
      <x:c r="L216" s="203" t="n">
        <x:f>IFERROR(J216*(1-K216),"")</x:f>
        <x:v>165354.3307086614</x:v>
      </x:c>
      <x:c r="M216" s="19" t="str">
        <x:v>0% számla – Közösségi beszerzés; 27% önadózás</x:v>
      </x:c>
      <x:c r="N216" s="204" t="n">
        <x:v>0</x:v>
      </x:c>
      <x:c r="O216" s="204" t="n">
        <x:v>0.27</x:v>
      </x:c>
      <x:c r="P216" s="19" t="str">
        <x:v>IGEN</x:v>
      </x:c>
      <x:c r="Q216" s="203" t="n">
        <x:f>IFERROR(L216*(1+N216),"")</x:f>
        <x:v>165354.3307086614</x:v>
      </x:c>
      <x:c r="R216" s="205" t="n">
        <x:v>0.02</x:v>
      </x:c>
      <x:c r="S216" s="203" t="n">
        <x:f>IFERROR(Q216*(1+R216),"")</x:f>
        <x:v>168661.41732283463</x:v>
      </x:c>
      <x:c r="T216" s="206" t="n">
        <x:v>5000</x:v>
      </x:c>
      <x:c r="U216" s="206" t="n">
        <x:v>0</x:v>
      </x:c>
      <x:c r="V216" s="203" t="n">
        <x:f>IFERROR(S216+T216+U216,"")</x:f>
        <x:v>173661.41732283463</x:v>
      </x:c>
      <x:c r="W216" s="203" t="n">
        <x:f>IFERROR(H216/(1+Anyag_Beallitasok!$B$2)*Anyag_Beallitasok!$B$9,"")</x:f>
        <x:v>266666.6666666666</x:v>
      </x:c>
      <x:c r="X216" s="203" t="n">
        <x:f>IFERROR(V216/((1-Anyag_Beallitasok!$B$3)*(1+Anyag_Beallitasok!$B$2)),"")</x:f>
        <x:v>254448.96311038037</x:v>
      </x:c>
      <x:c r="Y216" s="203" t="n">
        <x:f>IFERROR(V216/((1-Anyag_Beallitasok!$B$4)*(1+Anyag_Beallitasok!$B$2)),"")</x:f>
        <x:v>330783.6520434945</x:v>
      </x:c>
      <x:c r="Z216" s="203" t="n">
        <x:f>IFERROR(ROUNDUP(MAX(W216,X216)/Anyag_Beallitasok!$B$6,0)*Anyag_Beallitasok!$B$6,"")</x:f>
        <x:v>266700</x:v>
      </x:c>
      <x:c r="AA216" s="204" t="n">
        <x:f>Anyag_Beallitasok!$B$2</x:f>
        <x:v>0.05</x:v>
      </x:c>
      <x:c r="AB216" s="203" t="n">
        <x:f>IFERROR(Z216*(1+AA216),"")</x:f>
        <x:v>280035</x:v>
      </x:c>
      <x:c r="AC216" s="204" t="n">
        <x:f>IFERROR(1-V216/H216,"")</x:f>
        <x:v>0.3797806524184477</x:v>
      </x:c>
      <x:c r="AD216" s="204" t="n">
        <x:f>IFERROR(1-V216/AB216,"")</x:f>
        <x:v>0.3798581701471794</x:v>
      </x:c>
      <x:c r="AE216" s="19" t="str">
        <x:f>IF(AC216&lt;Anyag_Beallitasok!$B$3,"NEM ÉRI EL A 35%-OT",IF(AC216&lt;Anyag_Beallitasok!$B$4,"MINIMUM 35–49,9%",IF(AC216&lt;Anyag_Beallitasok!$B$5,"IDEÁLIS 50–59,9%","KIEMELKEDŐ ≥60%")))</x:f>
        <x:v>MINIMUM 35–49,9%</x:v>
      </x:c>
      <x:c r="AF216" s="204" t="n">
        <x:f>IFERROR(AB216/H216-1,"")</x:f>
        <x:v>0.00012499999999993072</x:v>
      </x:c>
      <x:c r="AG216" s="19" t="str">
        <x:f>IF(AND(P216="IGEN",O216&gt;0),IF(AF216&gt;Anyag_Beallitasok!$B$10,"0%-OS SZÁMLA + ÖNADÓZÁS; FELÁR SZÜKSÉGES","0%-OS SZÁMLA + ÖNADÓZÁS"),IF(AF216&gt;Anyag_Beallitasok!$B$10,"FELÁR SZÜKSÉGES A 35%-HOZ",IF(AC216&lt;Anyag_Beallitasok!$B$3,"PIACI ÁRON NEM TARTHATÓ A 35%","OK")))</x:f>
        <x:v>0%-OS SZÁMLA + ÖNADÓZÁS</x:v>
      </x:c>
      <x:c r="AH216" s="207" t="n">
        <x:v>0</x:v>
      </x:c>
      <x:c r="AI216" s="207" t="n">
        <x:v>0</x:v>
      </x:c>
      <x:c r="AJ216" s="207" t="n">
        <x:v>0</x:v>
      </x:c>
      <x:c r="AK216" s="208"/>
      <x:c r="AL216" s="203" t="str">
        <x:f>IF(AK216="","",V216*AK216)</x:f>
      </x:c>
      <x:c r="AM216" s="203" t="str">
        <x:f>IF(AK216="","",AB216*AK216)</x:f>
      </x:c>
      <x:c r="AN216" s="204" t="str">
        <x:f>IFERROR(1-AL216/AM216,"")</x:f>
      </x:c>
      <x:c r="AO216" s="19" t="str">
        <x:v>https://www.gepeszplaza.hu/k-hoszivattyuk-es-klimak/hoszivattyu-3377</x:v>
      </x:c>
      <x:c r="AP216" s="19" t="str">
        <x:v>2026 piaci becslés</x:v>
      </x:c>
      <x:c r="AQ216" s="19" t="str"/>
    </x:row>
    <x:row r="217">
      <x:c r="A217" s="19" t="str">
        <x:v>ANY-0216</x:v>
      </x:c>
      <x:c r="B217" s="19" t="str">
        <x:v>13 Gépészet</x:v>
      </x:c>
      <x:c r="C217" s="19" t="str">
        <x:v>Fűtés, hűtés, szellőzés</x:v>
      </x:c>
      <x:c r="D217" s="19" t="str">
        <x:v>Mindegyik</x:v>
      </x:c>
      <x:c r="E217" s="19" t="str">
        <x:v>Hővisszanyerős szellőztető gép</x:v>
      </x:c>
      <x:c r="F217" s="19" t="str">
        <x:v>300–400 m³/h</x:v>
      </x:c>
      <x:c r="G217" s="19" t="str">
        <x:v>db</x:v>
      </x:c>
      <x:c r="H217" s="203" t="n">
        <x:v>850000</x:v>
      </x:c>
      <x:c r="I217" s="204" t="n">
        <x:v>0.27</x:v>
      </x:c>
      <x:c r="J217" s="203" t="n">
        <x:f>IFERROR(H217/(1+I217),"")</x:f>
        <x:v>669291.3385826772</x:v>
      </x:c>
      <x:c r="K217" s="205" t="n">
        <x:v>0.25</x:v>
      </x:c>
      <x:c r="L217" s="203" t="n">
        <x:f>IFERROR(J217*(1-K217),"")</x:f>
        <x:v>501968.50393700786</x:v>
      </x:c>
      <x:c r="M217" s="19" t="str">
        <x:v>0% számla – Közösségi beszerzés; 27% önadózás</x:v>
      </x:c>
      <x:c r="N217" s="204" t="n">
        <x:v>0</x:v>
      </x:c>
      <x:c r="O217" s="204" t="n">
        <x:v>0.27</x:v>
      </x:c>
      <x:c r="P217" s="19" t="str">
        <x:v>IGEN</x:v>
      </x:c>
      <x:c r="Q217" s="203" t="n">
        <x:f>IFERROR(L217*(1+N217),"")</x:f>
        <x:v>501968.50393700786</x:v>
      </x:c>
      <x:c r="R217" s="205" t="n">
        <x:v>0.02</x:v>
      </x:c>
      <x:c r="S217" s="203" t="n">
        <x:f>IFERROR(Q217*(1+R217),"")</x:f>
        <x:v>512007.87401574804</x:v>
      </x:c>
      <x:c r="T217" s="206" t="n">
        <x:v>12000</x:v>
      </x:c>
      <x:c r="U217" s="206" t="n">
        <x:v>3000</x:v>
      </x:c>
      <x:c r="V217" s="203" t="n">
        <x:f>IFERROR(S217+T217+U217,"")</x:f>
        <x:v>527007.874015748</x:v>
      </x:c>
      <x:c r="W217" s="203" t="n">
        <x:f>IFERROR(H217/(1+Anyag_Beallitasok!$B$2)*Anyag_Beallitasok!$B$9,"")</x:f>
        <x:v>809523.8095238095</x:v>
      </x:c>
      <x:c r="X217" s="203" t="n">
        <x:f>IFERROR(V217/((1-Anyag_Beallitasok!$B$3)*(1+Anyag_Beallitasok!$B$2)),"")</x:f>
        <x:v>772172.7091805831</x:v>
      </x:c>
      <x:c r="Y217" s="203" t="n">
        <x:f>IFERROR(V217/((1-Anyag_Beallitasok!$B$4)*(1+Anyag_Beallitasok!$B$2)),"")</x:f>
        <x:v>1003824.5219347582</x:v>
      </x:c>
      <x:c r="Z217" s="203" t="n">
        <x:f>IFERROR(ROUNDUP(MAX(W217,X217)/Anyag_Beallitasok!$B$6,0)*Anyag_Beallitasok!$B$6,"")</x:f>
        <x:v>809550</x:v>
      </x:c>
      <x:c r="AA217" s="204" t="n">
        <x:f>Anyag_Beallitasok!$B$2</x:f>
        <x:v>0.05</x:v>
      </x:c>
      <x:c r="AB217" s="203" t="n">
        <x:f>IFERROR(Z217*(1+AA217),"")</x:f>
        <x:v>850027.5</x:v>
      </x:c>
      <x:c r="AC217" s="204" t="n">
        <x:f>IFERROR(1-V217/H217,"")</x:f>
        <x:v>0.37999073645206116</x:v>
      </x:c>
      <x:c r="AD217" s="204" t="n">
        <x:f>IFERROR(1-V217/AB217,"")</x:f>
        <x:v>0.38001079492634293</x:v>
      </x:c>
      <x:c r="AE217" s="19" t="str">
        <x:f>IF(AC217&lt;Anyag_Beallitasok!$B$3,"NEM ÉRI EL A 35%-OT",IF(AC217&lt;Anyag_Beallitasok!$B$4,"MINIMUM 35–49,9%",IF(AC217&lt;Anyag_Beallitasok!$B$5,"IDEÁLIS 50–59,9%","KIEMELKEDŐ ≥60%")))</x:f>
        <x:v>MINIMUM 35–49,9%</x:v>
      </x:c>
      <x:c r="AF217" s="204" t="n">
        <x:f>IFERROR(AB217/H217-1,"")</x:f>
        <x:v>0.00003235294117653886</x:v>
      </x:c>
      <x:c r="AG217" s="19" t="str">
        <x:f>IF(AND(P217="IGEN",O217&gt;0),IF(AF217&gt;Anyag_Beallitasok!$B$10,"0%-OS SZÁMLA + ÖNADÓZÁS; FELÁR SZÜKSÉGES","0%-OS SZÁMLA + ÖNADÓZÁS"),IF(AF217&gt;Anyag_Beallitasok!$B$10,"FELÁR SZÜKSÉGES A 35%-HOZ",IF(AC217&lt;Anyag_Beallitasok!$B$3,"PIACI ÁRON NEM TARTHATÓ A 35%","OK")))</x:f>
        <x:v>0%-OS SZÁMLA + ÖNADÓZÁS</x:v>
      </x:c>
      <x:c r="AH217" s="207" t="n">
        <x:v>1</x:v>
      </x:c>
      <x:c r="AI217" s="207" t="n">
        <x:v>1</x:v>
      </x:c>
      <x:c r="AJ217" s="207" t="n">
        <x:v>1</x:v>
      </x:c>
      <x:c r="AK217" s="208"/>
      <x:c r="AL217" s="203" t="str">
        <x:f>IF(AK217="","",V217*AK217)</x:f>
      </x:c>
      <x:c r="AM217" s="203" t="str">
        <x:f>IF(AK217="","",AB217*AK217)</x:f>
      </x:c>
      <x:c r="AN217" s="204" t="str">
        <x:f>IFERROR(1-AL217/AM217,"")</x:f>
      </x:c>
      <x:c r="AO217" s="19" t="str">
        <x:v>https://www.gepeszplaza.hu/k-hoszivattyuk-es-klimak/hoszivattyu-3377</x:v>
      </x:c>
      <x:c r="AP217" s="19" t="str">
        <x:v>2026 piaci becslés</x:v>
      </x:c>
      <x:c r="AQ217" s="19" t="str"/>
    </x:row>
    <x:row r="218">
      <x:c r="A218" s="19" t="str">
        <x:v>ANY-0217</x:v>
      </x:c>
      <x:c r="B218" s="19" t="str">
        <x:v>13 Gépészet</x:v>
      </x:c>
      <x:c r="C218" s="19" t="str">
        <x:v>Fűtés, hűtés, szellőzés</x:v>
      </x:c>
      <x:c r="D218" s="19" t="str">
        <x:v>Mindegyik</x:v>
      </x:c>
      <x:c r="E218" s="19" t="str">
        <x:v>Antisztatikus flexibilis légcsatorna DN75</x:v>
      </x:c>
      <x:c r="F218" s="19" t="str">
        <x:v>hővisszanyerős rendszer</x:v>
      </x:c>
      <x:c r="G218" s="19" t="str">
        <x:v>fm</x:v>
      </x:c>
      <x:c r="H218" s="203" t="n">
        <x:v>1650</x:v>
      </x:c>
      <x:c r="I218" s="204" t="n">
        <x:v>0.27</x:v>
      </x:c>
      <x:c r="J218" s="203" t="n">
        <x:f>IFERROR(H218/(1+I218),"")</x:f>
        <x:v>1299.2125984251968</x:v>
      </x:c>
      <x:c r="K218" s="205" t="n">
        <x:v>0.25</x:v>
      </x:c>
      <x:c r="L218" s="203" t="n">
        <x:f>IFERROR(J218*(1-K218),"")</x:f>
        <x:v>974.4094488188975</x:v>
      </x:c>
      <x:c r="M218" s="19" t="str">
        <x:v>27% normál belföldi</x:v>
      </x:c>
      <x:c r="N218" s="204" t="n">
        <x:v>0.27</x:v>
      </x:c>
      <x:c r="O218" s="204" t="n">
        <x:v>0</x:v>
      </x:c>
      <x:c r="P218" s="19" t="str">
        <x:v>NEM</x:v>
      </x:c>
      <x:c r="Q218" s="203" t="n">
        <x:f>IFERROR(L218*(1+N218),"")</x:f>
        <x:v>1237.5</x:v>
      </x:c>
      <x:c r="R218" s="205" t="n">
        <x:v>0.08</x:v>
      </x:c>
      <x:c r="S218" s="203" t="n">
        <x:f>IFERROR(Q218*(1+R218),"")</x:f>
        <x:v>1336.5</x:v>
      </x:c>
      <x:c r="T218" s="206" t="n">
        <x:v>40</x:v>
      </x:c>
      <x:c r="U218" s="206" t="n">
        <x:v>0</x:v>
      </x:c>
      <x:c r="V218" s="203" t="n">
        <x:f>IFERROR(S218+T218+U218,"")</x:f>
        <x:v>1376.5</x:v>
      </x:c>
      <x:c r="W218" s="203" t="n">
        <x:f>IFERROR(H218/(1+Anyag_Beallitasok!$B$2)*Anyag_Beallitasok!$B$9,"")</x:f>
        <x:v>1571.4285714285713</x:v>
      </x:c>
      <x:c r="X218" s="203" t="n">
        <x:f>IFERROR(V218/((1-Anyag_Beallitasok!$B$3)*(1+Anyag_Beallitasok!$B$2)),"")</x:f>
        <x:v>2016.8498168498165</x:v>
      </x:c>
      <x:c r="Y218" s="203" t="n">
        <x:f>IFERROR(V218/((1-Anyag_Beallitasok!$B$4)*(1+Anyag_Beallitasok!$B$2)),"")</x:f>
        <x:v>2621.904761904762</x:v>
      </x:c>
      <x:c r="Z218" s="203" t="n">
        <x:f>IFERROR(ROUNDUP(MAX(W218,X218)/Anyag_Beallitasok!$B$6,0)*Anyag_Beallitasok!$B$6,"")</x:f>
        <x:v>2050</x:v>
      </x:c>
      <x:c r="AA218" s="204" t="n">
        <x:f>Anyag_Beallitasok!$B$2</x:f>
        <x:v>0.05</x:v>
      </x:c>
      <x:c r="AB218" s="203" t="n">
        <x:f>IFERROR(Z218*(1+AA218),"")</x:f>
        <x:v>2152.5</x:v>
      </x:c>
      <x:c r="AC218" s="204" t="n">
        <x:f>IFERROR(1-V218/H218,"")</x:f>
        <x:v>0.16575757575757577</x:v>
      </x:c>
      <x:c r="AD218" s="204" t="n">
        <x:f>IFERROR(1-V218/AB218,"")</x:f>
        <x:v>0.3605110336817654</x:v>
      </x:c>
      <x:c r="AE218" s="19" t="str">
        <x:f>IF(AC218&lt;Anyag_Beallitasok!$B$3,"NEM ÉRI EL A 35%-OT",IF(AC218&lt;Anyag_Beallitasok!$B$4,"MINIMUM 35–49,9%",IF(AC218&lt;Anyag_Beallitasok!$B$5,"IDEÁLIS 50–59,9%","KIEMELKEDŐ ≥60%")))</x:f>
        <x:v>NEM ÉRI EL A 35%-OT</x:v>
      </x:c>
      <x:c r="AF218" s="204" t="n">
        <x:f>IFERROR(AB218/H218-1,"")</x:f>
        <x:v>0.30454545454545445</x:v>
      </x:c>
      <x:c r="AG218" s="19" t="str">
        <x:f>IF(AND(P218="IGEN",O218&gt;0),IF(AF218&gt;Anyag_Beallitasok!$B$10,"0%-OS SZÁMLA + ÖNADÓZÁS; FELÁR SZÜKSÉGES","0%-OS SZÁMLA + ÖNADÓZÁS"),IF(AF218&gt;Anyag_Beallitasok!$B$10,"FELÁR SZÜKSÉGES A 35%-HOZ",IF(AC218&lt;Anyag_Beallitasok!$B$3,"PIACI ÁRON NEM TARTHATÓ A 35%","OK")))</x:f>
        <x:v>FELÁR SZÜKSÉGES A 35%-HOZ</x:v>
      </x:c>
      <x:c r="AH218" s="207" t="n">
        <x:v>420</x:v>
      </x:c>
      <x:c r="AI218" s="207" t="n">
        <x:v>420</x:v>
      </x:c>
      <x:c r="AJ218" s="207" t="n">
        <x:v>420</x:v>
      </x:c>
      <x:c r="AK218" s="208"/>
      <x:c r="AL218" s="203" t="str">
        <x:f>IF(AK218="","",V218*AK218)</x:f>
      </x:c>
      <x:c r="AM218" s="203" t="str">
        <x:f>IF(AK218="","",AB218*AK218)</x:f>
      </x:c>
      <x:c r="AN218" s="204" t="str">
        <x:f>IFERROR(1-AL218/AM218,"")</x:f>
      </x:c>
      <x:c r="AO218" s="19" t="str">
        <x:v>https://www.argep.hu/trend/16OE/16-oetretegue-csoe-ar.html</x:v>
      </x:c>
      <x:c r="AP218" s="19" t="str">
        <x:v>2026 piaci becslés</x:v>
      </x:c>
      <x:c r="AQ218" s="19" t="str"/>
    </x:row>
    <x:row r="219">
      <x:c r="A219" s="19" t="str">
        <x:v>ANY-0218</x:v>
      </x:c>
      <x:c r="B219" s="19" t="str">
        <x:v>13 Gépészet</x:v>
      </x:c>
      <x:c r="C219" s="19" t="str">
        <x:v>Fűtés, hűtés, szellőzés</x:v>
      </x:c>
      <x:c r="D219" s="19" t="str">
        <x:v>Mindegyik</x:v>
      </x:c>
      <x:c r="E219" s="19" t="str">
        <x:v>Légtechnikai osztódoboz</x:v>
      </x:c>
      <x:c r="F219" s="19" t="str">
        <x:v>8–12 csonkos</x:v>
      </x:c>
      <x:c r="G219" s="19" t="str">
        <x:v>db</x:v>
      </x:c>
      <x:c r="H219" s="203" t="n">
        <x:v>65000</x:v>
      </x:c>
      <x:c r="I219" s="204" t="n">
        <x:v>0.27</x:v>
      </x:c>
      <x:c r="J219" s="203" t="n">
        <x:f>IFERROR(H219/(1+I219),"")</x:f>
        <x:v>51181.10236220472</x:v>
      </x:c>
      <x:c r="K219" s="205" t="n">
        <x:v>0.25</x:v>
      </x:c>
      <x:c r="L219" s="203" t="n">
        <x:f>IFERROR(J219*(1-K219),"")</x:f>
        <x:v>38385.82677165354</x:v>
      </x:c>
      <x:c r="M219" s="19" t="str">
        <x:v>27% normál belföldi</x:v>
      </x:c>
      <x:c r="N219" s="204" t="n">
        <x:v>0.27</x:v>
      </x:c>
      <x:c r="O219" s="204" t="n">
        <x:v>0</x:v>
      </x:c>
      <x:c r="P219" s="19" t="str">
        <x:v>NEM</x:v>
      </x:c>
      <x:c r="Q219" s="203" t="n">
        <x:f>IFERROR(L219*(1+N219),"")</x:f>
        <x:v>48750</x:v>
      </x:c>
      <x:c r="R219" s="205" t="n">
        <x:v>0.03</x:v>
      </x:c>
      <x:c r="S219" s="203" t="n">
        <x:f>IFERROR(Q219*(1+R219),"")</x:f>
        <x:v>50212.5</x:v>
      </x:c>
      <x:c r="T219" s="206" t="n">
        <x:v>1200</x:v>
      </x:c>
      <x:c r="U219" s="206" t="n">
        <x:v>0</x:v>
      </x:c>
      <x:c r="V219" s="203" t="n">
        <x:f>IFERROR(S219+T219+U219,"")</x:f>
        <x:v>51412.5</x:v>
      </x:c>
      <x:c r="W219" s="203" t="n">
        <x:f>IFERROR(H219/(1+Anyag_Beallitasok!$B$2)*Anyag_Beallitasok!$B$9,"")</x:f>
        <x:v>61904.7619047619</x:v>
      </x:c>
      <x:c r="X219" s="203" t="n">
        <x:f>IFERROR(V219/((1-Anyag_Beallitasok!$B$3)*(1+Anyag_Beallitasok!$B$2)),"")</x:f>
        <x:v>75329.67032967032</x:v>
      </x:c>
      <x:c r="Y219" s="203" t="n">
        <x:f>IFERROR(V219/((1-Anyag_Beallitasok!$B$4)*(1+Anyag_Beallitasok!$B$2)),"")</x:f>
        <x:v>97928.57142857142</x:v>
      </x:c>
      <x:c r="Z219" s="203" t="n">
        <x:f>IFERROR(ROUNDUP(MAX(W219,X219)/Anyag_Beallitasok!$B$6,0)*Anyag_Beallitasok!$B$6,"")</x:f>
        <x:v>75350</x:v>
      </x:c>
      <x:c r="AA219" s="204" t="n">
        <x:f>Anyag_Beallitasok!$B$2</x:f>
        <x:v>0.05</x:v>
      </x:c>
      <x:c r="AB219" s="203" t="n">
        <x:f>IFERROR(Z219*(1+AA219),"")</x:f>
        <x:v>79117.5</x:v>
      </x:c>
      <x:c r="AC219" s="204" t="n">
        <x:f>IFERROR(1-V219/H219,"")</x:f>
        <x:v>0.2090384615384615</x:v>
      </x:c>
      <x:c r="AD219" s="204" t="n">
        <x:f>IFERROR(1-V219/AB219,"")</x:f>
        <x:v>0.3501753720731823</x:v>
      </x:c>
      <x:c r="AE219" s="19" t="str">
        <x:f>IF(AC219&lt;Anyag_Beallitasok!$B$3,"NEM ÉRI EL A 35%-OT",IF(AC219&lt;Anyag_Beallitasok!$B$4,"MINIMUM 35–49,9%",IF(AC219&lt;Anyag_Beallitasok!$B$5,"IDEÁLIS 50–59,9%","KIEMELKEDŐ ≥60%")))</x:f>
        <x:v>NEM ÉRI EL A 35%-OT</x:v>
      </x:c>
      <x:c r="AF219" s="204" t="n">
        <x:f>IFERROR(AB219/H219-1,"")</x:f>
        <x:v>0.21719230769230768</x:v>
      </x:c>
      <x:c r="AG219" s="19" t="str">
        <x:f>IF(AND(P219="IGEN",O219&gt;0),IF(AF219&gt;Anyag_Beallitasok!$B$10,"0%-OS SZÁMLA + ÖNADÓZÁS; FELÁR SZÜKSÉGES","0%-OS SZÁMLA + ÖNADÓZÁS"),IF(AF219&gt;Anyag_Beallitasok!$B$10,"FELÁR SZÜKSÉGES A 35%-HOZ",IF(AC219&lt;Anyag_Beallitasok!$B$3,"PIACI ÁRON NEM TARTHATÓ A 35%","OK")))</x:f>
        <x:v>FELÁR SZÜKSÉGES A 35%-HOZ</x:v>
      </x:c>
      <x:c r="AH219" s="207" t="n">
        <x:v>2</x:v>
      </x:c>
      <x:c r="AI219" s="207" t="n">
        <x:v>2</x:v>
      </x:c>
      <x:c r="AJ219" s="207" t="n">
        <x:v>2</x:v>
      </x:c>
      <x:c r="AK219" s="208"/>
      <x:c r="AL219" s="203" t="str">
        <x:f>IF(AK219="","",V219*AK219)</x:f>
      </x:c>
      <x:c r="AM219" s="203" t="str">
        <x:f>IF(AK219="","",AB219*AK219)</x:f>
      </x:c>
      <x:c r="AN219" s="204" t="str">
        <x:f>IFERROR(1-AL219/AM219,"")</x:f>
      </x:c>
      <x:c r="AO219" s="19" t="str">
        <x:v>https://www.argep.hu/trend/16OE/16-oetretegue-csoe-ar.html</x:v>
      </x:c>
      <x:c r="AP219" s="19" t="str">
        <x:v>2026 piaci becslés</x:v>
      </x:c>
      <x:c r="AQ219" s="19" t="str"/>
    </x:row>
    <x:row r="220">
      <x:c r="A220" s="19" t="str">
        <x:v>ANY-0219</x:v>
      </x:c>
      <x:c r="B220" s="19" t="str">
        <x:v>13 Gépészet</x:v>
      </x:c>
      <x:c r="C220" s="19" t="str">
        <x:v>Fűtés, hűtés, szellőzés</x:v>
      </x:c>
      <x:c r="D220" s="19" t="str">
        <x:v>Mindegyik</x:v>
      </x:c>
      <x:c r="E220" s="19" t="str">
        <x:v>Anemosztát és plenumdoboz</x:v>
      </x:c>
      <x:c r="F220" s="19" t="str">
        <x:v>befúvó/elszívó</x:v>
      </x:c>
      <x:c r="G220" s="19" t="str">
        <x:v>db</x:v>
      </x:c>
      <x:c r="H220" s="203" t="n">
        <x:v>18000</x:v>
      </x:c>
      <x:c r="I220" s="204" t="n">
        <x:v>0.27</x:v>
      </x:c>
      <x:c r="J220" s="203" t="n">
        <x:f>IFERROR(H220/(1+I220),"")</x:f>
        <x:v>14173.228346456694</x:v>
      </x:c>
      <x:c r="K220" s="205" t="n">
        <x:v>0.25</x:v>
      </x:c>
      <x:c r="L220" s="203" t="n">
        <x:f>IFERROR(J220*(1-K220),"")</x:f>
        <x:v>10629.92125984252</x:v>
      </x:c>
      <x:c r="M220" s="19" t="str">
        <x:v>27% normál belföldi</x:v>
      </x:c>
      <x:c r="N220" s="204" t="n">
        <x:v>0.27</x:v>
      </x:c>
      <x:c r="O220" s="204" t="n">
        <x:v>0</x:v>
      </x:c>
      <x:c r="P220" s="19" t="str">
        <x:v>NEM</x:v>
      </x:c>
      <x:c r="Q220" s="203" t="n">
        <x:f>IFERROR(L220*(1+N220),"")</x:f>
        <x:v>13500</x:v>
      </x:c>
      <x:c r="R220" s="205" t="n">
        <x:v>0.03</x:v>
      </x:c>
      <x:c r="S220" s="203" t="n">
        <x:f>IFERROR(Q220*(1+R220),"")</x:f>
        <x:v>13905</x:v>
      </x:c>
      <x:c r="T220" s="206" t="n">
        <x:v>400</x:v>
      </x:c>
      <x:c r="U220" s="206" t="n">
        <x:v>0</x:v>
      </x:c>
      <x:c r="V220" s="203" t="n">
        <x:f>IFERROR(S220+T220+U220,"")</x:f>
        <x:v>14305</x:v>
      </x:c>
      <x:c r="W220" s="203" t="n">
        <x:f>IFERROR(H220/(1+Anyag_Beallitasok!$B$2)*Anyag_Beallitasok!$B$9,"")</x:f>
        <x:v>17142.85714285714</x:v>
      </x:c>
      <x:c r="X220" s="203" t="n">
        <x:f>IFERROR(V220/((1-Anyag_Beallitasok!$B$3)*(1+Anyag_Beallitasok!$B$2)),"")</x:f>
        <x:v>20959.706959706957</x:v>
      </x:c>
      <x:c r="Y220" s="203" t="n">
        <x:f>IFERROR(V220/((1-Anyag_Beallitasok!$B$4)*(1+Anyag_Beallitasok!$B$2)),"")</x:f>
        <x:v>27247.619047619046</x:v>
      </x:c>
      <x:c r="Z220" s="203" t="n">
        <x:f>IFERROR(ROUNDUP(MAX(W220,X220)/Anyag_Beallitasok!$B$6,0)*Anyag_Beallitasok!$B$6,"")</x:f>
        <x:v>21000</x:v>
      </x:c>
      <x:c r="AA220" s="204" t="n">
        <x:f>Anyag_Beallitasok!$B$2</x:f>
        <x:v>0.05</x:v>
      </x:c>
      <x:c r="AB220" s="203" t="n">
        <x:f>IFERROR(Z220*(1+AA220),"")</x:f>
        <x:v>22050</x:v>
      </x:c>
      <x:c r="AC220" s="204" t="n">
        <x:f>IFERROR(1-V220/H220,"")</x:f>
        <x:v>0.20527777777777778</x:v>
      </x:c>
      <x:c r="AD220" s="204" t="n">
        <x:f>IFERROR(1-V220/AB220,"")</x:f>
        <x:v>0.3512471655328798</x:v>
      </x:c>
      <x:c r="AE220" s="19" t="str">
        <x:f>IF(AC220&lt;Anyag_Beallitasok!$B$3,"NEM ÉRI EL A 35%-OT",IF(AC220&lt;Anyag_Beallitasok!$B$4,"MINIMUM 35–49,9%",IF(AC220&lt;Anyag_Beallitasok!$B$5,"IDEÁLIS 50–59,9%","KIEMELKEDŐ ≥60%")))</x:f>
        <x:v>NEM ÉRI EL A 35%-OT</x:v>
      </x:c>
      <x:c r="AF220" s="204" t="n">
        <x:f>IFERROR(AB220/H220-1,"")</x:f>
        <x:v>0.2250000000000001</x:v>
      </x:c>
      <x:c r="AG220" s="19" t="str">
        <x:f>IF(AND(P220="IGEN",O220&gt;0),IF(AF220&gt;Anyag_Beallitasok!$B$10,"0%-OS SZÁMLA + ÖNADÓZÁS; FELÁR SZÜKSÉGES","0%-OS SZÁMLA + ÖNADÓZÁS"),IF(AF220&gt;Anyag_Beallitasok!$B$10,"FELÁR SZÜKSÉGES A 35%-HOZ",IF(AC220&lt;Anyag_Beallitasok!$B$3,"PIACI ÁRON NEM TARTHATÓ A 35%","OK")))</x:f>
        <x:v>FELÁR SZÜKSÉGES A 35%-HOZ</x:v>
      </x:c>
      <x:c r="AH220" s="207" t="n">
        <x:v>14</x:v>
      </x:c>
      <x:c r="AI220" s="207" t="n">
        <x:v>14</x:v>
      </x:c>
      <x:c r="AJ220" s="207" t="n">
        <x:v>14</x:v>
      </x:c>
      <x:c r="AK220" s="208"/>
      <x:c r="AL220" s="203" t="str">
        <x:f>IF(AK220="","",V220*AK220)</x:f>
      </x:c>
      <x:c r="AM220" s="203" t="str">
        <x:f>IF(AK220="","",AB220*AK220)</x:f>
      </x:c>
      <x:c r="AN220" s="204" t="str">
        <x:f>IFERROR(1-AL220/AM220,"")</x:f>
      </x:c>
      <x:c r="AO220" s="19" t="str">
        <x:v>https://www.argep.hu/trend/16OE/16-oetretegue-csoe-ar.html</x:v>
      </x:c>
      <x:c r="AP220" s="19" t="str">
        <x:v>2026 piaci becslés</x:v>
      </x:c>
      <x:c r="AQ220" s="19" t="str"/>
    </x:row>
    <x:row r="221">
      <x:c r="A221" s="19" t="str">
        <x:v>ANY-0220</x:v>
      </x:c>
      <x:c r="B221" s="19" t="str">
        <x:v>13 Gépészet</x:v>
      </x:c>
      <x:c r="C221" s="19" t="str">
        <x:v>Fűtés, hűtés, szellőzés</x:v>
      </x:c>
      <x:c r="D221" s="19" t="str">
        <x:v>Mindegyik</x:v>
      </x:c>
      <x:c r="E221" s="19" t="str">
        <x:v>Kültéri/beltéri légtechnikai rács</x:v>
      </x:c>
      <x:c r="F221" s="19" t="str">
        <x:v>szett</x:v>
      </x:c>
      <x:c r="G221" s="19" t="str">
        <x:v>db</x:v>
      </x:c>
      <x:c r="H221" s="203" t="n">
        <x:v>28000</x:v>
      </x:c>
      <x:c r="I221" s="204" t="n">
        <x:v>0.27</x:v>
      </x:c>
      <x:c r="J221" s="203" t="n">
        <x:f>IFERROR(H221/(1+I221),"")</x:f>
        <x:v>22047.24409448819</x:v>
      </x:c>
      <x:c r="K221" s="205" t="n">
        <x:v>0.25</x:v>
      </x:c>
      <x:c r="L221" s="203" t="n">
        <x:f>IFERROR(J221*(1-K221),"")</x:f>
        <x:v>16535.433070866144</x:v>
      </x:c>
      <x:c r="M221" s="19" t="str">
        <x:v>27% normál belföldi</x:v>
      </x:c>
      <x:c r="N221" s="204" t="n">
        <x:v>0.27</x:v>
      </x:c>
      <x:c r="O221" s="204" t="n">
        <x:v>0</x:v>
      </x:c>
      <x:c r="P221" s="19" t="str">
        <x:v>NEM</x:v>
      </x:c>
      <x:c r="Q221" s="203" t="n">
        <x:f>IFERROR(L221*(1+N221),"")</x:f>
        <x:v>21000.000000000004</x:v>
      </x:c>
      <x:c r="R221" s="205" t="n">
        <x:v>0.03</x:v>
      </x:c>
      <x:c r="S221" s="203" t="n">
        <x:f>IFERROR(Q221*(1+R221),"")</x:f>
        <x:v>21630.000000000004</x:v>
      </x:c>
      <x:c r="T221" s="206" t="n">
        <x:v>600</x:v>
      </x:c>
      <x:c r="U221" s="206" t="n">
        <x:v>0</x:v>
      </x:c>
      <x:c r="V221" s="203" t="n">
        <x:f>IFERROR(S221+T221+U221,"")</x:f>
        <x:v>22230.000000000004</x:v>
      </x:c>
      <x:c r="W221" s="203" t="n">
        <x:f>IFERROR(H221/(1+Anyag_Beallitasok!$B$2)*Anyag_Beallitasok!$B$9,"")</x:f>
        <x:v>26666.666666666664</x:v>
      </x:c>
      <x:c r="X221" s="203" t="n">
        <x:f>IFERROR(V221/((1-Anyag_Beallitasok!$B$3)*(1+Anyag_Beallitasok!$B$2)),"")</x:f>
        <x:v>32571.428571428572</x:v>
      </x:c>
      <x:c r="Y221" s="203" t="n">
        <x:f>IFERROR(V221/((1-Anyag_Beallitasok!$B$4)*(1+Anyag_Beallitasok!$B$2)),"")</x:f>
        <x:v>42342.857142857145</x:v>
      </x:c>
      <x:c r="Z221" s="203" t="n">
        <x:f>IFERROR(ROUNDUP(MAX(W221,X221)/Anyag_Beallitasok!$B$6,0)*Anyag_Beallitasok!$B$6,"")</x:f>
        <x:v>32600</x:v>
      </x:c>
      <x:c r="AA221" s="204" t="n">
        <x:f>Anyag_Beallitasok!$B$2</x:f>
        <x:v>0.05</x:v>
      </x:c>
      <x:c r="AB221" s="203" t="n">
        <x:f>IFERROR(Z221*(1+AA221),"")</x:f>
        <x:v>34230</x:v>
      </x:c>
      <x:c r="AC221" s="204" t="n">
        <x:f>IFERROR(1-V221/H221,"")</x:f>
        <x:v>0.20607142857142846</x:v>
      </x:c>
      <x:c r="AD221" s="204" t="n">
        <x:f>IFERROR(1-V221/AB221,"")</x:f>
        <x:v>0.35056967572304987</x:v>
      </x:c>
      <x:c r="AE221" s="19" t="str">
        <x:f>IF(AC221&lt;Anyag_Beallitasok!$B$3,"NEM ÉRI EL A 35%-OT",IF(AC221&lt;Anyag_Beallitasok!$B$4,"MINIMUM 35–49,9%",IF(AC221&lt;Anyag_Beallitasok!$B$5,"IDEÁLIS 50–59,9%","KIEMELKEDŐ ≥60%")))</x:f>
        <x:v>NEM ÉRI EL A 35%-OT</x:v>
      </x:c>
      <x:c r="AF221" s="204" t="n">
        <x:f>IFERROR(AB221/H221-1,"")</x:f>
        <x:v>0.22249999999999992</x:v>
      </x:c>
      <x:c r="AG221" s="19" t="str">
        <x:f>IF(AND(P221="IGEN",O221&gt;0),IF(AF221&gt;Anyag_Beallitasok!$B$10,"0%-OS SZÁMLA + ÖNADÓZÁS; FELÁR SZÜKSÉGES","0%-OS SZÁMLA + ÖNADÓZÁS"),IF(AF221&gt;Anyag_Beallitasok!$B$10,"FELÁR SZÜKSÉGES A 35%-HOZ",IF(AC221&lt;Anyag_Beallitasok!$B$3,"PIACI ÁRON NEM TARTHATÓ A 35%","OK")))</x:f>
        <x:v>FELÁR SZÜKSÉGES A 35%-HOZ</x:v>
      </x:c>
      <x:c r="AH221" s="207" t="n">
        <x:v>2</x:v>
      </x:c>
      <x:c r="AI221" s="207" t="n">
        <x:v>2</x:v>
      </x:c>
      <x:c r="AJ221" s="207" t="n">
        <x:v>2</x:v>
      </x:c>
      <x:c r="AK221" s="208"/>
      <x:c r="AL221" s="203" t="str">
        <x:f>IF(AK221="","",V221*AK221)</x:f>
      </x:c>
      <x:c r="AM221" s="203" t="str">
        <x:f>IF(AK221="","",AB221*AK221)</x:f>
      </x:c>
      <x:c r="AN221" s="204" t="str">
        <x:f>IFERROR(1-AL221/AM221,"")</x:f>
      </x:c>
      <x:c r="AO221" s="19" t="str">
        <x:v>https://www.argep.hu/trend/16OE/16-oetretegue-csoe-ar.html</x:v>
      </x:c>
      <x:c r="AP221" s="19" t="str">
        <x:v>2026 piaci becslés</x:v>
      </x:c>
      <x:c r="AQ221" s="19" t="str"/>
    </x:row>
    <x:row r="222">
      <x:c r="A222" s="19" t="str">
        <x:v>ANY-0221</x:v>
      </x:c>
      <x:c r="B222" s="19" t="str">
        <x:v>14 Villanyszerelés</x:v>
      </x:c>
      <x:c r="C222" s="19" t="str">
        <x:v>Erősáram, gyengeáram, opcionális napelem</x:v>
      </x:c>
      <x:c r="D222" s="19" t="str">
        <x:v>Mindegyik</x:v>
      </x:c>
      <x:c r="E222" s="19" t="str">
        <x:v>MBCu/NYM-J 3×1,5 mm²</x:v>
      </x:c>
      <x:c r="F222" s="19" t="str">
        <x:v>100 m tekercs</x:v>
      </x:c>
      <x:c r="G222" s="19" t="str">
        <x:v>fm</x:v>
      </x:c>
      <x:c r="H222" s="203" t="n">
        <x:v>302</x:v>
      </x:c>
      <x:c r="I222" s="204" t="n">
        <x:v>0.27</x:v>
      </x:c>
      <x:c r="J222" s="203" t="n">
        <x:f>IFERROR(H222/(1+I222),"")</x:f>
        <x:v>237.79527559055117</x:v>
      </x:c>
      <x:c r="K222" s="205" t="n">
        <x:v>0.25</x:v>
      </x:c>
      <x:c r="L222" s="203" t="n">
        <x:f>IFERROR(J222*(1-K222),"")</x:f>
        <x:v>178.34645669291336</x:v>
      </x:c>
      <x:c r="M222" s="19" t="str">
        <x:v>27% normál belföldi</x:v>
      </x:c>
      <x:c r="N222" s="204" t="n">
        <x:v>0.27</x:v>
      </x:c>
      <x:c r="O222" s="204" t="n">
        <x:v>0</x:v>
      </x:c>
      <x:c r="P222" s="19" t="str">
        <x:v>NEM</x:v>
      </x:c>
      <x:c r="Q222" s="203" t="n">
        <x:f>IFERROR(L222*(1+N222),"")</x:f>
        <x:v>226.49999999999997</x:v>
      </x:c>
      <x:c r="R222" s="205" t="n">
        <x:v>0.08</x:v>
      </x:c>
      <x:c r="S222" s="203" t="n">
        <x:f>IFERROR(Q222*(1+R222),"")</x:f>
        <x:v>244.61999999999998</x:v>
      </x:c>
      <x:c r="T222" s="206" t="n">
        <x:v>10</x:v>
      </x:c>
      <x:c r="U222" s="206" t="n">
        <x:v>0</x:v>
      </x:c>
      <x:c r="V222" s="203" t="n">
        <x:f>IFERROR(S222+T222+U222,"")</x:f>
        <x:v>254.61999999999998</x:v>
      </x:c>
      <x:c r="W222" s="203" t="n">
        <x:f>IFERROR(H222/(1+Anyag_Beallitasok!$B$2)*Anyag_Beallitasok!$B$9,"")</x:f>
        <x:v>287.6190476190476</x:v>
      </x:c>
      <x:c r="X222" s="203" t="n">
        <x:f>IFERROR(V222/((1-Anyag_Beallitasok!$B$3)*(1+Anyag_Beallitasok!$B$2)),"")</x:f>
        <x:v>373.06959706959697</x:v>
      </x:c>
      <x:c r="Y222" s="203" t="n">
        <x:f>IFERROR(V222/((1-Anyag_Beallitasok!$B$4)*(1+Anyag_Beallitasok!$B$2)),"")</x:f>
        <x:v>484.9904761904761</x:v>
      </x:c>
      <x:c r="Z222" s="203" t="n">
        <x:f>IFERROR(ROUNDUP(MAX(W222,X222)/Anyag_Beallitasok!$B$6,0)*Anyag_Beallitasok!$B$6,"")</x:f>
        <x:v>400</x:v>
      </x:c>
      <x:c r="AA222" s="204" t="n">
        <x:f>Anyag_Beallitasok!$B$2</x:f>
        <x:v>0.05</x:v>
      </x:c>
      <x:c r="AB222" s="203" t="n">
        <x:f>IFERROR(Z222*(1+AA222),"")</x:f>
        <x:v>420</x:v>
      </x:c>
      <x:c r="AC222" s="204" t="n">
        <x:f>IFERROR(1-V222/H222,"")</x:f>
        <x:v>0.15688741721854316</x:v>
      </x:c>
      <x:c r="AD222" s="204" t="n">
        <x:f>IFERROR(1-V222/AB222,"")</x:f>
        <x:v>0.39376190476190487</x:v>
      </x:c>
      <x:c r="AE222" s="19" t="str">
        <x:f>IF(AC222&lt;Anyag_Beallitasok!$B$3,"NEM ÉRI EL A 35%-OT",IF(AC222&lt;Anyag_Beallitasok!$B$4,"MINIMUM 35–49,9%",IF(AC222&lt;Anyag_Beallitasok!$B$5,"IDEÁLIS 50–59,9%","KIEMELKEDŐ ≥60%")))</x:f>
        <x:v>NEM ÉRI EL A 35%-OT</x:v>
      </x:c>
      <x:c r="AF222" s="204" t="n">
        <x:f>IFERROR(AB222/H222-1,"")</x:f>
        <x:v>0.39072847682119205</x:v>
      </x:c>
      <x:c r="AG222" s="19" t="str">
        <x:f>IF(AND(P222="IGEN",O222&gt;0),IF(AF222&gt;Anyag_Beallitasok!$B$10,"0%-OS SZÁMLA + ÖNADÓZÁS; FELÁR SZÜKSÉGES","0%-OS SZÁMLA + ÖNADÓZÁS"),IF(AF222&gt;Anyag_Beallitasok!$B$10,"FELÁR SZÜKSÉGES A 35%-HOZ",IF(AC222&lt;Anyag_Beallitasok!$B$3,"PIACI ÁRON NEM TARTHATÓ A 35%","OK")))</x:f>
        <x:v>FELÁR SZÜKSÉGES A 35%-HOZ</x:v>
      </x:c>
      <x:c r="AH222" s="207" t="n">
        <x:v>1200</x:v>
      </x:c>
      <x:c r="AI222" s="207" t="n">
        <x:v>1200</x:v>
      </x:c>
      <x:c r="AJ222" s="207" t="n">
        <x:v>1200</x:v>
      </x:c>
      <x:c r="AK222" s="208"/>
      <x:c r="AL222" s="203" t="str">
        <x:f>IF(AK222="","",V222*AK222)</x:f>
      </x:c>
      <x:c r="AM222" s="203" t="str">
        <x:f>IF(AK222="","",AB222*AK222)</x:f>
      </x:c>
      <x:c r="AN222" s="204" t="str">
        <x:f>IFERROR(1-AL222/AM222,"")</x:f>
      </x:c>
      <x:c r="AO222" s="19" t="str">
        <x:v>https://zsvill.hu/kabelek-vezetekek/mbcu-3x15-re-ym-j-300500v-egesz-tekercsben-vasarolva-100fmtekercs</x:v>
      </x:c>
      <x:c r="AP222" s="19" t="str">
        <x:v>Közvetlen 2026 webár</x:v>
      </x:c>
      <x:c r="AQ222" s="19" t="str"/>
    </x:row>
    <x:row r="223">
      <x:c r="A223" s="19" t="str">
        <x:v>ANY-0222</x:v>
      </x:c>
      <x:c r="B223" s="19" t="str">
        <x:v>14 Villanyszerelés</x:v>
      </x:c>
      <x:c r="C223" s="19" t="str">
        <x:v>Erősáram, gyengeáram, opcionális napelem</x:v>
      </x:c>
      <x:c r="D223" s="19" t="str">
        <x:v>Mindegyik</x:v>
      </x:c>
      <x:c r="E223" s="19" t="str">
        <x:v>MBCu/NYM-J 3×2,5 mm²</x:v>
      </x:c>
      <x:c r="F223" s="19" t="str">
        <x:v>dugalj kör</x:v>
      </x:c>
      <x:c r="G223" s="19" t="str">
        <x:v>fm</x:v>
      </x:c>
      <x:c r="H223" s="203" t="n">
        <x:v>510</x:v>
      </x:c>
      <x:c r="I223" s="204" t="n">
        <x:v>0.27</x:v>
      </x:c>
      <x:c r="J223" s="203" t="n">
        <x:f>IFERROR(H223/(1+I223),"")</x:f>
        <x:v>401.5748031496063</x:v>
      </x:c>
      <x:c r="K223" s="205" t="n">
        <x:v>0.25</x:v>
      </x:c>
      <x:c r="L223" s="203" t="n">
        <x:f>IFERROR(J223*(1-K223),"")</x:f>
        <x:v>301.1811023622047</x:v>
      </x:c>
      <x:c r="M223" s="19" t="str">
        <x:v>27% normál belföldi</x:v>
      </x:c>
      <x:c r="N223" s="204" t="n">
        <x:v>0.27</x:v>
      </x:c>
      <x:c r="O223" s="204" t="n">
        <x:v>0</x:v>
      </x:c>
      <x:c r="P223" s="19" t="str">
        <x:v>NEM</x:v>
      </x:c>
      <x:c r="Q223" s="203" t="n">
        <x:f>IFERROR(L223*(1+N223),"")</x:f>
        <x:v>382.49999999999994</x:v>
      </x:c>
      <x:c r="R223" s="205" t="n">
        <x:v>0.08</x:v>
      </x:c>
      <x:c r="S223" s="203" t="n">
        <x:f>IFERROR(Q223*(1+R223),"")</x:f>
        <x:v>413.09999999999997</x:v>
      </x:c>
      <x:c r="T223" s="206" t="n">
        <x:v>12</x:v>
      </x:c>
      <x:c r="U223" s="206" t="n">
        <x:v>0</x:v>
      </x:c>
      <x:c r="V223" s="203" t="n">
        <x:f>IFERROR(S223+T223+U223,"")</x:f>
        <x:v>425.09999999999997</x:v>
      </x:c>
      <x:c r="W223" s="203" t="n">
        <x:f>IFERROR(H223/(1+Anyag_Beallitasok!$B$2)*Anyag_Beallitasok!$B$9,"")</x:f>
        <x:v>485.71428571428567</x:v>
      </x:c>
      <x:c r="X223" s="203" t="n">
        <x:f>IFERROR(V223/((1-Anyag_Beallitasok!$B$3)*(1+Anyag_Beallitasok!$B$2)),"")</x:f>
        <x:v>622.8571428571427</x:v>
      </x:c>
      <x:c r="Y223" s="203" t="n">
        <x:f>IFERROR(V223/((1-Anyag_Beallitasok!$B$4)*(1+Anyag_Beallitasok!$B$2)),"")</x:f>
        <x:v>809.7142857142857</x:v>
      </x:c>
      <x:c r="Z223" s="203" t="n">
        <x:f>IFERROR(ROUNDUP(MAX(W223,X223)/Anyag_Beallitasok!$B$6,0)*Anyag_Beallitasok!$B$6,"")</x:f>
        <x:v>650</x:v>
      </x:c>
      <x:c r="AA223" s="204" t="n">
        <x:f>Anyag_Beallitasok!$B$2</x:f>
        <x:v>0.05</x:v>
      </x:c>
      <x:c r="AB223" s="203" t="n">
        <x:f>IFERROR(Z223*(1+AA223),"")</x:f>
        <x:v>682.5</x:v>
      </x:c>
      <x:c r="AC223" s="204" t="n">
        <x:f>IFERROR(1-V223/H223,"")</x:f>
        <x:v>0.16647058823529415</x:v>
      </x:c>
      <x:c r="AD223" s="204" t="n">
        <x:f>IFERROR(1-V223/AB223,"")</x:f>
        <x:v>0.3771428571428572</x:v>
      </x:c>
      <x:c r="AE223" s="19" t="str">
        <x:f>IF(AC223&lt;Anyag_Beallitasok!$B$3,"NEM ÉRI EL A 35%-OT",IF(AC223&lt;Anyag_Beallitasok!$B$4,"MINIMUM 35–49,9%",IF(AC223&lt;Anyag_Beallitasok!$B$5,"IDEÁLIS 50–59,9%","KIEMELKEDŐ ≥60%")))</x:f>
        <x:v>NEM ÉRI EL A 35%-OT</x:v>
      </x:c>
      <x:c r="AF223" s="204" t="n">
        <x:f>IFERROR(AB223/H223-1,"")</x:f>
        <x:v>0.33823529411764697</x:v>
      </x:c>
      <x:c r="AG223" s="19" t="str">
        <x:f>IF(AND(P223="IGEN",O223&gt;0),IF(AF223&gt;Anyag_Beallitasok!$B$10,"0%-OS SZÁMLA + ÖNADÓZÁS; FELÁR SZÜKSÉGES","0%-OS SZÁMLA + ÖNADÓZÁS"),IF(AF223&gt;Anyag_Beallitasok!$B$10,"FELÁR SZÜKSÉGES A 35%-HOZ",IF(AC223&lt;Anyag_Beallitasok!$B$3,"PIACI ÁRON NEM TARTHATÓ A 35%","OK")))</x:f>
        <x:v>FELÁR SZÜKSÉGES A 35%-HOZ</x:v>
      </x:c>
      <x:c r="AH223" s="207" t="n">
        <x:v>900</x:v>
      </x:c>
      <x:c r="AI223" s="207" t="n">
        <x:v>900</x:v>
      </x:c>
      <x:c r="AJ223" s="207" t="n">
        <x:v>900</x:v>
      </x:c>
      <x:c r="AK223" s="208"/>
      <x:c r="AL223" s="203" t="str">
        <x:f>IF(AK223="","",V223*AK223)</x:f>
      </x:c>
      <x:c r="AM223" s="203" t="str">
        <x:f>IF(AK223="","",AB223*AK223)</x:f>
      </x:c>
      <x:c r="AN223" s="204" t="str">
        <x:f>IFERROR(1-AL223/AM223,"")</x:f>
      </x:c>
      <x:c r="AO223" s="19" t="str">
        <x:v>https://www.onlinevill.hu/mbcu-3x1-5-kabel-nym-j-tomor-rez-vezetek-100m</x:v>
      </x:c>
      <x:c r="AP223" s="19" t="str">
        <x:v>Termékcsaládból levezetett</x:v>
      </x:c>
      <x:c r="AQ223" s="19" t="str"/>
    </x:row>
    <x:row r="224">
      <x:c r="A224" s="19" t="str">
        <x:v>ANY-0223</x:v>
      </x:c>
      <x:c r="B224" s="19" t="str">
        <x:v>14 Villanyszerelés</x:v>
      </x:c>
      <x:c r="C224" s="19" t="str">
        <x:v>Erősáram, gyengeáram, opcionális napelem</x:v>
      </x:c>
      <x:c r="D224" s="19" t="str">
        <x:v>Mindegyik</x:v>
      </x:c>
      <x:c r="E224" s="19" t="str">
        <x:v>MBCu/NYM-J 5×2,5 mm²</x:v>
      </x:c>
      <x:c r="F224" s="19" t="str">
        <x:v>3 fázisú fogyasztó</x:v>
      </x:c>
      <x:c r="G224" s="19" t="str">
        <x:v>fm</x:v>
      </x:c>
      <x:c r="H224" s="203" t="n">
        <x:v>980</x:v>
      </x:c>
      <x:c r="I224" s="204" t="n">
        <x:v>0.27</x:v>
      </x:c>
      <x:c r="J224" s="203" t="n">
        <x:f>IFERROR(H224/(1+I224),"")</x:f>
        <x:v>771.6535433070866</x:v>
      </x:c>
      <x:c r="K224" s="205" t="n">
        <x:v>0.25</x:v>
      </x:c>
      <x:c r="L224" s="203" t="n">
        <x:f>IFERROR(J224*(1-K224),"")</x:f>
        <x:v>578.7401574803149</x:v>
      </x:c>
      <x:c r="M224" s="19" t="str">
        <x:v>27% normál belföldi</x:v>
      </x:c>
      <x:c r="N224" s="204" t="n">
        <x:v>0.27</x:v>
      </x:c>
      <x:c r="O224" s="204" t="n">
        <x:v>0</x:v>
      </x:c>
      <x:c r="P224" s="19" t="str">
        <x:v>NEM</x:v>
      </x:c>
      <x:c r="Q224" s="203" t="n">
        <x:f>IFERROR(L224*(1+N224),"")</x:f>
        <x:v>734.9999999999999</x:v>
      </x:c>
      <x:c r="R224" s="205" t="n">
        <x:v>0.08</x:v>
      </x:c>
      <x:c r="S224" s="203" t="n">
        <x:f>IFERROR(Q224*(1+R224),"")</x:f>
        <x:v>793.8</x:v>
      </x:c>
      <x:c r="T224" s="206" t="n">
        <x:v>18</x:v>
      </x:c>
      <x:c r="U224" s="206" t="n">
        <x:v>0</x:v>
      </x:c>
      <x:c r="V224" s="203" t="n">
        <x:f>IFERROR(S224+T224+U224,"")</x:f>
        <x:v>811.8</x:v>
      </x:c>
      <x:c r="W224" s="203" t="n">
        <x:f>IFERROR(H224/(1+Anyag_Beallitasok!$B$2)*Anyag_Beallitasok!$B$9,"")</x:f>
        <x:v>933.3333333333333</x:v>
      </x:c>
      <x:c r="X224" s="203" t="n">
        <x:f>IFERROR(V224/((1-Anyag_Beallitasok!$B$3)*(1+Anyag_Beallitasok!$B$2)),"")</x:f>
        <x:v>1189.4505494505493</x:v>
      </x:c>
      <x:c r="Y224" s="203" t="n">
        <x:f>IFERROR(V224/((1-Anyag_Beallitasok!$B$4)*(1+Anyag_Beallitasok!$B$2)),"")</x:f>
        <x:v>1546.2857142857142</x:v>
      </x:c>
      <x:c r="Z224" s="203" t="n">
        <x:f>IFERROR(ROUNDUP(MAX(W224,X224)/Anyag_Beallitasok!$B$6,0)*Anyag_Beallitasok!$B$6,"")</x:f>
        <x:v>1200</x:v>
      </x:c>
      <x:c r="AA224" s="204" t="n">
        <x:f>Anyag_Beallitasok!$B$2</x:f>
        <x:v>0.05</x:v>
      </x:c>
      <x:c r="AB224" s="203" t="n">
        <x:f>IFERROR(Z224*(1+AA224),"")</x:f>
        <x:v>1260</x:v>
      </x:c>
      <x:c r="AC224" s="204" t="n">
        <x:f>IFERROR(1-V224/H224,"")</x:f>
        <x:v>0.17163265306122455</x:v>
      </x:c>
      <x:c r="AD224" s="204" t="n">
        <x:f>IFERROR(1-V224/AB224,"")</x:f>
        <x:v>0.35571428571428576</x:v>
      </x:c>
      <x:c r="AE224" s="19" t="str">
        <x:f>IF(AC224&lt;Anyag_Beallitasok!$B$3,"NEM ÉRI EL A 35%-OT",IF(AC224&lt;Anyag_Beallitasok!$B$4,"MINIMUM 35–49,9%",IF(AC224&lt;Anyag_Beallitasok!$B$5,"IDEÁLIS 50–59,9%","KIEMELKEDŐ ≥60%")))</x:f>
        <x:v>NEM ÉRI EL A 35%-OT</x:v>
      </x:c>
      <x:c r="AF224" s="204" t="n">
        <x:f>IFERROR(AB224/H224-1,"")</x:f>
        <x:v>0.2857142857142858</x:v>
      </x:c>
      <x:c r="AG224" s="19" t="str">
        <x:f>IF(AND(P224="IGEN",O224&gt;0),IF(AF224&gt;Anyag_Beallitasok!$B$10,"0%-OS SZÁMLA + ÖNADÓZÁS; FELÁR SZÜKSÉGES","0%-OS SZÁMLA + ÖNADÓZÁS"),IF(AF224&gt;Anyag_Beallitasok!$B$10,"FELÁR SZÜKSÉGES A 35%-HOZ",IF(AC224&lt;Anyag_Beallitasok!$B$3,"PIACI ÁRON NEM TARTHATÓ A 35%","OK")))</x:f>
        <x:v>FELÁR SZÜKSÉGES A 35%-HOZ</x:v>
      </x:c>
      <x:c r="AH224" s="207" t="n">
        <x:v>120</x:v>
      </x:c>
      <x:c r="AI224" s="207" t="n">
        <x:v>120</x:v>
      </x:c>
      <x:c r="AJ224" s="207" t="n">
        <x:v>120</x:v>
      </x:c>
      <x:c r="AK224" s="208"/>
      <x:c r="AL224" s="203" t="str">
        <x:f>IF(AK224="","",V224*AK224)</x:f>
      </x:c>
      <x:c r="AM224" s="203" t="str">
        <x:f>IF(AK224="","",AB224*AK224)</x:f>
      </x:c>
      <x:c r="AN224" s="204" t="str">
        <x:f>IFERROR(1-AL224/AM224,"")</x:f>
      </x:c>
      <x:c r="AO224" s="19" t="str">
        <x:v>https://www.onlinevill.hu/mbcu-3x1-5-kabel-nym-j-tomor-rez-vezetek-100m</x:v>
      </x:c>
      <x:c r="AP224" s="19" t="str">
        <x:v>Termékcsaládból levezetett</x:v>
      </x:c>
      <x:c r="AQ224" s="19" t="str"/>
    </x:row>
    <x:row r="225">
      <x:c r="A225" s="19" t="str">
        <x:v>ANY-0224</x:v>
      </x:c>
      <x:c r="B225" s="19" t="str">
        <x:v>14 Villanyszerelés</x:v>
      </x:c>
      <x:c r="C225" s="19" t="str">
        <x:v>Erősáram, gyengeáram, opcionális napelem</x:v>
      </x:c>
      <x:c r="D225" s="19" t="str">
        <x:v>Mindegyik</x:v>
      </x:c>
      <x:c r="E225" s="19" t="str">
        <x:v>MBCu/NYM-J 5×6 mm²</x:v>
      </x:c>
      <x:c r="F225" s="19" t="str">
        <x:v>hőszivattyú/fővezeték</x:v>
      </x:c>
      <x:c r="G225" s="19" t="str">
        <x:v>fm</x:v>
      </x:c>
      <x:c r="H225" s="203" t="n">
        <x:v>2500</x:v>
      </x:c>
      <x:c r="I225" s="204" t="n">
        <x:v>0.27</x:v>
      </x:c>
      <x:c r="J225" s="203" t="n">
        <x:f>IFERROR(H225/(1+I225),"")</x:f>
        <x:v>1968.503937007874</x:v>
      </x:c>
      <x:c r="K225" s="205" t="n">
        <x:v>0.25</x:v>
      </x:c>
      <x:c r="L225" s="203" t="n">
        <x:f>IFERROR(J225*(1-K225),"")</x:f>
        <x:v>1476.3779527559054</x:v>
      </x:c>
      <x:c r="M225" s="19" t="str">
        <x:v>27% normál belföldi</x:v>
      </x:c>
      <x:c r="N225" s="204" t="n">
        <x:v>0.27</x:v>
      </x:c>
      <x:c r="O225" s="204" t="n">
        <x:v>0</x:v>
      </x:c>
      <x:c r="P225" s="19" t="str">
        <x:v>NEM</x:v>
      </x:c>
      <x:c r="Q225" s="203" t="n">
        <x:f>IFERROR(L225*(1+N225),"")</x:f>
        <x:v>1875</x:v>
      </x:c>
      <x:c r="R225" s="205" t="n">
        <x:v>0.08</x:v>
      </x:c>
      <x:c r="S225" s="203" t="n">
        <x:f>IFERROR(Q225*(1+R225),"")</x:f>
        <x:v>2025.0000000000002</x:v>
      </x:c>
      <x:c r="T225" s="206" t="n">
        <x:v>30</x:v>
      </x:c>
      <x:c r="U225" s="206" t="n">
        <x:v>0</x:v>
      </x:c>
      <x:c r="V225" s="203" t="n">
        <x:f>IFERROR(S225+T225+U225,"")</x:f>
        <x:v>2055</x:v>
      </x:c>
      <x:c r="W225" s="203" t="n">
        <x:f>IFERROR(H225/(1+Anyag_Beallitasok!$B$2)*Anyag_Beallitasok!$B$9,"")</x:f>
        <x:v>2380.9523809523807</x:v>
      </x:c>
      <x:c r="X225" s="203" t="n">
        <x:f>IFERROR(V225/((1-Anyag_Beallitasok!$B$3)*(1+Anyag_Beallitasok!$B$2)),"")</x:f>
        <x:v>3010.9890109890107</x:v>
      </x:c>
      <x:c r="Y225" s="203" t="n">
        <x:f>IFERROR(V225/((1-Anyag_Beallitasok!$B$4)*(1+Anyag_Beallitasok!$B$2)),"")</x:f>
        <x:v>3914.285714285714</x:v>
      </x:c>
      <x:c r="Z225" s="203" t="n">
        <x:f>IFERROR(ROUNDUP(MAX(W225,X225)/Anyag_Beallitasok!$B$6,0)*Anyag_Beallitasok!$B$6,"")</x:f>
        <x:v>3050</x:v>
      </x:c>
      <x:c r="AA225" s="204" t="n">
        <x:f>Anyag_Beallitasok!$B$2</x:f>
        <x:v>0.05</x:v>
      </x:c>
      <x:c r="AB225" s="203" t="n">
        <x:f>IFERROR(Z225*(1+AA225),"")</x:f>
        <x:v>3202.5</x:v>
      </x:c>
      <x:c r="AC225" s="204" t="n">
        <x:f>IFERROR(1-V225/H225,"")</x:f>
        <x:v>0.17800000000000005</x:v>
      </x:c>
      <x:c r="AD225" s="204" t="n">
        <x:f>IFERROR(1-V225/AB225,"")</x:f>
        <x:v>0.3583138173302107</x:v>
      </x:c>
      <x:c r="AE225" s="19" t="str">
        <x:f>IF(AC225&lt;Anyag_Beallitasok!$B$3,"NEM ÉRI EL A 35%-OT",IF(AC225&lt;Anyag_Beallitasok!$B$4,"MINIMUM 35–49,9%",IF(AC225&lt;Anyag_Beallitasok!$B$5,"IDEÁLIS 50–59,9%","KIEMELKEDŐ ≥60%")))</x:f>
        <x:v>NEM ÉRI EL A 35%-OT</x:v>
      </x:c>
      <x:c r="AF225" s="204" t="n">
        <x:f>IFERROR(AB225/H225-1,"")</x:f>
        <x:v>0.2809999999999999</x:v>
      </x:c>
      <x:c r="AG225" s="19" t="str">
        <x:f>IF(AND(P225="IGEN",O225&gt;0),IF(AF225&gt;Anyag_Beallitasok!$B$10,"0%-OS SZÁMLA + ÖNADÓZÁS; FELÁR SZÜKSÉGES","0%-OS SZÁMLA + ÖNADÓZÁS"),IF(AF225&gt;Anyag_Beallitasok!$B$10,"FELÁR SZÜKSÉGES A 35%-HOZ",IF(AC225&lt;Anyag_Beallitasok!$B$3,"PIACI ÁRON NEM TARTHATÓ A 35%","OK")))</x:f>
        <x:v>FELÁR SZÜKSÉGES A 35%-HOZ</x:v>
      </x:c>
      <x:c r="AH225" s="207" t="n">
        <x:v>50</x:v>
      </x:c>
      <x:c r="AI225" s="207" t="n">
        <x:v>50</x:v>
      </x:c>
      <x:c r="AJ225" s="207" t="n">
        <x:v>50</x:v>
      </x:c>
      <x:c r="AK225" s="208"/>
      <x:c r="AL225" s="203" t="str">
        <x:f>IF(AK225="","",V225*AK225)</x:f>
      </x:c>
      <x:c r="AM225" s="203" t="str">
        <x:f>IF(AK225="","",AB225*AK225)</x:f>
      </x:c>
      <x:c r="AN225" s="204" t="str">
        <x:f>IFERROR(1-AL225/AM225,"")</x:f>
      </x:c>
      <x:c r="AO225" s="19" t="str">
        <x:v>https://www.onlinevill.hu/mbcu-3x1-5-kabel-nym-j-tomor-rez-vezetek-100m</x:v>
      </x:c>
      <x:c r="AP225" s="19" t="str">
        <x:v>Termékcsaládból levezetett</x:v>
      </x:c>
      <x:c r="AQ225" s="19" t="str"/>
    </x:row>
    <x:row r="226">
      <x:c r="A226" s="19" t="str">
        <x:v>ANY-0225</x:v>
      </x:c>
      <x:c r="B226" s="19" t="str">
        <x:v>14 Villanyszerelés</x:v>
      </x:c>
      <x:c r="C226" s="19" t="str">
        <x:v>Erősáram, gyengeáram, opcionális napelem</x:v>
      </x:c>
      <x:c r="D226" s="19" t="str">
        <x:v>Mindegyik</x:v>
      </x:c>
      <x:c r="E226" s="19" t="str">
        <x:v>Gégecső 16 mm</x:v>
      </x:c>
      <x:c r="F226" s="19" t="str">
        <x:v>villamos védőcső</x:v>
      </x:c>
      <x:c r="G226" s="19" t="str">
        <x:v>fm</x:v>
      </x:c>
      <x:c r="H226" s="203" t="n">
        <x:v>95</x:v>
      </x:c>
      <x:c r="I226" s="204" t="n">
        <x:v>0.27</x:v>
      </x:c>
      <x:c r="J226" s="203" t="n">
        <x:f>IFERROR(H226/(1+I226),"")</x:f>
        <x:v>74.80314960629921</x:v>
      </x:c>
      <x:c r="K226" s="205" t="n">
        <x:v>0.25</x:v>
      </x:c>
      <x:c r="L226" s="203" t="n">
        <x:f>IFERROR(J226*(1-K226),"")</x:f>
        <x:v>56.102362204724415</x:v>
      </x:c>
      <x:c r="M226" s="19" t="str">
        <x:v>27% normál belföldi</x:v>
      </x:c>
      <x:c r="N226" s="204" t="n">
        <x:v>0.27</x:v>
      </x:c>
      <x:c r="O226" s="204" t="n">
        <x:v>0</x:v>
      </x:c>
      <x:c r="P226" s="19" t="str">
        <x:v>NEM</x:v>
      </x:c>
      <x:c r="Q226" s="203" t="n">
        <x:f>IFERROR(L226*(1+N226),"")</x:f>
        <x:v>71.25000000000001</x:v>
      </x:c>
      <x:c r="R226" s="205" t="n">
        <x:v>0.1</x:v>
      </x:c>
      <x:c r="S226" s="203" t="n">
        <x:f>IFERROR(Q226*(1+R226),"")</x:f>
        <x:v>78.37500000000003</x:v>
      </x:c>
      <x:c r="T226" s="206" t="n">
        <x:v>3</x:v>
      </x:c>
      <x:c r="U226" s="206" t="n">
        <x:v>0</x:v>
      </x:c>
      <x:c r="V226" s="203" t="n">
        <x:f>IFERROR(S226+T226+U226,"")</x:f>
        <x:v>81.37500000000003</x:v>
      </x:c>
      <x:c r="W226" s="203" t="n">
        <x:f>IFERROR(H226/(1+Anyag_Beallitasok!$B$2)*Anyag_Beallitasok!$B$9,"")</x:f>
        <x:v>90.47619047619047</x:v>
      </x:c>
      <x:c r="X226" s="203" t="n">
        <x:f>IFERROR(V226/((1-Anyag_Beallitasok!$B$3)*(1+Anyag_Beallitasok!$B$2)),"")</x:f>
        <x:v>119.23076923076925</x:v>
      </x:c>
      <x:c r="Y226" s="203" t="n">
        <x:f>IFERROR(V226/((1-Anyag_Beallitasok!$B$4)*(1+Anyag_Beallitasok!$B$2)),"")</x:f>
        <x:v>155.00000000000006</x:v>
      </x:c>
      <x:c r="Z226" s="203" t="n">
        <x:f>IFERROR(ROUNDUP(MAX(W226,X226)/Anyag_Beallitasok!$B$6,0)*Anyag_Beallitasok!$B$6,"")</x:f>
        <x:v>150</x:v>
      </x:c>
      <x:c r="AA226" s="204" t="n">
        <x:f>Anyag_Beallitasok!$B$2</x:f>
        <x:v>0.05</x:v>
      </x:c>
      <x:c r="AB226" s="203" t="n">
        <x:f>IFERROR(Z226*(1+AA226),"")</x:f>
        <x:v>157.5</x:v>
      </x:c>
      <x:c r="AC226" s="204" t="n">
        <x:f>IFERROR(1-V226/H226,"")</x:f>
        <x:v>0.14342105263157867</x:v>
      </x:c>
      <x:c r="AD226" s="204" t="n">
        <x:f>IFERROR(1-V226/AB226,"")</x:f>
        <x:v>0.48333333333333317</x:v>
      </x:c>
      <x:c r="AE226" s="19" t="str">
        <x:f>IF(AC226&lt;Anyag_Beallitasok!$B$3,"NEM ÉRI EL A 35%-OT",IF(AC226&lt;Anyag_Beallitasok!$B$4,"MINIMUM 35–49,9%",IF(AC226&lt;Anyag_Beallitasok!$B$5,"IDEÁLIS 50–59,9%","KIEMELKEDŐ ≥60%")))</x:f>
        <x:v>NEM ÉRI EL A 35%-OT</x:v>
      </x:c>
      <x:c r="AF226" s="204" t="n">
        <x:f>IFERROR(AB226/H226-1,"")</x:f>
        <x:v>0.6578947368421053</x:v>
      </x:c>
      <x:c r="AG226" s="19" t="str">
        <x:f>IF(AND(P226="IGEN",O226&gt;0),IF(AF226&gt;Anyag_Beallitasok!$B$10,"0%-OS SZÁMLA + ÖNADÓZÁS; FELÁR SZÜKSÉGES","0%-OS SZÁMLA + ÖNADÓZÁS"),IF(AF226&gt;Anyag_Beallitasok!$B$10,"FELÁR SZÜKSÉGES A 35%-HOZ",IF(AC226&lt;Anyag_Beallitasok!$B$3,"PIACI ÁRON NEM TARTHATÓ A 35%","OK")))</x:f>
        <x:v>FELÁR SZÜKSÉGES A 35%-HOZ</x:v>
      </x:c>
      <x:c r="AH226" s="207" t="n">
        <x:v>1400</x:v>
      </x:c>
      <x:c r="AI226" s="207" t="n">
        <x:v>1400</x:v>
      </x:c>
      <x:c r="AJ226" s="207" t="n">
        <x:v>1400</x:v>
      </x:c>
      <x:c r="AK226" s="208"/>
      <x:c r="AL226" s="203" t="str">
        <x:f>IF(AK226="","",V226*AK226)</x:f>
      </x:c>
      <x:c r="AM226" s="203" t="str">
        <x:f>IF(AK226="","",AB226*AK226)</x:f>
      </x:c>
      <x:c r="AN226" s="204" t="str">
        <x:f>IFERROR(1-AL226/AM226,"")</x:f>
      </x:c>
      <x:c r="AO226" s="19" t="str">
        <x:v>https://zsvill.hu/kabelek-vezetekek/mbcu-3x15-re-ym-j-300500v-egesz-tekercsben-vasarolva-100fmtekercs</x:v>
      </x:c>
      <x:c r="AP226" s="19" t="str">
        <x:v>2026 piaci becslés</x:v>
      </x:c>
      <x:c r="AQ226" s="19" t="str"/>
    </x:row>
    <x:row r="227">
      <x:c r="A227" s="19" t="str">
        <x:v>ANY-0226</x:v>
      </x:c>
      <x:c r="B227" s="19" t="str">
        <x:v>14 Villanyszerelés</x:v>
      </x:c>
      <x:c r="C227" s="19" t="str">
        <x:v>Erősáram, gyengeáram, opcionális napelem</x:v>
      </x:c>
      <x:c r="D227" s="19" t="str">
        <x:v>Mindegyik</x:v>
      </x:c>
      <x:c r="E227" s="19" t="str">
        <x:v>Gégecső 20 mm</x:v>
      </x:c>
      <x:c r="F227" s="19" t="str">
        <x:v>villamos védőcső</x:v>
      </x:c>
      <x:c r="G227" s="19" t="str">
        <x:v>fm</x:v>
      </x:c>
      <x:c r="H227" s="203" t="n">
        <x:v>135</x:v>
      </x:c>
      <x:c r="I227" s="204" t="n">
        <x:v>0.27</x:v>
      </x:c>
      <x:c r="J227" s="203" t="n">
        <x:f>IFERROR(H227/(1+I227),"")</x:f>
        <x:v>106.2992125984252</x:v>
      </x:c>
      <x:c r="K227" s="205" t="n">
        <x:v>0.25</x:v>
      </x:c>
      <x:c r="L227" s="203" t="n">
        <x:f>IFERROR(J227*(1-K227),"")</x:f>
        <x:v>79.7244094488189</x:v>
      </x:c>
      <x:c r="M227" s="19" t="str">
        <x:v>27% normál belföldi</x:v>
      </x:c>
      <x:c r="N227" s="204" t="n">
        <x:v>0.27</x:v>
      </x:c>
      <x:c r="O227" s="204" t="n">
        <x:v>0</x:v>
      </x:c>
      <x:c r="P227" s="19" t="str">
        <x:v>NEM</x:v>
      </x:c>
      <x:c r="Q227" s="203" t="n">
        <x:f>IFERROR(L227*(1+N227),"")</x:f>
        <x:v>101.25000000000001</x:v>
      </x:c>
      <x:c r="R227" s="205" t="n">
        <x:v>0.1</x:v>
      </x:c>
      <x:c r="S227" s="203" t="n">
        <x:f>IFERROR(Q227*(1+R227),"")</x:f>
        <x:v>111.37500000000003</x:v>
      </x:c>
      <x:c r="T227" s="206" t="n">
        <x:v>4</x:v>
      </x:c>
      <x:c r="U227" s="206" t="n">
        <x:v>0</x:v>
      </x:c>
      <x:c r="V227" s="203" t="n">
        <x:f>IFERROR(S227+T227+U227,"")</x:f>
        <x:v>115.37500000000003</x:v>
      </x:c>
      <x:c r="W227" s="203" t="n">
        <x:f>IFERROR(H227/(1+Anyag_Beallitasok!$B$2)*Anyag_Beallitasok!$B$9,"")</x:f>
        <x:v>128.57142857142856</x:v>
      </x:c>
      <x:c r="X227" s="203" t="n">
        <x:f>IFERROR(V227/((1-Anyag_Beallitasok!$B$3)*(1+Anyag_Beallitasok!$B$2)),"")</x:f>
        <x:v>169.04761904761907</x:v>
      </x:c>
      <x:c r="Y227" s="203" t="n">
        <x:f>IFERROR(V227/((1-Anyag_Beallitasok!$B$4)*(1+Anyag_Beallitasok!$B$2)),"")</x:f>
        <x:v>219.76190476190482</x:v>
      </x:c>
      <x:c r="Z227" s="203" t="n">
        <x:f>IFERROR(ROUNDUP(MAX(W227,X227)/Anyag_Beallitasok!$B$6,0)*Anyag_Beallitasok!$B$6,"")</x:f>
        <x:v>200</x:v>
      </x:c>
      <x:c r="AA227" s="204" t="n">
        <x:f>Anyag_Beallitasok!$B$2</x:f>
        <x:v>0.05</x:v>
      </x:c>
      <x:c r="AB227" s="203" t="n">
        <x:f>IFERROR(Z227*(1+AA227),"")</x:f>
        <x:v>210</x:v>
      </x:c>
      <x:c r="AC227" s="204" t="n">
        <x:f>IFERROR(1-V227/H227,"")</x:f>
        <x:v>0.14537037037037015</x:v>
      </x:c>
      <x:c r="AD227" s="204" t="n">
        <x:f>IFERROR(1-V227/AB227,"")</x:f>
        <x:v>0.45059523809523794</x:v>
      </x:c>
      <x:c r="AE227" s="19" t="str">
        <x:f>IF(AC227&lt;Anyag_Beallitasok!$B$3,"NEM ÉRI EL A 35%-OT",IF(AC227&lt;Anyag_Beallitasok!$B$4,"MINIMUM 35–49,9%",IF(AC227&lt;Anyag_Beallitasok!$B$5,"IDEÁLIS 50–59,9%","KIEMELKEDŐ ≥60%")))</x:f>
        <x:v>NEM ÉRI EL A 35%-OT</x:v>
      </x:c>
      <x:c r="AF227" s="204" t="n">
        <x:f>IFERROR(AB227/H227-1,"")</x:f>
        <x:v>0.5555555555555556</x:v>
      </x:c>
      <x:c r="AG227" s="19" t="str">
        <x:f>IF(AND(P227="IGEN",O227&gt;0),IF(AF227&gt;Anyag_Beallitasok!$B$10,"0%-OS SZÁMLA + ÖNADÓZÁS; FELÁR SZÜKSÉGES","0%-OS SZÁMLA + ÖNADÓZÁS"),IF(AF227&gt;Anyag_Beallitasok!$B$10,"FELÁR SZÜKSÉGES A 35%-HOZ",IF(AC227&lt;Anyag_Beallitasok!$B$3,"PIACI ÁRON NEM TARTHATÓ A 35%","OK")))</x:f>
        <x:v>FELÁR SZÜKSÉGES A 35%-HOZ</x:v>
      </x:c>
      <x:c r="AH227" s="207" t="n">
        <x:v>500</x:v>
      </x:c>
      <x:c r="AI227" s="207" t="n">
        <x:v>500</x:v>
      </x:c>
      <x:c r="AJ227" s="207" t="n">
        <x:v>500</x:v>
      </x:c>
      <x:c r="AK227" s="208"/>
      <x:c r="AL227" s="203" t="str">
        <x:f>IF(AK227="","",V227*AK227)</x:f>
      </x:c>
      <x:c r="AM227" s="203" t="str">
        <x:f>IF(AK227="","",AB227*AK227)</x:f>
      </x:c>
      <x:c r="AN227" s="204" t="str">
        <x:f>IFERROR(1-AL227/AM227,"")</x:f>
      </x:c>
      <x:c r="AO227" s="19" t="str">
        <x:v>https://zsvill.hu/kabelek-vezetekek/mbcu-3x15-re-ym-j-300500v-egesz-tekercsben-vasarolva-100fmtekercs</x:v>
      </x:c>
      <x:c r="AP227" s="19" t="str">
        <x:v>2026 piaci becslés</x:v>
      </x:c>
      <x:c r="AQ227" s="19" t="str"/>
    </x:row>
    <x:row r="228">
      <x:c r="A228" s="19" t="str">
        <x:v>ANY-0227</x:v>
      </x:c>
      <x:c r="B228" s="19" t="str">
        <x:v>14 Villanyszerelés</x:v>
      </x:c>
      <x:c r="C228" s="19" t="str">
        <x:v>Erősáram, gyengeáram, opcionális napelem</x:v>
      </x:c>
      <x:c r="D228" s="19" t="str">
        <x:v>Mindegyik</x:v>
      </x:c>
      <x:c r="E228" s="19" t="str">
        <x:v>Szerelvénydoboz süllyesztett</x:v>
      </x:c>
      <x:c r="F228" s="19" t="str">
        <x:v>65 mm</x:v>
      </x:c>
      <x:c r="G228" s="19" t="str">
        <x:v>db</x:v>
      </x:c>
      <x:c r="H228" s="203" t="n">
        <x:v>180</x:v>
      </x:c>
      <x:c r="I228" s="204" t="n">
        <x:v>0.27</x:v>
      </x:c>
      <x:c r="J228" s="203" t="n">
        <x:f>IFERROR(H228/(1+I228),"")</x:f>
        <x:v>141.73228346456693</x:v>
      </x:c>
      <x:c r="K228" s="205" t="n">
        <x:v>0.25</x:v>
      </x:c>
      <x:c r="L228" s="203" t="n">
        <x:f>IFERROR(J228*(1-K228),"")</x:f>
        <x:v>106.2992125984252</x:v>
      </x:c>
      <x:c r="M228" s="19" t="str">
        <x:v>27% normál belföldi</x:v>
      </x:c>
      <x:c r="N228" s="204" t="n">
        <x:v>0.27</x:v>
      </x:c>
      <x:c r="O228" s="204" t="n">
        <x:v>0</x:v>
      </x:c>
      <x:c r="P228" s="19" t="str">
        <x:v>NEM</x:v>
      </x:c>
      <x:c r="Q228" s="203" t="n">
        <x:f>IFERROR(L228*(1+N228),"")</x:f>
        <x:v>135</x:v>
      </x:c>
      <x:c r="R228" s="205" t="n">
        <x:v>0.08</x:v>
      </x:c>
      <x:c r="S228" s="203" t="n">
        <x:f>IFERROR(Q228*(1+R228),"")</x:f>
        <x:v>145.8</x:v>
      </x:c>
      <x:c r="T228" s="206" t="n">
        <x:v>4</x:v>
      </x:c>
      <x:c r="U228" s="206" t="n">
        <x:v>0</x:v>
      </x:c>
      <x:c r="V228" s="203" t="n">
        <x:f>IFERROR(S228+T228+U228,"")</x:f>
        <x:v>149.8</x:v>
      </x:c>
      <x:c r="W228" s="203" t="n">
        <x:f>IFERROR(H228/(1+Anyag_Beallitasok!$B$2)*Anyag_Beallitasok!$B$9,"")</x:f>
        <x:v>171.42857142857142</x:v>
      </x:c>
      <x:c r="X228" s="203" t="n">
        <x:f>IFERROR(V228/((1-Anyag_Beallitasok!$B$3)*(1+Anyag_Beallitasok!$B$2)),"")</x:f>
        <x:v>219.48717948717947</x:v>
      </x:c>
      <x:c r="Y228" s="203" t="n">
        <x:f>IFERROR(V228/((1-Anyag_Beallitasok!$B$4)*(1+Anyag_Beallitasok!$B$2)),"")</x:f>
        <x:v>285.33333333333337</x:v>
      </x:c>
      <x:c r="Z228" s="203" t="n">
        <x:f>IFERROR(ROUNDUP(MAX(W228,X228)/Anyag_Beallitasok!$B$6,0)*Anyag_Beallitasok!$B$6,"")</x:f>
        <x:v>250</x:v>
      </x:c>
      <x:c r="AA228" s="204" t="n">
        <x:f>Anyag_Beallitasok!$B$2</x:f>
        <x:v>0.05</x:v>
      </x:c>
      <x:c r="AB228" s="203" t="n">
        <x:f>IFERROR(Z228*(1+AA228),"")</x:f>
        <x:v>262.5</x:v>
      </x:c>
      <x:c r="AC228" s="204" t="n">
        <x:f>IFERROR(1-V228/H228,"")</x:f>
        <x:v>0.1677777777777777</x:v>
      </x:c>
      <x:c r="AD228" s="204" t="n">
        <x:f>IFERROR(1-V228/AB228,"")</x:f>
        <x:v>0.42933333333333334</x:v>
      </x:c>
      <x:c r="AE228" s="19" t="str">
        <x:f>IF(AC228&lt;Anyag_Beallitasok!$B$3,"NEM ÉRI EL A 35%-OT",IF(AC228&lt;Anyag_Beallitasok!$B$4,"MINIMUM 35–49,9%",IF(AC228&lt;Anyag_Beallitasok!$B$5,"IDEÁLIS 50–59,9%","KIEMELKEDŐ ≥60%")))</x:f>
        <x:v>NEM ÉRI EL A 35%-OT</x:v>
      </x:c>
      <x:c r="AF228" s="204" t="n">
        <x:f>IFERROR(AB228/H228-1,"")</x:f>
        <x:v>0.45833333333333326</x:v>
      </x:c>
      <x:c r="AG228" s="19" t="str">
        <x:f>IF(AND(P228="IGEN",O228&gt;0),IF(AF228&gt;Anyag_Beallitasok!$B$10,"0%-OS SZÁMLA + ÖNADÓZÁS; FELÁR SZÜKSÉGES","0%-OS SZÁMLA + ÖNADÓZÁS"),IF(AF228&gt;Anyag_Beallitasok!$B$10,"FELÁR SZÜKSÉGES A 35%-HOZ",IF(AC228&lt;Anyag_Beallitasok!$B$3,"PIACI ÁRON NEM TARTHATÓ A 35%","OK")))</x:f>
        <x:v>FELÁR SZÜKSÉGES A 35%-HOZ</x:v>
      </x:c>
      <x:c r="AH228" s="207" t="n">
        <x:v>160</x:v>
      </x:c>
      <x:c r="AI228" s="207" t="n">
        <x:v>160</x:v>
      </x:c>
      <x:c r="AJ228" s="207" t="n">
        <x:v>160</x:v>
      </x:c>
      <x:c r="AK228" s="208"/>
      <x:c r="AL228" s="203" t="str">
        <x:f>IF(AK228="","",V228*AK228)</x:f>
      </x:c>
      <x:c r="AM228" s="203" t="str">
        <x:f>IF(AK228="","",AB228*AK228)</x:f>
      </x:c>
      <x:c r="AN228" s="204" t="str">
        <x:f>IFERROR(1-AL228/AM228,"")</x:f>
      </x:c>
      <x:c r="AO228" s="19" t="str">
        <x:v>https://zsvill.hu/kabelek-vezetekek/mbcu-3x15-re-ym-j-300500v-egesz-tekercsben-vasarolva-100fmtekercs</x:v>
      </x:c>
      <x:c r="AP228" s="19" t="str">
        <x:v>2026 piaci becslés</x:v>
      </x:c>
      <x:c r="AQ228" s="19" t="str"/>
    </x:row>
    <x:row r="229">
      <x:c r="A229" s="19" t="str">
        <x:v>ANY-0228</x:v>
      </x:c>
      <x:c r="B229" s="19" t="str">
        <x:v>14 Villanyszerelés</x:v>
      </x:c>
      <x:c r="C229" s="19" t="str">
        <x:v>Erősáram, gyengeáram, opcionális napelem</x:v>
      </x:c>
      <x:c r="D229" s="19" t="str">
        <x:v>Mindegyik</x:v>
      </x:c>
      <x:c r="E229" s="19" t="str">
        <x:v>Kötődoboz süllyesztett</x:v>
      </x:c>
      <x:c r="F229" s="19" t="str">
        <x:v>100 mm</x:v>
      </x:c>
      <x:c r="G229" s="19" t="str">
        <x:v>db</x:v>
      </x:c>
      <x:c r="H229" s="203" t="n">
        <x:v>450</x:v>
      </x:c>
      <x:c r="I229" s="204" t="n">
        <x:v>0.27</x:v>
      </x:c>
      <x:c r="J229" s="203" t="n">
        <x:f>IFERROR(H229/(1+I229),"")</x:f>
        <x:v>354.3307086614173</x:v>
      </x:c>
      <x:c r="K229" s="205" t="n">
        <x:v>0.25</x:v>
      </x:c>
      <x:c r="L229" s="203" t="n">
        <x:f>IFERROR(J229*(1-K229),"")</x:f>
        <x:v>265.748031496063</x:v>
      </x:c>
      <x:c r="M229" s="19" t="str">
        <x:v>27% normál belföldi</x:v>
      </x:c>
      <x:c r="N229" s="204" t="n">
        <x:v>0.27</x:v>
      </x:c>
      <x:c r="O229" s="204" t="n">
        <x:v>0</x:v>
      </x:c>
      <x:c r="P229" s="19" t="str">
        <x:v>NEM</x:v>
      </x:c>
      <x:c r="Q229" s="203" t="n">
        <x:f>IFERROR(L229*(1+N229),"")</x:f>
        <x:v>337.5</x:v>
      </x:c>
      <x:c r="R229" s="205" t="n">
        <x:v>0.08</x:v>
      </x:c>
      <x:c r="S229" s="203" t="n">
        <x:f>IFERROR(Q229*(1+R229),"")</x:f>
        <x:v>364.5</x:v>
      </x:c>
      <x:c r="T229" s="206" t="n">
        <x:v>6</x:v>
      </x:c>
      <x:c r="U229" s="206" t="n">
        <x:v>0</x:v>
      </x:c>
      <x:c r="V229" s="203" t="n">
        <x:f>IFERROR(S229+T229+U229,"")</x:f>
        <x:v>370.5</x:v>
      </x:c>
      <x:c r="W229" s="203" t="n">
        <x:f>IFERROR(H229/(1+Anyag_Beallitasok!$B$2)*Anyag_Beallitasok!$B$9,"")</x:f>
        <x:v>428.57142857142856</x:v>
      </x:c>
      <x:c r="X229" s="203" t="n">
        <x:f>IFERROR(V229/((1-Anyag_Beallitasok!$B$3)*(1+Anyag_Beallitasok!$B$2)),"")</x:f>
        <x:v>542.8571428571428</x:v>
      </x:c>
      <x:c r="Y229" s="203" t="n">
        <x:f>IFERROR(V229/((1-Anyag_Beallitasok!$B$4)*(1+Anyag_Beallitasok!$B$2)),"")</x:f>
        <x:v>705.7142857142857</x:v>
      </x:c>
      <x:c r="Z229" s="203" t="n">
        <x:f>IFERROR(ROUNDUP(MAX(W229,X229)/Anyag_Beallitasok!$B$6,0)*Anyag_Beallitasok!$B$6,"")</x:f>
        <x:v>550</x:v>
      </x:c>
      <x:c r="AA229" s="204" t="n">
        <x:f>Anyag_Beallitasok!$B$2</x:f>
        <x:v>0.05</x:v>
      </x:c>
      <x:c r="AB229" s="203" t="n">
        <x:f>IFERROR(Z229*(1+AA229),"")</x:f>
        <x:v>577.5</x:v>
      </x:c>
      <x:c r="AC229" s="204" t="n">
        <x:f>IFERROR(1-V229/H229,"")</x:f>
        <x:v>0.17666666666666664</x:v>
      </x:c>
      <x:c r="AD229" s="204" t="n">
        <x:f>IFERROR(1-V229/AB229,"")</x:f>
        <x:v>0.35844155844155845</x:v>
      </x:c>
      <x:c r="AE229" s="19" t="str">
        <x:f>IF(AC229&lt;Anyag_Beallitasok!$B$3,"NEM ÉRI EL A 35%-OT",IF(AC229&lt;Anyag_Beallitasok!$B$4,"MINIMUM 35–49,9%",IF(AC229&lt;Anyag_Beallitasok!$B$5,"IDEÁLIS 50–59,9%","KIEMELKEDŐ ≥60%")))</x:f>
        <x:v>NEM ÉRI EL A 35%-OT</x:v>
      </x:c>
      <x:c r="AF229" s="204" t="n">
        <x:f>IFERROR(AB229/H229-1,"")</x:f>
        <x:v>0.28333333333333344</x:v>
      </x:c>
      <x:c r="AG229" s="19" t="str">
        <x:f>IF(AND(P229="IGEN",O229&gt;0),IF(AF229&gt;Anyag_Beallitasok!$B$10,"0%-OS SZÁMLA + ÖNADÓZÁS; FELÁR SZÜKSÉGES","0%-OS SZÁMLA + ÖNADÓZÁS"),IF(AF229&gt;Anyag_Beallitasok!$B$10,"FELÁR SZÜKSÉGES A 35%-HOZ",IF(AC229&lt;Anyag_Beallitasok!$B$3,"PIACI ÁRON NEM TARTHATÓ A 35%","OK")))</x:f>
        <x:v>FELÁR SZÜKSÉGES A 35%-HOZ</x:v>
      </x:c>
      <x:c r="AH229" s="207" t="n">
        <x:v>40</x:v>
      </x:c>
      <x:c r="AI229" s="207" t="n">
        <x:v>40</x:v>
      </x:c>
      <x:c r="AJ229" s="207" t="n">
        <x:v>40</x:v>
      </x:c>
      <x:c r="AK229" s="208"/>
      <x:c r="AL229" s="203" t="str">
        <x:f>IF(AK229="","",V229*AK229)</x:f>
      </x:c>
      <x:c r="AM229" s="203" t="str">
        <x:f>IF(AK229="","",AB229*AK229)</x:f>
      </x:c>
      <x:c r="AN229" s="204" t="str">
        <x:f>IFERROR(1-AL229/AM229,"")</x:f>
      </x:c>
      <x:c r="AO229" s="19" t="str">
        <x:v>https://zsvill.hu/kabelek-vezetekek/mbcu-3x15-re-ym-j-300500v-egesz-tekercsben-vasarolva-100fmtekercs</x:v>
      </x:c>
      <x:c r="AP229" s="19" t="str">
        <x:v>2026 piaci becslés</x:v>
      </x:c>
      <x:c r="AQ229" s="19" t="str"/>
    </x:row>
    <x:row r="230">
      <x:c r="A230" s="19" t="str">
        <x:v>ANY-0229</x:v>
      </x:c>
      <x:c r="B230" s="19" t="str">
        <x:v>14 Villanyszerelés</x:v>
      </x:c>
      <x:c r="C230" s="19" t="str">
        <x:v>Erősáram, gyengeáram, opcionális napelem</x:v>
      </x:c>
      <x:c r="D230" s="19" t="str">
        <x:v>Mindegyik</x:v>
      </x:c>
      <x:c r="E230" s="19" t="str">
        <x:v>Dugalj szerelvény</x:v>
      </x:c>
      <x:c r="F230" s="19" t="str">
        <x:v>középkategória</x:v>
      </x:c>
      <x:c r="G230" s="19" t="str">
        <x:v>db</x:v>
      </x:c>
      <x:c r="H230" s="203" t="n">
        <x:v>2800</x:v>
      </x:c>
      <x:c r="I230" s="204" t="n">
        <x:v>0.27</x:v>
      </x:c>
      <x:c r="J230" s="203" t="n">
        <x:f>IFERROR(H230/(1+I230),"")</x:f>
        <x:v>2204.7244094488187</x:v>
      </x:c>
      <x:c r="K230" s="205" t="n">
        <x:v>0.3</x:v>
      </x:c>
      <x:c r="L230" s="203" t="n">
        <x:f>IFERROR(J230*(1-K230),"")</x:f>
        <x:v>1543.307086614173</x:v>
      </x:c>
      <x:c r="M230" s="19" t="str">
        <x:v>27% normál belföldi</x:v>
      </x:c>
      <x:c r="N230" s="204" t="n">
        <x:v>0.27</x:v>
      </x:c>
      <x:c r="O230" s="204" t="n">
        <x:v>0</x:v>
      </x:c>
      <x:c r="P230" s="19" t="str">
        <x:v>NEM</x:v>
      </x:c>
      <x:c r="Q230" s="203" t="n">
        <x:f>IFERROR(L230*(1+N230),"")</x:f>
        <x:v>1959.9999999999995</x:v>
      </x:c>
      <x:c r="R230" s="205" t="n">
        <x:v>0.03</x:v>
      </x:c>
      <x:c r="S230" s="203" t="n">
        <x:f>IFERROR(Q230*(1+R230),"")</x:f>
        <x:v>2018.7999999999995</x:v>
      </x:c>
      <x:c r="T230" s="206" t="n">
        <x:v>30</x:v>
      </x:c>
      <x:c r="U230" s="206" t="n">
        <x:v>0</x:v>
      </x:c>
      <x:c r="V230" s="203" t="n">
        <x:f>IFERROR(S230+T230+U230,"")</x:f>
        <x:v>2048.7999999999993</x:v>
      </x:c>
      <x:c r="W230" s="203" t="n">
        <x:f>IFERROR(H230/(1+Anyag_Beallitasok!$B$2)*Anyag_Beallitasok!$B$9,"")</x:f>
        <x:v>2666.6666666666665</x:v>
      </x:c>
      <x:c r="X230" s="203" t="n">
        <x:f>IFERROR(V230/((1-Anyag_Beallitasok!$B$3)*(1+Anyag_Beallitasok!$B$2)),"")</x:f>
        <x:v>3001.9047619047606</x:v>
      </x:c>
      <x:c r="Y230" s="203" t="n">
        <x:f>IFERROR(V230/((1-Anyag_Beallitasok!$B$4)*(1+Anyag_Beallitasok!$B$2)),"")</x:f>
        <x:v>3902.476190476189</x:v>
      </x:c>
      <x:c r="Z230" s="203" t="n">
        <x:f>IFERROR(ROUNDUP(MAX(W230,X230)/Anyag_Beallitasok!$B$6,0)*Anyag_Beallitasok!$B$6,"")</x:f>
        <x:v>3050</x:v>
      </x:c>
      <x:c r="AA230" s="204" t="n">
        <x:f>Anyag_Beallitasok!$B$2</x:f>
        <x:v>0.05</x:v>
      </x:c>
      <x:c r="AB230" s="203" t="n">
        <x:f>IFERROR(Z230*(1+AA230),"")</x:f>
        <x:v>3202.5</x:v>
      </x:c>
      <x:c r="AC230" s="204" t="n">
        <x:f>IFERROR(1-V230/H230,"")</x:f>
        <x:v>0.26828571428571457</x:v>
      </x:c>
      <x:c r="AD230" s="204" t="n">
        <x:f>IFERROR(1-V230/AB230,"")</x:f>
        <x:v>0.36024980483996905</x:v>
      </x:c>
      <x:c r="AE230" s="19" t="str">
        <x:f>IF(AC230&lt;Anyag_Beallitasok!$B$3,"NEM ÉRI EL A 35%-OT",IF(AC230&lt;Anyag_Beallitasok!$B$4,"MINIMUM 35–49,9%",IF(AC230&lt;Anyag_Beallitasok!$B$5,"IDEÁLIS 50–59,9%","KIEMELKEDŐ ≥60%")))</x:f>
        <x:v>NEM ÉRI EL A 35%-OT</x:v>
      </x:c>
      <x:c r="AF230" s="204" t="n">
        <x:f>IFERROR(AB230/H230-1,"")</x:f>
        <x:v>0.14375000000000004</x:v>
      </x:c>
      <x:c r="AG230" s="19" t="str">
        <x:f>IF(AND(P230="IGEN",O230&gt;0),IF(AF230&gt;Anyag_Beallitasok!$B$10,"0%-OS SZÁMLA + ÖNADÓZÁS; FELÁR SZÜKSÉGES","0%-OS SZÁMLA + ÖNADÓZÁS"),IF(AF230&gt;Anyag_Beallitasok!$B$10,"FELÁR SZÜKSÉGES A 35%-HOZ",IF(AC230&lt;Anyag_Beallitasok!$B$3,"PIACI ÁRON NEM TARTHATÓ A 35%","OK")))</x:f>
        <x:v>PIACI ÁRON NEM TARTHATÓ A 35%</x:v>
      </x:c>
      <x:c r="AH230" s="207" t="n">
        <x:v>75</x:v>
      </x:c>
      <x:c r="AI230" s="207" t="n">
        <x:v>75</x:v>
      </x:c>
      <x:c r="AJ230" s="207" t="n">
        <x:v>75</x:v>
      </x:c>
      <x:c r="AK230" s="208"/>
      <x:c r="AL230" s="203" t="str">
        <x:f>IF(AK230="","",V230*AK230)</x:f>
      </x:c>
      <x:c r="AM230" s="203" t="str">
        <x:f>IF(AK230="","",AB230*AK230)</x:f>
      </x:c>
      <x:c r="AN230" s="204" t="str">
        <x:f>IFERROR(1-AL230/AM230,"")</x:f>
      </x:c>
      <x:c r="AO230" s="19" t="str">
        <x:v>https://zsvill.hu/kabelek-vezetekek/mbcu-3x15-re-ym-j-300500v-egesz-tekercsben-vasarolva-100fmtekercs</x:v>
      </x:c>
      <x:c r="AP230" s="19" t="str">
        <x:v>2026 piaci becslés</x:v>
      </x:c>
      <x:c r="AQ230" s="19" t="str"/>
    </x:row>
    <x:row r="231">
      <x:c r="A231" s="19" t="str">
        <x:v>ANY-0230</x:v>
      </x:c>
      <x:c r="B231" s="19" t="str">
        <x:v>14 Villanyszerelés</x:v>
      </x:c>
      <x:c r="C231" s="19" t="str">
        <x:v>Erősáram, gyengeáram, opcionális napelem</x:v>
      </x:c>
      <x:c r="D231" s="19" t="str">
        <x:v>Mindegyik</x:v>
      </x:c>
      <x:c r="E231" s="19" t="str">
        <x:v>Kapcsoló szerelvény</x:v>
      </x:c>
      <x:c r="F231" s="19" t="str">
        <x:v>középkategória</x:v>
      </x:c>
      <x:c r="G231" s="19" t="str">
        <x:v>db</x:v>
      </x:c>
      <x:c r="H231" s="203" t="n">
        <x:v>3000</x:v>
      </x:c>
      <x:c r="I231" s="204" t="n">
        <x:v>0.27</x:v>
      </x:c>
      <x:c r="J231" s="203" t="n">
        <x:f>IFERROR(H231/(1+I231),"")</x:f>
        <x:v>2362.2047244094488</x:v>
      </x:c>
      <x:c r="K231" s="205" t="n">
        <x:v>0.3</x:v>
      </x:c>
      <x:c r="L231" s="203" t="n">
        <x:f>IFERROR(J231*(1-K231),"")</x:f>
        <x:v>1653.543307086614</x:v>
      </x:c>
      <x:c r="M231" s="19" t="str">
        <x:v>27% normál belföldi</x:v>
      </x:c>
      <x:c r="N231" s="204" t="n">
        <x:v>0.27</x:v>
      </x:c>
      <x:c r="O231" s="204" t="n">
        <x:v>0</x:v>
      </x:c>
      <x:c r="P231" s="19" t="str">
        <x:v>NEM</x:v>
      </x:c>
      <x:c r="Q231" s="203" t="n">
        <x:f>IFERROR(L231*(1+N231),"")</x:f>
        <x:v>2100</x:v>
      </x:c>
      <x:c r="R231" s="205" t="n">
        <x:v>0.03</x:v>
      </x:c>
      <x:c r="S231" s="203" t="n">
        <x:f>IFERROR(Q231*(1+R231),"")</x:f>
        <x:v>2163</x:v>
      </x:c>
      <x:c r="T231" s="206" t="n">
        <x:v>30</x:v>
      </x:c>
      <x:c r="U231" s="206" t="n">
        <x:v>0</x:v>
      </x:c>
      <x:c r="V231" s="203" t="n">
        <x:f>IFERROR(S231+T231+U231,"")</x:f>
        <x:v>2193</x:v>
      </x:c>
      <x:c r="W231" s="203" t="n">
        <x:f>IFERROR(H231/(1+Anyag_Beallitasok!$B$2)*Anyag_Beallitasok!$B$9,"")</x:f>
        <x:v>2857.142857142857</x:v>
      </x:c>
      <x:c r="X231" s="203" t="n">
        <x:f>IFERROR(V231/((1-Anyag_Beallitasok!$B$3)*(1+Anyag_Beallitasok!$B$2)),"")</x:f>
        <x:v>3213.1868131868127</x:v>
      </x:c>
      <x:c r="Y231" s="203" t="n">
        <x:f>IFERROR(V231/((1-Anyag_Beallitasok!$B$4)*(1+Anyag_Beallitasok!$B$2)),"")</x:f>
        <x:v>4177.142857142857</x:v>
      </x:c>
      <x:c r="Z231" s="203" t="n">
        <x:f>IFERROR(ROUNDUP(MAX(W231,X231)/Anyag_Beallitasok!$B$6,0)*Anyag_Beallitasok!$B$6,"")</x:f>
        <x:v>3250</x:v>
      </x:c>
      <x:c r="AA231" s="204" t="n">
        <x:f>Anyag_Beallitasok!$B$2</x:f>
        <x:v>0.05</x:v>
      </x:c>
      <x:c r="AB231" s="203" t="n">
        <x:f>IFERROR(Z231*(1+AA231),"")</x:f>
        <x:v>3412.5</x:v>
      </x:c>
      <x:c r="AC231" s="204" t="n">
        <x:f>IFERROR(1-V231/H231,"")</x:f>
        <x:v>0.269</x:v>
      </x:c>
      <x:c r="AD231" s="204" t="n">
        <x:f>IFERROR(1-V231/AB231,"")</x:f>
        <x:v>0.3573626373626374</x:v>
      </x:c>
      <x:c r="AE231" s="19" t="str">
        <x:f>IF(AC231&lt;Anyag_Beallitasok!$B$3,"NEM ÉRI EL A 35%-OT",IF(AC231&lt;Anyag_Beallitasok!$B$4,"MINIMUM 35–49,9%",IF(AC231&lt;Anyag_Beallitasok!$B$5,"IDEÁLIS 50–59,9%","KIEMELKEDŐ ≥60%")))</x:f>
        <x:v>NEM ÉRI EL A 35%-OT</x:v>
      </x:c>
      <x:c r="AF231" s="204" t="n">
        <x:f>IFERROR(AB231/H231-1,"")</x:f>
        <x:v>0.13749999999999996</x:v>
      </x:c>
      <x:c r="AG231" s="19" t="str">
        <x:f>IF(AND(P231="IGEN",O231&gt;0),IF(AF231&gt;Anyag_Beallitasok!$B$10,"0%-OS SZÁMLA + ÖNADÓZÁS; FELÁR SZÜKSÉGES","0%-OS SZÁMLA + ÖNADÓZÁS"),IF(AF231&gt;Anyag_Beallitasok!$B$10,"FELÁR SZÜKSÉGES A 35%-HOZ",IF(AC231&lt;Anyag_Beallitasok!$B$3,"PIACI ÁRON NEM TARTHATÓ A 35%","OK")))</x:f>
        <x:v>PIACI ÁRON NEM TARTHATÓ A 35%</x:v>
      </x:c>
      <x:c r="AH231" s="207" t="n">
        <x:v>35</x:v>
      </x:c>
      <x:c r="AI231" s="207" t="n">
        <x:v>35</x:v>
      </x:c>
      <x:c r="AJ231" s="207" t="n">
        <x:v>35</x:v>
      </x:c>
      <x:c r="AK231" s="208"/>
      <x:c r="AL231" s="203" t="str">
        <x:f>IF(AK231="","",V231*AK231)</x:f>
      </x:c>
      <x:c r="AM231" s="203" t="str">
        <x:f>IF(AK231="","",AB231*AK231)</x:f>
      </x:c>
      <x:c r="AN231" s="204" t="str">
        <x:f>IFERROR(1-AL231/AM231,"")</x:f>
      </x:c>
      <x:c r="AO231" s="19" t="str">
        <x:v>https://zsvill.hu/kabelek-vezetekek/mbcu-3x15-re-ym-j-300500v-egesz-tekercsben-vasarolva-100fmtekercs</x:v>
      </x:c>
      <x:c r="AP231" s="19" t="str">
        <x:v>2026 piaci becslés</x:v>
      </x:c>
      <x:c r="AQ231" s="19" t="str"/>
    </x:row>
    <x:row r="232">
      <x:c r="A232" s="19" t="str">
        <x:v>ANY-0231</x:v>
      </x:c>
      <x:c r="B232" s="19" t="str">
        <x:v>14 Villanyszerelés</x:v>
      </x:c>
      <x:c r="C232" s="19" t="str">
        <x:v>Erősáram, gyengeáram, opcionális napelem</x:v>
      </x:c>
      <x:c r="D232" s="19" t="str">
        <x:v>Mindegyik</x:v>
      </x:c>
      <x:c r="E232" s="19" t="str">
        <x:v>Keret szerelvényhez</x:v>
      </x:c>
      <x:c r="F232" s="19" t="str">
        <x:v>1-es</x:v>
      </x:c>
      <x:c r="G232" s="19" t="str">
        <x:v>db</x:v>
      </x:c>
      <x:c r="H232" s="203" t="n">
        <x:v>900</x:v>
      </x:c>
      <x:c r="I232" s="204" t="n">
        <x:v>0.27</x:v>
      </x:c>
      <x:c r="J232" s="203" t="n">
        <x:f>IFERROR(H232/(1+I232),"")</x:f>
        <x:v>708.6614173228346</x:v>
      </x:c>
      <x:c r="K232" s="205" t="n">
        <x:v>0.3</x:v>
      </x:c>
      <x:c r="L232" s="203" t="n">
        <x:f>IFERROR(J232*(1-K232),"")</x:f>
        <x:v>496.0629921259842</x:v>
      </x:c>
      <x:c r="M232" s="19" t="str">
        <x:v>27% normál belföldi</x:v>
      </x:c>
      <x:c r="N232" s="204" t="n">
        <x:v>0.27</x:v>
      </x:c>
      <x:c r="O232" s="204" t="n">
        <x:v>0</x:v>
      </x:c>
      <x:c r="P232" s="19" t="str">
        <x:v>NEM</x:v>
      </x:c>
      <x:c r="Q232" s="203" t="n">
        <x:f>IFERROR(L232*(1+N232),"")</x:f>
        <x:v>629.9999999999999</x:v>
      </x:c>
      <x:c r="R232" s="205" t="n">
        <x:v>0.03</x:v>
      </x:c>
      <x:c r="S232" s="203" t="n">
        <x:f>IFERROR(Q232*(1+R232),"")</x:f>
        <x:v>648.8999999999999</x:v>
      </x:c>
      <x:c r="T232" s="206" t="n">
        <x:v>15</x:v>
      </x:c>
      <x:c r="U232" s="206" t="n">
        <x:v>0</x:v>
      </x:c>
      <x:c r="V232" s="203" t="n">
        <x:f>IFERROR(S232+T232+U232,"")</x:f>
        <x:v>663.8999999999999</x:v>
      </x:c>
      <x:c r="W232" s="203" t="n">
        <x:f>IFERROR(H232/(1+Anyag_Beallitasok!$B$2)*Anyag_Beallitasok!$B$9,"")</x:f>
        <x:v>857.1428571428571</x:v>
      </x:c>
      <x:c r="X232" s="203" t="n">
        <x:f>IFERROR(V232/((1-Anyag_Beallitasok!$B$3)*(1+Anyag_Beallitasok!$B$2)),"")</x:f>
        <x:v>972.7472527472524</x:v>
      </x:c>
      <x:c r="Y232" s="203" t="n">
        <x:f>IFERROR(V232/((1-Anyag_Beallitasok!$B$4)*(1+Anyag_Beallitasok!$B$2)),"")</x:f>
        <x:v>1264.5714285714282</x:v>
      </x:c>
      <x:c r="Z232" s="203" t="n">
        <x:f>IFERROR(ROUNDUP(MAX(W232,X232)/Anyag_Beallitasok!$B$6,0)*Anyag_Beallitasok!$B$6,"")</x:f>
        <x:v>1000</x:v>
      </x:c>
      <x:c r="AA232" s="204" t="n">
        <x:f>Anyag_Beallitasok!$B$2</x:f>
        <x:v>0.05</x:v>
      </x:c>
      <x:c r="AB232" s="203" t="n">
        <x:f>IFERROR(Z232*(1+AA232),"")</x:f>
        <x:v>1050</x:v>
      </x:c>
      <x:c r="AC232" s="204" t="n">
        <x:f>IFERROR(1-V232/H232,"")</x:f>
        <x:v>0.26233333333333353</x:v>
      </x:c>
      <x:c r="AD232" s="204" t="n">
        <x:f>IFERROR(1-V232/AB232,"")</x:f>
        <x:v>0.3677142857142859</x:v>
      </x:c>
      <x:c r="AE232" s="19" t="str">
        <x:f>IF(AC232&lt;Anyag_Beallitasok!$B$3,"NEM ÉRI EL A 35%-OT",IF(AC232&lt;Anyag_Beallitasok!$B$4,"MINIMUM 35–49,9%",IF(AC232&lt;Anyag_Beallitasok!$B$5,"IDEÁLIS 50–59,9%","KIEMELKEDŐ ≥60%")))</x:f>
        <x:v>NEM ÉRI EL A 35%-OT</x:v>
      </x:c>
      <x:c r="AF232" s="204" t="n">
        <x:f>IFERROR(AB232/H232-1,"")</x:f>
        <x:v>0.16666666666666674</x:v>
      </x:c>
      <x:c r="AG232" s="19" t="str">
        <x:f>IF(AND(P232="IGEN",O232&gt;0),IF(AF232&gt;Anyag_Beallitasok!$B$10,"0%-OS SZÁMLA + ÖNADÓZÁS; FELÁR SZÜKSÉGES","0%-OS SZÁMLA + ÖNADÓZÁS"),IF(AF232&gt;Anyag_Beallitasok!$B$10,"FELÁR SZÜKSÉGES A 35%-HOZ",IF(AC232&lt;Anyag_Beallitasok!$B$3,"PIACI ÁRON NEM TARTHATÓ A 35%","OK")))</x:f>
        <x:v>PIACI ÁRON NEM TARTHATÓ A 35%</x:v>
      </x:c>
      <x:c r="AH232" s="207" t="n">
        <x:v>110</x:v>
      </x:c>
      <x:c r="AI232" s="207" t="n">
        <x:v>110</x:v>
      </x:c>
      <x:c r="AJ232" s="207" t="n">
        <x:v>110</x:v>
      </x:c>
      <x:c r="AK232" s="208"/>
      <x:c r="AL232" s="203" t="str">
        <x:f>IF(AK232="","",V232*AK232)</x:f>
      </x:c>
      <x:c r="AM232" s="203" t="str">
        <x:f>IF(AK232="","",AB232*AK232)</x:f>
      </x:c>
      <x:c r="AN232" s="204" t="str">
        <x:f>IFERROR(1-AL232/AM232,"")</x:f>
      </x:c>
      <x:c r="AO232" s="19" t="str">
        <x:v>https://zsvill.hu/kabelek-vezetekek/mbcu-3x15-re-ym-j-300500v-egesz-tekercsben-vasarolva-100fmtekercs</x:v>
      </x:c>
      <x:c r="AP232" s="19" t="str">
        <x:v>2026 piaci becslés</x:v>
      </x:c>
      <x:c r="AQ232" s="19" t="str"/>
    </x:row>
    <x:row r="233">
      <x:c r="A233" s="19" t="str">
        <x:v>ANY-0232</x:v>
      </x:c>
      <x:c r="B233" s="19" t="str">
        <x:v>14 Villanyszerelés</x:v>
      </x:c>
      <x:c r="C233" s="19" t="str">
        <x:v>Erősáram, gyengeáram, opcionális napelem</x:v>
      </x:c>
      <x:c r="D233" s="19" t="str">
        <x:v>Mindegyik</x:v>
      </x:c>
      <x:c r="E233" s="19" t="str">
        <x:v>LED spotlámpa</x:v>
      </x:c>
      <x:c r="F233" s="19" t="str">
        <x:v>süllyesztett alap</x:v>
      </x:c>
      <x:c r="G233" s="19" t="str">
        <x:v>db</x:v>
      </x:c>
      <x:c r="H233" s="203" t="n">
        <x:v>4500</x:v>
      </x:c>
      <x:c r="I233" s="204" t="n">
        <x:v>0.27</x:v>
      </x:c>
      <x:c r="J233" s="203" t="n">
        <x:f>IFERROR(H233/(1+I233),"")</x:f>
        <x:v>3543.3070866141734</x:v>
      </x:c>
      <x:c r="K233" s="205" t="n">
        <x:v>0.28</x:v>
      </x:c>
      <x:c r="L233" s="203" t="n">
        <x:f>IFERROR(J233*(1-K233),"")</x:f>
        <x:v>2551.181102362205</x:v>
      </x:c>
      <x:c r="M233" s="19" t="str">
        <x:v>27% normál belföldi</x:v>
      </x:c>
      <x:c r="N233" s="204" t="n">
        <x:v>0.27</x:v>
      </x:c>
      <x:c r="O233" s="204" t="n">
        <x:v>0</x:v>
      </x:c>
      <x:c r="P233" s="19" t="str">
        <x:v>NEM</x:v>
      </x:c>
      <x:c r="Q233" s="203" t="n">
        <x:f>IFERROR(L233*(1+N233),"")</x:f>
        <x:v>3240.0000000000005</x:v>
      </x:c>
      <x:c r="R233" s="205" t="n">
        <x:v>0.03</x:v>
      </x:c>
      <x:c r="S233" s="203" t="n">
        <x:f>IFERROR(Q233*(1+R233),"")</x:f>
        <x:v>3337.2000000000007</x:v>
      </x:c>
      <x:c r="T233" s="206" t="n">
        <x:v>40</x:v>
      </x:c>
      <x:c r="U233" s="206" t="n">
        <x:v>0</x:v>
      </x:c>
      <x:c r="V233" s="203" t="n">
        <x:f>IFERROR(S233+T233+U233,"")</x:f>
        <x:v>3377.2000000000007</x:v>
      </x:c>
      <x:c r="W233" s="203" t="n">
        <x:f>IFERROR(H233/(1+Anyag_Beallitasok!$B$2)*Anyag_Beallitasok!$B$9,"")</x:f>
        <x:v>4285.714285714285</x:v>
      </x:c>
      <x:c r="X233" s="203" t="n">
        <x:f>IFERROR(V233/((1-Anyag_Beallitasok!$B$3)*(1+Anyag_Beallitasok!$B$2)),"")</x:f>
        <x:v>4948.278388278389</x:v>
      </x:c>
      <x:c r="Y233" s="203" t="n">
        <x:f>IFERROR(V233/((1-Anyag_Beallitasok!$B$4)*(1+Anyag_Beallitasok!$B$2)),"")</x:f>
        <x:v>6432.7619047619055</x:v>
      </x:c>
      <x:c r="Z233" s="203" t="n">
        <x:f>IFERROR(ROUNDUP(MAX(W233,X233)/Anyag_Beallitasok!$B$6,0)*Anyag_Beallitasok!$B$6,"")</x:f>
        <x:v>4950</x:v>
      </x:c>
      <x:c r="AA233" s="204" t="n">
        <x:f>Anyag_Beallitasok!$B$2</x:f>
        <x:v>0.05</x:v>
      </x:c>
      <x:c r="AB233" s="203" t="n">
        <x:f>IFERROR(Z233*(1+AA233),"")</x:f>
        <x:v>5197.5</x:v>
      </x:c>
      <x:c r="AC233" s="204" t="n">
        <x:f>IFERROR(1-V233/H233,"")</x:f>
        <x:v>0.2495111111111109</x:v>
      </x:c>
      <x:c r="AD233" s="204" t="n">
        <x:f>IFERROR(1-V233/AB233,"")</x:f>
        <x:v>0.3502260702260701</x:v>
      </x:c>
      <x:c r="AE233" s="19" t="str">
        <x:f>IF(AC233&lt;Anyag_Beallitasok!$B$3,"NEM ÉRI EL A 35%-OT",IF(AC233&lt;Anyag_Beallitasok!$B$4,"MINIMUM 35–49,9%",IF(AC233&lt;Anyag_Beallitasok!$B$5,"IDEÁLIS 50–59,9%","KIEMELKEDŐ ≥60%")))</x:f>
        <x:v>NEM ÉRI EL A 35%-OT</x:v>
      </x:c>
      <x:c r="AF233" s="204" t="n">
        <x:f>IFERROR(AB233/H233-1,"")</x:f>
        <x:v>0.15500000000000003</x:v>
      </x:c>
      <x:c r="AG233" s="19" t="str">
        <x:f>IF(AND(P233="IGEN",O233&gt;0),IF(AF233&gt;Anyag_Beallitasok!$B$10,"0%-OS SZÁMLA + ÖNADÓZÁS; FELÁR SZÜKSÉGES","0%-OS SZÁMLA + ÖNADÓZÁS"),IF(AF233&gt;Anyag_Beallitasok!$B$10,"FELÁR SZÜKSÉGES A 35%-HOZ",IF(AC233&lt;Anyag_Beallitasok!$B$3,"PIACI ÁRON NEM TARTHATÓ A 35%","OK")))</x:f>
        <x:v>PIACI ÁRON NEM TARTHATÓ A 35%</x:v>
      </x:c>
      <x:c r="AH233" s="207" t="n">
        <x:v>30</x:v>
      </x:c>
      <x:c r="AI233" s="207" t="n">
        <x:v>30</x:v>
      </x:c>
      <x:c r="AJ233" s="207" t="n">
        <x:v>30</x:v>
      </x:c>
      <x:c r="AK233" s="208"/>
      <x:c r="AL233" s="203" t="str">
        <x:f>IF(AK233="","",V233*AK233)</x:f>
      </x:c>
      <x:c r="AM233" s="203" t="str">
        <x:f>IF(AK233="","",AB233*AK233)</x:f>
      </x:c>
      <x:c r="AN233" s="204" t="str">
        <x:f>IFERROR(1-AL233/AM233,"")</x:f>
      </x:c>
      <x:c r="AO233" s="19" t="str">
        <x:v>https://zsvill.hu/kabelek-vezetekek/mbcu-3x15-re-ym-j-300500v-egesz-tekercsben-vasarolva-100fmtekercs</x:v>
      </x:c>
      <x:c r="AP233" s="19" t="str">
        <x:v>2026 piaci becslés</x:v>
      </x:c>
      <x:c r="AQ233" s="19" t="str"/>
    </x:row>
    <x:row r="234">
      <x:c r="A234" s="19" t="str">
        <x:v>ANY-0233</x:v>
      </x:c>
      <x:c r="B234" s="19" t="str">
        <x:v>14 Villanyszerelés</x:v>
      </x:c>
      <x:c r="C234" s="19" t="str">
        <x:v>Erősáram, gyengeáram, opcionális napelem</x:v>
      </x:c>
      <x:c r="D234" s="19" t="str">
        <x:v>Mindegyik</x:v>
      </x:c>
      <x:c r="E234" s="19" t="str">
        <x:v>Kültéri fali lámpa</x:v>
      </x:c>
      <x:c r="F234" s="19" t="str">
        <x:v>IP44</x:v>
      </x:c>
      <x:c r="G234" s="19" t="str">
        <x:v>db</x:v>
      </x:c>
      <x:c r="H234" s="203" t="n">
        <x:v>18000</x:v>
      </x:c>
      <x:c r="I234" s="204" t="n">
        <x:v>0.27</x:v>
      </x:c>
      <x:c r="J234" s="203" t="n">
        <x:f>IFERROR(H234/(1+I234),"")</x:f>
        <x:v>14173.228346456694</x:v>
      </x:c>
      <x:c r="K234" s="205" t="n">
        <x:v>0.25</x:v>
      </x:c>
      <x:c r="L234" s="203" t="n">
        <x:f>IFERROR(J234*(1-K234),"")</x:f>
        <x:v>10629.92125984252</x:v>
      </x:c>
      <x:c r="M234" s="19" t="str">
        <x:v>27% normál belföldi</x:v>
      </x:c>
      <x:c r="N234" s="204" t="n">
        <x:v>0.27</x:v>
      </x:c>
      <x:c r="O234" s="204" t="n">
        <x:v>0</x:v>
      </x:c>
      <x:c r="P234" s="19" t="str">
        <x:v>NEM</x:v>
      </x:c>
      <x:c r="Q234" s="203" t="n">
        <x:f>IFERROR(L234*(1+N234),"")</x:f>
        <x:v>13500</x:v>
      </x:c>
      <x:c r="R234" s="205" t="n">
        <x:v>0.03</x:v>
      </x:c>
      <x:c r="S234" s="203" t="n">
        <x:f>IFERROR(Q234*(1+R234),"")</x:f>
        <x:v>13905</x:v>
      </x:c>
      <x:c r="T234" s="206" t="n">
        <x:v>200</x:v>
      </x:c>
      <x:c r="U234" s="206" t="n">
        <x:v>0</x:v>
      </x:c>
      <x:c r="V234" s="203" t="n">
        <x:f>IFERROR(S234+T234+U234,"")</x:f>
        <x:v>14105</x:v>
      </x:c>
      <x:c r="W234" s="203" t="n">
        <x:f>IFERROR(H234/(1+Anyag_Beallitasok!$B$2)*Anyag_Beallitasok!$B$9,"")</x:f>
        <x:v>17142.85714285714</x:v>
      </x:c>
      <x:c r="X234" s="203" t="n">
        <x:f>IFERROR(V234/((1-Anyag_Beallitasok!$B$3)*(1+Anyag_Beallitasok!$B$2)),"")</x:f>
        <x:v>20666.666666666664</x:v>
      </x:c>
      <x:c r="Y234" s="203" t="n">
        <x:f>IFERROR(V234/((1-Anyag_Beallitasok!$B$4)*(1+Anyag_Beallitasok!$B$2)),"")</x:f>
        <x:v>26866.666666666664</x:v>
      </x:c>
      <x:c r="Z234" s="203" t="n">
        <x:f>IFERROR(ROUNDUP(MAX(W234,X234)/Anyag_Beallitasok!$B$6,0)*Anyag_Beallitasok!$B$6,"")</x:f>
        <x:v>20700</x:v>
      </x:c>
      <x:c r="AA234" s="204" t="n">
        <x:f>Anyag_Beallitasok!$B$2</x:f>
        <x:v>0.05</x:v>
      </x:c>
      <x:c r="AB234" s="203" t="n">
        <x:f>IFERROR(Z234*(1+AA234),"")</x:f>
        <x:v>21735</x:v>
      </x:c>
      <x:c r="AC234" s="204" t="n">
        <x:f>IFERROR(1-V234/H234,"")</x:f>
        <x:v>0.21638888888888885</x:v>
      </x:c>
      <x:c r="AD234" s="204" t="n">
        <x:f>IFERROR(1-V234/AB234,"")</x:f>
        <x:v>0.35104669887278583</x:v>
      </x:c>
      <x:c r="AE234" s="19" t="str">
        <x:f>IF(AC234&lt;Anyag_Beallitasok!$B$3,"NEM ÉRI EL A 35%-OT",IF(AC234&lt;Anyag_Beallitasok!$B$4,"MINIMUM 35–49,9%",IF(AC234&lt;Anyag_Beallitasok!$B$5,"IDEÁLIS 50–59,9%","KIEMELKEDŐ ≥60%")))</x:f>
        <x:v>NEM ÉRI EL A 35%-OT</x:v>
      </x:c>
      <x:c r="AF234" s="204" t="n">
        <x:f>IFERROR(AB234/H234-1,"")</x:f>
        <x:v>0.20750000000000002</x:v>
      </x:c>
      <x:c r="AG234" s="19" t="str">
        <x:f>IF(AND(P234="IGEN",O234&gt;0),IF(AF234&gt;Anyag_Beallitasok!$B$10,"0%-OS SZÁMLA + ÖNADÓZÁS; FELÁR SZÜKSÉGES","0%-OS SZÁMLA + ÖNADÓZÁS"),IF(AF234&gt;Anyag_Beallitasok!$B$10,"FELÁR SZÜKSÉGES A 35%-HOZ",IF(AC234&lt;Anyag_Beallitasok!$B$3,"PIACI ÁRON NEM TARTHATÓ A 35%","OK")))</x:f>
        <x:v>FELÁR SZÜKSÉGES A 35%-HOZ</x:v>
      </x:c>
      <x:c r="AH234" s="207" t="n">
        <x:v>8</x:v>
      </x:c>
      <x:c r="AI234" s="207" t="n">
        <x:v>8</x:v>
      </x:c>
      <x:c r="AJ234" s="207" t="n">
        <x:v>8</x:v>
      </x:c>
      <x:c r="AK234" s="208"/>
      <x:c r="AL234" s="203" t="str">
        <x:f>IF(AK234="","",V234*AK234)</x:f>
      </x:c>
      <x:c r="AM234" s="203" t="str">
        <x:f>IF(AK234="","",AB234*AK234)</x:f>
      </x:c>
      <x:c r="AN234" s="204" t="str">
        <x:f>IFERROR(1-AL234/AM234,"")</x:f>
      </x:c>
      <x:c r="AO234" s="19" t="str">
        <x:v>https://zsvill.hu/kabelek-vezetekek/mbcu-3x15-re-ym-j-300500v-egesz-tekercsben-vasarolva-100fmtekercs</x:v>
      </x:c>
      <x:c r="AP234" s="19" t="str">
        <x:v>2026 piaci becslés</x:v>
      </x:c>
      <x:c r="AQ234" s="19" t="str"/>
    </x:row>
    <x:row r="235">
      <x:c r="A235" s="19" t="str">
        <x:v>ANY-0234</x:v>
      </x:c>
      <x:c r="B235" s="19" t="str">
        <x:v>14 Villanyszerelés</x:v>
      </x:c>
      <x:c r="C235" s="19" t="str">
        <x:v>Erősáram, gyengeáram, opcionális napelem</x:v>
      </x:c>
      <x:c r="D235" s="19" t="str">
        <x:v>Mindegyik</x:v>
      </x:c>
      <x:c r="E235" s="19" t="str">
        <x:v>Lakáselosztó 36–54 modulos</x:v>
      </x:c>
      <x:c r="F235" s="19" t="str">
        <x:v>süllyesztett</x:v>
      </x:c>
      <x:c r="G235" s="19" t="str">
        <x:v>db</x:v>
      </x:c>
      <x:c r="H235" s="203" t="n">
        <x:v>45000</x:v>
      </x:c>
      <x:c r="I235" s="204" t="n">
        <x:v>0.27</x:v>
      </x:c>
      <x:c r="J235" s="203" t="n">
        <x:f>IFERROR(H235/(1+I235),"")</x:f>
        <x:v>35433.07086614173</x:v>
      </x:c>
      <x:c r="K235" s="205" t="n">
        <x:v>0.28</x:v>
      </x:c>
      <x:c r="L235" s="203" t="n">
        <x:f>IFERROR(J235*(1-K235),"")</x:f>
        <x:v>25511.811023622045</x:v>
      </x:c>
      <x:c r="M235" s="19" t="str">
        <x:v>27% normál belföldi</x:v>
      </x:c>
      <x:c r="N235" s="204" t="n">
        <x:v>0.27</x:v>
      </x:c>
      <x:c r="O235" s="204" t="n">
        <x:v>0</x:v>
      </x:c>
      <x:c r="P235" s="19" t="str">
        <x:v>NEM</x:v>
      </x:c>
      <x:c r="Q235" s="203" t="n">
        <x:f>IFERROR(L235*(1+N235),"")</x:f>
        <x:v>32400</x:v>
      </x:c>
      <x:c r="R235" s="205" t="n">
        <x:v>0.02</x:v>
      </x:c>
      <x:c r="S235" s="203" t="n">
        <x:f>IFERROR(Q235*(1+R235),"")</x:f>
        <x:v>33048</x:v>
      </x:c>
      <x:c r="T235" s="206" t="n">
        <x:v>800</x:v>
      </x:c>
      <x:c r="U235" s="206" t="n">
        <x:v>0</x:v>
      </x:c>
      <x:c r="V235" s="203" t="n">
        <x:f>IFERROR(S235+T235+U235,"")</x:f>
        <x:v>33848</x:v>
      </x:c>
      <x:c r="W235" s="203" t="n">
        <x:f>IFERROR(H235/(1+Anyag_Beallitasok!$B$2)*Anyag_Beallitasok!$B$9,"")</x:f>
        <x:v>42857.142857142855</x:v>
      </x:c>
      <x:c r="X235" s="203" t="n">
        <x:f>IFERROR(V235/((1-Anyag_Beallitasok!$B$3)*(1+Anyag_Beallitasok!$B$2)),"")</x:f>
        <x:v>49594.139194139185</x:v>
      </x:c>
      <x:c r="Y235" s="203" t="n">
        <x:f>IFERROR(V235/((1-Anyag_Beallitasok!$B$4)*(1+Anyag_Beallitasok!$B$2)),"")</x:f>
        <x:v>64472.38095238095</x:v>
      </x:c>
      <x:c r="Z235" s="203" t="n">
        <x:f>IFERROR(ROUNDUP(MAX(W235,X235)/Anyag_Beallitasok!$B$6,0)*Anyag_Beallitasok!$B$6,"")</x:f>
        <x:v>49600</x:v>
      </x:c>
      <x:c r="AA235" s="204" t="n">
        <x:f>Anyag_Beallitasok!$B$2</x:f>
        <x:v>0.05</x:v>
      </x:c>
      <x:c r="AB235" s="203" t="n">
        <x:f>IFERROR(Z235*(1+AA235),"")</x:f>
        <x:v>52080</x:v>
      </x:c>
      <x:c r="AC235" s="204" t="n">
        <x:f>IFERROR(1-V235/H235,"")</x:f>
        <x:v>0.24782222222222228</x:v>
      </x:c>
      <x:c r="AD235" s="204" t="n">
        <x:f>IFERROR(1-V235/AB235,"")</x:f>
        <x:v>0.35007680491551463</x:v>
      </x:c>
      <x:c r="AE235" s="19" t="str">
        <x:f>IF(AC235&lt;Anyag_Beallitasok!$B$3,"NEM ÉRI EL A 35%-OT",IF(AC235&lt;Anyag_Beallitasok!$B$4,"MINIMUM 35–49,9%",IF(AC235&lt;Anyag_Beallitasok!$B$5,"IDEÁLIS 50–59,9%","KIEMELKEDŐ ≥60%")))</x:f>
        <x:v>NEM ÉRI EL A 35%-OT</x:v>
      </x:c>
      <x:c r="AF235" s="204" t="n">
        <x:f>IFERROR(AB235/H235-1,"")</x:f>
        <x:v>0.15733333333333333</x:v>
      </x:c>
      <x:c r="AG235" s="19" t="str">
        <x:f>IF(AND(P235="IGEN",O235&gt;0),IF(AF235&gt;Anyag_Beallitasok!$B$10,"0%-OS SZÁMLA + ÖNADÓZÁS; FELÁR SZÜKSÉGES","0%-OS SZÁMLA + ÖNADÓZÁS"),IF(AF235&gt;Anyag_Beallitasok!$B$10,"FELÁR SZÜKSÉGES A 35%-HOZ",IF(AC235&lt;Anyag_Beallitasok!$B$3,"PIACI ÁRON NEM TARTHATÓ A 35%","OK")))</x:f>
        <x:v>PIACI ÁRON NEM TARTHATÓ A 35%</x:v>
      </x:c>
      <x:c r="AH235" s="207" t="n">
        <x:v>1</x:v>
      </x:c>
      <x:c r="AI235" s="207" t="n">
        <x:v>1</x:v>
      </x:c>
      <x:c r="AJ235" s="207" t="n">
        <x:v>1</x:v>
      </x:c>
      <x:c r="AK235" s="208"/>
      <x:c r="AL235" s="203" t="str">
        <x:f>IF(AK235="","",V235*AK235)</x:f>
      </x:c>
      <x:c r="AM235" s="203" t="str">
        <x:f>IF(AK235="","",AB235*AK235)</x:f>
      </x:c>
      <x:c r="AN235" s="204" t="str">
        <x:f>IFERROR(1-AL235/AM235,"")</x:f>
      </x:c>
      <x:c r="AO235" s="19" t="str">
        <x:v>https://zsvill.hu/kabelek-vezetekek/mbcu-3x15-re-ym-j-300500v-egesz-tekercsben-vasarolva-100fmtekercs</x:v>
      </x:c>
      <x:c r="AP235" s="19" t="str">
        <x:v>2026 piaci becslés</x:v>
      </x:c>
      <x:c r="AQ235" s="19" t="str"/>
    </x:row>
    <x:row r="236">
      <x:c r="A236" s="19" t="str">
        <x:v>ANY-0235</x:v>
      </x:c>
      <x:c r="B236" s="19" t="str">
        <x:v>14 Villanyszerelés</x:v>
      </x:c>
      <x:c r="C236" s="19" t="str">
        <x:v>Erősáram, gyengeáram, opcionális napelem</x:v>
      </x:c>
      <x:c r="D236" s="19" t="str">
        <x:v>Mindegyik</x:v>
      </x:c>
      <x:c r="E236" s="19" t="str">
        <x:v>Kismegszakító 1P</x:v>
      </x:c>
      <x:c r="F236" s="19" t="str">
        <x:v>B/C karakterisztika</x:v>
      </x:c>
      <x:c r="G236" s="19" t="str">
        <x:v>db</x:v>
      </x:c>
      <x:c r="H236" s="203" t="n">
        <x:v>2800</x:v>
      </x:c>
      <x:c r="I236" s="204" t="n">
        <x:v>0.27</x:v>
      </x:c>
      <x:c r="J236" s="203" t="n">
        <x:f>IFERROR(H236/(1+I236),"")</x:f>
        <x:v>2204.7244094488187</x:v>
      </x:c>
      <x:c r="K236" s="205" t="n">
        <x:v>0.3</x:v>
      </x:c>
      <x:c r="L236" s="203" t="n">
        <x:f>IFERROR(J236*(1-K236),"")</x:f>
        <x:v>1543.307086614173</x:v>
      </x:c>
      <x:c r="M236" s="19" t="str">
        <x:v>27% normál belföldi</x:v>
      </x:c>
      <x:c r="N236" s="204" t="n">
        <x:v>0.27</x:v>
      </x:c>
      <x:c r="O236" s="204" t="n">
        <x:v>0</x:v>
      </x:c>
      <x:c r="P236" s="19" t="str">
        <x:v>NEM</x:v>
      </x:c>
      <x:c r="Q236" s="203" t="n">
        <x:f>IFERROR(L236*(1+N236),"")</x:f>
        <x:v>1959.9999999999995</x:v>
      </x:c>
      <x:c r="R236" s="205" t="n">
        <x:v>0.02</x:v>
      </x:c>
      <x:c r="S236" s="203" t="n">
        <x:f>IFERROR(Q236*(1+R236),"")</x:f>
        <x:v>1999.1999999999996</x:v>
      </x:c>
      <x:c r="T236" s="206" t="n">
        <x:v>30</x:v>
      </x:c>
      <x:c r="U236" s="206" t="n">
        <x:v>0</x:v>
      </x:c>
      <x:c r="V236" s="203" t="n">
        <x:f>IFERROR(S236+T236+U236,"")</x:f>
        <x:v>2029.1999999999996</x:v>
      </x:c>
      <x:c r="W236" s="203" t="n">
        <x:f>IFERROR(H236/(1+Anyag_Beallitasok!$B$2)*Anyag_Beallitasok!$B$9,"")</x:f>
        <x:v>2666.6666666666665</x:v>
      </x:c>
      <x:c r="X236" s="203" t="n">
        <x:f>IFERROR(V236/((1-Anyag_Beallitasok!$B$3)*(1+Anyag_Beallitasok!$B$2)),"")</x:f>
        <x:v>2973.1868131868123</x:v>
      </x:c>
      <x:c r="Y236" s="203" t="n">
        <x:f>IFERROR(V236/((1-Anyag_Beallitasok!$B$4)*(1+Anyag_Beallitasok!$B$2)),"")</x:f>
        <x:v>3865.142857142856</x:v>
      </x:c>
      <x:c r="Z236" s="203" t="n">
        <x:f>IFERROR(ROUNDUP(MAX(W236,X236)/Anyag_Beallitasok!$B$6,0)*Anyag_Beallitasok!$B$6,"")</x:f>
        <x:v>3000</x:v>
      </x:c>
      <x:c r="AA236" s="204" t="n">
        <x:f>Anyag_Beallitasok!$B$2</x:f>
        <x:v>0.05</x:v>
      </x:c>
      <x:c r="AB236" s="203" t="n">
        <x:f>IFERROR(Z236*(1+AA236),"")</x:f>
        <x:v>3150</x:v>
      </x:c>
      <x:c r="AC236" s="204" t="n">
        <x:f>IFERROR(1-V236/H236,"")</x:f>
        <x:v>0.27528571428571447</x:v>
      </x:c>
      <x:c r="AD236" s="204" t="n">
        <x:f>IFERROR(1-V236/AB236,"")</x:f>
        <x:v>0.3558095238095239</x:v>
      </x:c>
      <x:c r="AE236" s="19" t="str">
        <x:f>IF(AC236&lt;Anyag_Beallitasok!$B$3,"NEM ÉRI EL A 35%-OT",IF(AC236&lt;Anyag_Beallitasok!$B$4,"MINIMUM 35–49,9%",IF(AC236&lt;Anyag_Beallitasok!$B$5,"IDEÁLIS 50–59,9%","KIEMELKEDŐ ≥60%")))</x:f>
        <x:v>NEM ÉRI EL A 35%-OT</x:v>
      </x:c>
      <x:c r="AF236" s="204" t="n">
        <x:f>IFERROR(AB236/H236-1,"")</x:f>
        <x:v>0.125</x:v>
      </x:c>
      <x:c r="AG236" s="19" t="str">
        <x:f>IF(AND(P236="IGEN",O236&gt;0),IF(AF236&gt;Anyag_Beallitasok!$B$10,"0%-OS SZÁMLA + ÖNADÓZÁS; FELÁR SZÜKSÉGES","0%-OS SZÁMLA + ÖNADÓZÁS"),IF(AF236&gt;Anyag_Beallitasok!$B$10,"FELÁR SZÜKSÉGES A 35%-HOZ",IF(AC236&lt;Anyag_Beallitasok!$B$3,"PIACI ÁRON NEM TARTHATÓ A 35%","OK")))</x:f>
        <x:v>PIACI ÁRON NEM TARTHATÓ A 35%</x:v>
      </x:c>
      <x:c r="AH236" s="207" t="n">
        <x:v>30</x:v>
      </x:c>
      <x:c r="AI236" s="207" t="n">
        <x:v>30</x:v>
      </x:c>
      <x:c r="AJ236" s="207" t="n">
        <x:v>30</x:v>
      </x:c>
      <x:c r="AK236" s="208"/>
      <x:c r="AL236" s="203" t="str">
        <x:f>IF(AK236="","",V236*AK236)</x:f>
      </x:c>
      <x:c r="AM236" s="203" t="str">
        <x:f>IF(AK236="","",AB236*AK236)</x:f>
      </x:c>
      <x:c r="AN236" s="204" t="str">
        <x:f>IFERROR(1-AL236/AM236,"")</x:f>
      </x:c>
      <x:c r="AO236" s="19" t="str">
        <x:v>https://zsvill.hu/kabelek-vezetekek/mbcu-3x15-re-ym-j-300500v-egesz-tekercsben-vasarolva-100fmtekercs</x:v>
      </x:c>
      <x:c r="AP236" s="19" t="str">
        <x:v>2026 piaci becslés</x:v>
      </x:c>
      <x:c r="AQ236" s="19" t="str"/>
    </x:row>
    <x:row r="237">
      <x:c r="A237" s="19" t="str">
        <x:v>ANY-0236</x:v>
      </x:c>
      <x:c r="B237" s="19" t="str">
        <x:v>14 Villanyszerelés</x:v>
      </x:c>
      <x:c r="C237" s="19" t="str">
        <x:v>Erősáram, gyengeáram, opcionális napelem</x:v>
      </x:c>
      <x:c r="D237" s="19" t="str">
        <x:v>Mindegyik</x:v>
      </x:c>
      <x:c r="E237" s="19" t="str">
        <x:v>Áram-védőkapcsoló 4P</x:v>
      </x:c>
      <x:c r="F237" s="19" t="str">
        <x:v>30 mA</x:v>
      </x:c>
      <x:c r="G237" s="19" t="str">
        <x:v>db</x:v>
      </x:c>
      <x:c r="H237" s="203" t="n">
        <x:v>22000</x:v>
      </x:c>
      <x:c r="I237" s="204" t="n">
        <x:v>0.27</x:v>
      </x:c>
      <x:c r="J237" s="203" t="n">
        <x:f>IFERROR(H237/(1+I237),"")</x:f>
        <x:v>17322.834645669293</x:v>
      </x:c>
      <x:c r="K237" s="205" t="n">
        <x:v>0.3</x:v>
      </x:c>
      <x:c r="L237" s="203" t="n">
        <x:f>IFERROR(J237*(1-K237),"")</x:f>
        <x:v>12125.984251968504</x:v>
      </x:c>
      <x:c r="M237" s="19" t="str">
        <x:v>27% normál belföldi</x:v>
      </x:c>
      <x:c r="N237" s="204" t="n">
        <x:v>0.27</x:v>
      </x:c>
      <x:c r="O237" s="204" t="n">
        <x:v>0</x:v>
      </x:c>
      <x:c r="P237" s="19" t="str">
        <x:v>NEM</x:v>
      </x:c>
      <x:c r="Q237" s="203" t="n">
        <x:f>IFERROR(L237*(1+N237),"")</x:f>
        <x:v>15400</x:v>
      </x:c>
      <x:c r="R237" s="205" t="n">
        <x:v>0.02</x:v>
      </x:c>
      <x:c r="S237" s="203" t="n">
        <x:f>IFERROR(Q237*(1+R237),"")</x:f>
        <x:v>15708</x:v>
      </x:c>
      <x:c r="T237" s="206" t="n">
        <x:v>150</x:v>
      </x:c>
      <x:c r="U237" s="206" t="n">
        <x:v>0</x:v>
      </x:c>
      <x:c r="V237" s="203" t="n">
        <x:f>IFERROR(S237+T237+U237,"")</x:f>
        <x:v>15858</x:v>
      </x:c>
      <x:c r="W237" s="203" t="n">
        <x:f>IFERROR(H237/(1+Anyag_Beallitasok!$B$2)*Anyag_Beallitasok!$B$9,"")</x:f>
        <x:v>20952.38095238095</x:v>
      </x:c>
      <x:c r="X237" s="203" t="n">
        <x:f>IFERROR(V237/((1-Anyag_Beallitasok!$B$3)*(1+Anyag_Beallitasok!$B$2)),"")</x:f>
        <x:v>23235.164835164833</x:v>
      </x:c>
      <x:c r="Y237" s="203" t="n">
        <x:f>IFERROR(V237/((1-Anyag_Beallitasok!$B$4)*(1+Anyag_Beallitasok!$B$2)),"")</x:f>
        <x:v>30205.714285714286</x:v>
      </x:c>
      <x:c r="Z237" s="203" t="n">
        <x:f>IFERROR(ROUNDUP(MAX(W237,X237)/Anyag_Beallitasok!$B$6,0)*Anyag_Beallitasok!$B$6,"")</x:f>
        <x:v>23250</x:v>
      </x:c>
      <x:c r="AA237" s="204" t="n">
        <x:f>Anyag_Beallitasok!$B$2</x:f>
        <x:v>0.05</x:v>
      </x:c>
      <x:c r="AB237" s="203" t="n">
        <x:f>IFERROR(Z237*(1+AA237),"")</x:f>
        <x:v>24412.5</x:v>
      </x:c>
      <x:c r="AC237" s="204" t="n">
        <x:f>IFERROR(1-V237/H237,"")</x:f>
        <x:v>0.2791818181818182</x:v>
      </x:c>
      <x:c r="AD237" s="204" t="n">
        <x:f>IFERROR(1-V237/AB237,"")</x:f>
        <x:v>0.3504147465437788</x:v>
      </x:c>
      <x:c r="AE237" s="19" t="str">
        <x:f>IF(AC237&lt;Anyag_Beallitasok!$B$3,"NEM ÉRI EL A 35%-OT",IF(AC237&lt;Anyag_Beallitasok!$B$4,"MINIMUM 35–49,9%",IF(AC237&lt;Anyag_Beallitasok!$B$5,"IDEÁLIS 50–59,9%","KIEMELKEDŐ ≥60%")))</x:f>
        <x:v>NEM ÉRI EL A 35%-OT</x:v>
      </x:c>
      <x:c r="AF237" s="204" t="n">
        <x:f>IFERROR(AB237/H237-1,"")</x:f>
        <x:v>0.10965909090909087</x:v>
      </x:c>
      <x:c r="AG237" s="19" t="str">
        <x:f>IF(AND(P237="IGEN",O237&gt;0),IF(AF237&gt;Anyag_Beallitasok!$B$10,"0%-OS SZÁMLA + ÖNADÓZÁS; FELÁR SZÜKSÉGES","0%-OS SZÁMLA + ÖNADÓZÁS"),IF(AF237&gt;Anyag_Beallitasok!$B$10,"FELÁR SZÜKSÉGES A 35%-HOZ",IF(AC237&lt;Anyag_Beallitasok!$B$3,"PIACI ÁRON NEM TARTHATÓ A 35%","OK")))</x:f>
        <x:v>PIACI ÁRON NEM TARTHATÓ A 35%</x:v>
      </x:c>
      <x:c r="AH237" s="207" t="n">
        <x:v>3</x:v>
      </x:c>
      <x:c r="AI237" s="207" t="n">
        <x:v>3</x:v>
      </x:c>
      <x:c r="AJ237" s="207" t="n">
        <x:v>3</x:v>
      </x:c>
      <x:c r="AK237" s="208"/>
      <x:c r="AL237" s="203" t="str">
        <x:f>IF(AK237="","",V237*AK237)</x:f>
      </x:c>
      <x:c r="AM237" s="203" t="str">
        <x:f>IF(AK237="","",AB237*AK237)</x:f>
      </x:c>
      <x:c r="AN237" s="204" t="str">
        <x:f>IFERROR(1-AL237/AM237,"")</x:f>
      </x:c>
      <x:c r="AO237" s="19" t="str">
        <x:v>https://zsvill.hu/kabelek-vezetekek/mbcu-3x15-re-ym-j-300500v-egesz-tekercsben-vasarolva-100fmtekercs</x:v>
      </x:c>
      <x:c r="AP237" s="19" t="str">
        <x:v>2026 piaci becslés</x:v>
      </x:c>
      <x:c r="AQ237" s="19" t="str"/>
    </x:row>
    <x:row r="238">
      <x:c r="A238" s="19" t="str">
        <x:v>ANY-0237</x:v>
      </x:c>
      <x:c r="B238" s="19" t="str">
        <x:v>14 Villanyszerelés</x:v>
      </x:c>
      <x:c r="C238" s="19" t="str">
        <x:v>Erősáram, gyengeáram, opcionális napelem</x:v>
      </x:c>
      <x:c r="D238" s="19" t="str">
        <x:v>Mindegyik</x:v>
      </x:c>
      <x:c r="E238" s="19" t="str">
        <x:v>Túlfeszültség-levezető</x:v>
      </x:c>
      <x:c r="F238" s="19" t="str">
        <x:v>T2, 3+1</x:v>
      </x:c>
      <x:c r="G238" s="19" t="str">
        <x:v>db</x:v>
      </x:c>
      <x:c r="H238" s="203" t="n">
        <x:v>42000</x:v>
      </x:c>
      <x:c r="I238" s="204" t="n">
        <x:v>0.27</x:v>
      </x:c>
      <x:c r="J238" s="203" t="n">
        <x:f>IFERROR(H238/(1+I238),"")</x:f>
        <x:v>33070.86614173228</x:v>
      </x:c>
      <x:c r="K238" s="205" t="n">
        <x:v>0.3</x:v>
      </x:c>
      <x:c r="L238" s="203" t="n">
        <x:f>IFERROR(J238*(1-K238),"")</x:f>
        <x:v>23149.606299212595</x:v>
      </x:c>
      <x:c r="M238" s="19" t="str">
        <x:v>27% normál belföldi</x:v>
      </x:c>
      <x:c r="N238" s="204" t="n">
        <x:v>0.27</x:v>
      </x:c>
      <x:c r="O238" s="204" t="n">
        <x:v>0</x:v>
      </x:c>
      <x:c r="P238" s="19" t="str">
        <x:v>NEM</x:v>
      </x:c>
      <x:c r="Q238" s="203" t="n">
        <x:f>IFERROR(L238*(1+N238),"")</x:f>
        <x:v>29399.999999999996</x:v>
      </x:c>
      <x:c r="R238" s="205" t="n">
        <x:v>0.02</x:v>
      </x:c>
      <x:c r="S238" s="203" t="n">
        <x:f>IFERROR(Q238*(1+R238),"")</x:f>
        <x:v>29987.999999999996</x:v>
      </x:c>
      <x:c r="T238" s="206" t="n">
        <x:v>200</x:v>
      </x:c>
      <x:c r="U238" s="206" t="n">
        <x:v>0</x:v>
      </x:c>
      <x:c r="V238" s="203" t="n">
        <x:f>IFERROR(S238+T238+U238,"")</x:f>
        <x:v>30187.999999999996</x:v>
      </x:c>
      <x:c r="W238" s="203" t="n">
        <x:f>IFERROR(H238/(1+Anyag_Beallitasok!$B$2)*Anyag_Beallitasok!$B$9,"")</x:f>
        <x:v>40000</x:v>
      </x:c>
      <x:c r="X238" s="203" t="n">
        <x:f>IFERROR(V238/((1-Anyag_Beallitasok!$B$3)*(1+Anyag_Beallitasok!$B$2)),"")</x:f>
        <x:v>44231.50183150182</x:v>
      </x:c>
      <x:c r="Y238" s="203" t="n">
        <x:f>IFERROR(V238/((1-Anyag_Beallitasok!$B$4)*(1+Anyag_Beallitasok!$B$2)),"")</x:f>
        <x:v>57500.952380952374</x:v>
      </x:c>
      <x:c r="Z238" s="203" t="n">
        <x:f>IFERROR(ROUNDUP(MAX(W238,X238)/Anyag_Beallitasok!$B$6,0)*Anyag_Beallitasok!$B$6,"")</x:f>
        <x:v>44250</x:v>
      </x:c>
      <x:c r="AA238" s="204" t="n">
        <x:f>Anyag_Beallitasok!$B$2</x:f>
        <x:v>0.05</x:v>
      </x:c>
      <x:c r="AB238" s="203" t="n">
        <x:f>IFERROR(Z238*(1+AA238),"")</x:f>
        <x:v>46462.5</x:v>
      </x:c>
      <x:c r="AC238" s="204" t="n">
        <x:f>IFERROR(1-V238/H238,"")</x:f>
        <x:v>0.2812380952380953</x:v>
      </x:c>
      <x:c r="AD238" s="204" t="n">
        <x:f>IFERROR(1-V238/AB238,"")</x:f>
        <x:v>0.35027172450901267</x:v>
      </x:c>
      <x:c r="AE238" s="19" t="str">
        <x:f>IF(AC238&lt;Anyag_Beallitasok!$B$3,"NEM ÉRI EL A 35%-OT",IF(AC238&lt;Anyag_Beallitasok!$B$4,"MINIMUM 35–49,9%",IF(AC238&lt;Anyag_Beallitasok!$B$5,"IDEÁLIS 50–59,9%","KIEMELKEDŐ ≥60%")))</x:f>
        <x:v>NEM ÉRI EL A 35%-OT</x:v>
      </x:c>
      <x:c r="AF238" s="204" t="n">
        <x:f>IFERROR(AB238/H238-1,"")</x:f>
        <x:v>0.10624999999999996</x:v>
      </x:c>
      <x:c r="AG238" s="19" t="str">
        <x:f>IF(AND(P238="IGEN",O238&gt;0),IF(AF238&gt;Anyag_Beallitasok!$B$10,"0%-OS SZÁMLA + ÖNADÓZÁS; FELÁR SZÜKSÉGES","0%-OS SZÁMLA + ÖNADÓZÁS"),IF(AF238&gt;Anyag_Beallitasok!$B$10,"FELÁR SZÜKSÉGES A 35%-HOZ",IF(AC238&lt;Anyag_Beallitasok!$B$3,"PIACI ÁRON NEM TARTHATÓ A 35%","OK")))</x:f>
        <x:v>PIACI ÁRON NEM TARTHATÓ A 35%</x:v>
      </x:c>
      <x:c r="AH238" s="207" t="n">
        <x:v>1</x:v>
      </x:c>
      <x:c r="AI238" s="207" t="n">
        <x:v>1</x:v>
      </x:c>
      <x:c r="AJ238" s="207" t="n">
        <x:v>1</x:v>
      </x:c>
      <x:c r="AK238" s="208"/>
      <x:c r="AL238" s="203" t="str">
        <x:f>IF(AK238="","",V238*AK238)</x:f>
      </x:c>
      <x:c r="AM238" s="203" t="str">
        <x:f>IF(AK238="","",AB238*AK238)</x:f>
      </x:c>
      <x:c r="AN238" s="204" t="str">
        <x:f>IFERROR(1-AL238/AM238,"")</x:f>
      </x:c>
      <x:c r="AO238" s="19" t="str">
        <x:v>https://zsvill.hu/kabelek-vezetekek/mbcu-3x15-re-ym-j-300500v-egesz-tekercsben-vasarolva-100fmtekercs</x:v>
      </x:c>
      <x:c r="AP238" s="19" t="str">
        <x:v>2026 piaci becslés</x:v>
      </x:c>
      <x:c r="AQ238" s="19" t="str"/>
    </x:row>
    <x:row r="239">
      <x:c r="A239" s="19" t="str">
        <x:v>ANY-0238</x:v>
      </x:c>
      <x:c r="B239" s="19" t="str">
        <x:v>14 Villanyszerelés</x:v>
      </x:c>
      <x:c r="C239" s="19" t="str">
        <x:v>Erősáram, gyengeáram, opcionális napelem</x:v>
      </x:c>
      <x:c r="D239" s="19" t="str">
        <x:v>Mindegyik</x:v>
      </x:c>
      <x:c r="E239" s="19" t="str">
        <x:v>Földelőszonda</x:v>
      </x:c>
      <x:c r="F239" s="19" t="str">
        <x:v>1,5–2 m</x:v>
      </x:c>
      <x:c r="G239" s="19" t="str">
        <x:v>db</x:v>
      </x:c>
      <x:c r="H239" s="203" t="n">
        <x:v>18000</x:v>
      </x:c>
      <x:c r="I239" s="204" t="n">
        <x:v>0.27</x:v>
      </x:c>
      <x:c r="J239" s="203" t="n">
        <x:f>IFERROR(H239/(1+I239),"")</x:f>
        <x:v>14173.228346456694</x:v>
      </x:c>
      <x:c r="K239" s="205" t="n">
        <x:v>0.22</x:v>
      </x:c>
      <x:c r="L239" s="203" t="n">
        <x:f>IFERROR(J239*(1-K239),"")</x:f>
        <x:v>11055.11811023622</x:v>
      </x:c>
      <x:c r="M239" s="19" t="str">
        <x:v>0% számla – belföldi fordított adózás; 27% önadózás</x:v>
      </x:c>
      <x:c r="N239" s="204" t="n">
        <x:v>0</x:v>
      </x:c>
      <x:c r="O239" s="204" t="n">
        <x:v>0.27</x:v>
      </x:c>
      <x:c r="P239" s="19" t="str">
        <x:v>IGEN</x:v>
      </x:c>
      <x:c r="Q239" s="203" t="n">
        <x:f>IFERROR(L239*(1+N239),"")</x:f>
        <x:v>11055.11811023622</x:v>
      </x:c>
      <x:c r="R239" s="205" t="n">
        <x:v>0.03</x:v>
      </x:c>
      <x:c r="S239" s="203" t="n">
        <x:f>IFERROR(Q239*(1+R239),"")</x:f>
        <x:v>11386.771653543308</x:v>
      </x:c>
      <x:c r="T239" s="206" t="n">
        <x:v>200</x:v>
      </x:c>
      <x:c r="U239" s="206" t="n">
        <x:v>0</x:v>
      </x:c>
      <x:c r="V239" s="203" t="n">
        <x:f>IFERROR(S239+T239+U239,"")</x:f>
        <x:v>11586.771653543308</x:v>
      </x:c>
      <x:c r="W239" s="203" t="n">
        <x:f>IFERROR(H239/(1+Anyag_Beallitasok!$B$2)*Anyag_Beallitasok!$B$9,"")</x:f>
        <x:v>17142.85714285714</x:v>
      </x:c>
      <x:c r="X239" s="203" t="n">
        <x:f>IFERROR(V239/((1-Anyag_Beallitasok!$B$3)*(1+Anyag_Beallitasok!$B$2)),"")</x:f>
        <x:v>16976.954803726458</x:v>
      </x:c>
      <x:c r="Y239" s="203" t="n">
        <x:f>IFERROR(V239/((1-Anyag_Beallitasok!$B$4)*(1+Anyag_Beallitasok!$B$2)),"")</x:f>
        <x:v>22070.041244844397</x:v>
      </x:c>
      <x:c r="Z239" s="203" t="n">
        <x:f>IFERROR(ROUNDUP(MAX(W239,X239)/Anyag_Beallitasok!$B$6,0)*Anyag_Beallitasok!$B$6,"")</x:f>
        <x:v>17150</x:v>
      </x:c>
      <x:c r="AA239" s="204" t="n">
        <x:f>Anyag_Beallitasok!$B$2</x:f>
        <x:v>0.05</x:v>
      </x:c>
      <x:c r="AB239" s="203" t="n">
        <x:f>IFERROR(Z239*(1+AA239),"")</x:f>
        <x:v>18007.5</x:v>
      </x:c>
      <x:c r="AC239" s="204" t="n">
        <x:f>IFERROR(1-V239/H239,"")</x:f>
        <x:v>0.35629046369203843</x:v>
      </x:c>
      <x:c r="AD239" s="204" t="n">
        <x:f>IFERROR(1-V239/AB239,"")</x:f>
        <x:v>0.3565585642902508</x:v>
      </x:c>
      <x:c r="AE239" s="19" t="str">
        <x:f>IF(AC239&lt;Anyag_Beallitasok!$B$3,"NEM ÉRI EL A 35%-OT",IF(AC239&lt;Anyag_Beallitasok!$B$4,"MINIMUM 35–49,9%",IF(AC239&lt;Anyag_Beallitasok!$B$5,"IDEÁLIS 50–59,9%","KIEMELKEDŐ ≥60%")))</x:f>
        <x:v>MINIMUM 35–49,9%</x:v>
      </x:c>
      <x:c r="AF239" s="204" t="n">
        <x:f>IFERROR(AB239/H239-1,"")</x:f>
        <x:v>0.0004166666666667318</x:v>
      </x:c>
      <x:c r="AG239" s="19" t="str">
        <x:f>IF(AND(P239="IGEN",O239&gt;0),IF(AF239&gt;Anyag_Beallitasok!$B$10,"0%-OS SZÁMLA + ÖNADÓZÁS; FELÁR SZÜKSÉGES","0%-OS SZÁMLA + ÖNADÓZÁS"),IF(AF239&gt;Anyag_Beallitasok!$B$10,"FELÁR SZÜKSÉGES A 35%-HOZ",IF(AC239&lt;Anyag_Beallitasok!$B$3,"PIACI ÁRON NEM TARTHATÓ A 35%","OK")))</x:f>
        <x:v>0%-OS SZÁMLA + ÖNADÓZÁS</x:v>
      </x:c>
      <x:c r="AH239" s="207" t="n">
        <x:v>3</x:v>
      </x:c>
      <x:c r="AI239" s="207" t="n">
        <x:v>3</x:v>
      </x:c>
      <x:c r="AJ239" s="207" t="n">
        <x:v>3</x:v>
      </x:c>
      <x:c r="AK239" s="208"/>
      <x:c r="AL239" s="203" t="str">
        <x:f>IF(AK239="","",V239*AK239)</x:f>
      </x:c>
      <x:c r="AM239" s="203" t="str">
        <x:f>IF(AK239="","",AB239*AK239)</x:f>
      </x:c>
      <x:c r="AN239" s="204" t="str">
        <x:f>IFERROR(1-AL239/AM239,"")</x:f>
      </x:c>
      <x:c r="AO239" s="19" t="str">
        <x:v>https://www.winklertuzep.hu/arlista-web/vasak</x:v>
      </x:c>
      <x:c r="AP239" s="19" t="str">
        <x:v>2026 piaci becslés</x:v>
      </x:c>
      <x:c r="AQ239" s="19" t="str">
        <x:v>Fordított adózás csak megfelelő VTSZ esetén.</x:v>
      </x:c>
    </x:row>
    <x:row r="240">
      <x:c r="A240" s="19" t="str">
        <x:v>ANY-0239</x:v>
      </x:c>
      <x:c r="B240" s="19" t="str">
        <x:v>14 Villanyszerelés</x:v>
      </x:c>
      <x:c r="C240" s="19" t="str">
        <x:v>Erősáram, gyengeáram, opcionális napelem</x:v>
      </x:c>
      <x:c r="D240" s="19" t="str">
        <x:v>Mindegyik</x:v>
      </x:c>
      <x:c r="E240" s="19" t="str">
        <x:v>Földelő vezető horganyzott</x:v>
      </x:c>
      <x:c r="F240" s="19" t="str">
        <x:v>30×3,5 mm</x:v>
      </x:c>
      <x:c r="G240" s="19" t="str">
        <x:v>fm</x:v>
      </x:c>
      <x:c r="H240" s="203" t="n">
        <x:v>1200</x:v>
      </x:c>
      <x:c r="I240" s="204" t="n">
        <x:v>0.27</x:v>
      </x:c>
      <x:c r="J240" s="203" t="n">
        <x:f>IFERROR(H240/(1+I240),"")</x:f>
        <x:v>944.8818897637796</x:v>
      </x:c>
      <x:c r="K240" s="205" t="n">
        <x:v>0.2</x:v>
      </x:c>
      <x:c r="L240" s="203" t="n">
        <x:f>IFERROR(J240*(1-K240),"")</x:f>
        <x:v>755.9055118110236</x:v>
      </x:c>
      <x:c r="M240" s="19" t="str">
        <x:v>0% számla – belföldi fordított adózás; 27% önadózás</x:v>
      </x:c>
      <x:c r="N240" s="204" t="n">
        <x:v>0</x:v>
      </x:c>
      <x:c r="O240" s="204" t="n">
        <x:v>0.27</x:v>
      </x:c>
      <x:c r="P240" s="19" t="str">
        <x:v>IGEN</x:v>
      </x:c>
      <x:c r="Q240" s="203" t="n">
        <x:f>IFERROR(L240*(1+N240),"")</x:f>
        <x:v>755.9055118110236</x:v>
      </x:c>
      <x:c r="R240" s="205" t="n">
        <x:v>0.05</x:v>
      </x:c>
      <x:c r="S240" s="203" t="n">
        <x:f>IFERROR(Q240*(1+R240),"")</x:f>
        <x:v>793.7007874015749</x:v>
      </x:c>
      <x:c r="T240" s="206" t="n">
        <x:v>20</x:v>
      </x:c>
      <x:c r="U240" s="206" t="n">
        <x:v>0</x:v>
      </x:c>
      <x:c r="V240" s="203" t="n">
        <x:f>IFERROR(S240+T240+U240,"")</x:f>
        <x:v>813.7007874015749</x:v>
      </x:c>
      <x:c r="W240" s="203" t="n">
        <x:f>IFERROR(H240/(1+Anyag_Beallitasok!$B$2)*Anyag_Beallitasok!$B$9,"")</x:f>
        <x:v>1142.857142857143</x:v>
      </x:c>
      <x:c r="X240" s="203" t="n">
        <x:f>IFERROR(V240/((1-Anyag_Beallitasok!$B$3)*(1+Anyag_Beallitasok!$B$2)),"")</x:f>
        <x:v>1192.2355859363734</x:v>
      </x:c>
      <x:c r="Y240" s="203" t="n">
        <x:f>IFERROR(V240/((1-Anyag_Beallitasok!$B$4)*(1+Anyag_Beallitasok!$B$2)),"")</x:f>
        <x:v>1549.9062617172854</x:v>
      </x:c>
      <x:c r="Z240" s="203" t="n">
        <x:f>IFERROR(ROUNDUP(MAX(W240,X240)/Anyag_Beallitasok!$B$6,0)*Anyag_Beallitasok!$B$6,"")</x:f>
        <x:v>1200</x:v>
      </x:c>
      <x:c r="AA240" s="204" t="n">
        <x:f>Anyag_Beallitasok!$B$2</x:f>
        <x:v>0.05</x:v>
      </x:c>
      <x:c r="AB240" s="203" t="n">
        <x:f>IFERROR(Z240*(1+AA240),"")</x:f>
        <x:v>1260</x:v>
      </x:c>
      <x:c r="AC240" s="204" t="n">
        <x:f>IFERROR(1-V240/H240,"")</x:f>
        <x:v>0.32191601049868757</x:v>
      </x:c>
      <x:c r="AD240" s="204" t="n">
        <x:f>IFERROR(1-V240/AB240,"")</x:f>
        <x:v>0.3542057242844644</x:v>
      </x:c>
      <x:c r="AE240" s="19" t="str">
        <x:f>IF(AC240&lt;Anyag_Beallitasok!$B$3,"NEM ÉRI EL A 35%-OT",IF(AC240&lt;Anyag_Beallitasok!$B$4,"MINIMUM 35–49,9%",IF(AC240&lt;Anyag_Beallitasok!$B$5,"IDEÁLIS 50–59,9%","KIEMELKEDŐ ≥60%")))</x:f>
        <x:v>NEM ÉRI EL A 35%-OT</x:v>
      </x:c>
      <x:c r="AF240" s="204" t="n">
        <x:f>IFERROR(AB240/H240-1,"")</x:f>
        <x:v>0.050000000000000044</x:v>
      </x:c>
      <x:c r="AG240" s="19" t="str">
        <x:f>IF(AND(P240="IGEN",O240&gt;0),IF(AF240&gt;Anyag_Beallitasok!$B$10,"0%-OS SZÁMLA + ÖNADÓZÁS; FELÁR SZÜKSÉGES","0%-OS SZÁMLA + ÖNADÓZÁS"),IF(AF240&gt;Anyag_Beallitasok!$B$10,"FELÁR SZÜKSÉGES A 35%-HOZ",IF(AC240&lt;Anyag_Beallitasok!$B$3,"PIACI ÁRON NEM TARTHATÓ A 35%","OK")))</x:f>
        <x:v>0%-OS SZÁMLA + ÖNADÓZÁS</x:v>
      </x:c>
      <x:c r="AH240" s="207" t="n">
        <x:v>80</x:v>
      </x:c>
      <x:c r="AI240" s="207" t="n">
        <x:v>80</x:v>
      </x:c>
      <x:c r="AJ240" s="207" t="n">
        <x:v>80</x:v>
      </x:c>
      <x:c r="AK240" s="208"/>
      <x:c r="AL240" s="203" t="str">
        <x:f>IF(AK240="","",V240*AK240)</x:f>
      </x:c>
      <x:c r="AM240" s="203" t="str">
        <x:f>IF(AK240="","",AB240*AK240)</x:f>
      </x:c>
      <x:c r="AN240" s="204" t="str">
        <x:f>IFERROR(1-AL240/AM240,"")</x:f>
      </x:c>
      <x:c r="AO240" s="19" t="str">
        <x:v>https://www.winklertuzep.hu/arlista-web/vasak</x:v>
      </x:c>
      <x:c r="AP240" s="19" t="str">
        <x:v>2026 acélárból levezetett</x:v>
      </x:c>
      <x:c r="AQ240" s="19" t="str">
        <x:v>Fordított adózás VTSZ-függő.</x:v>
      </x:c>
    </x:row>
    <x:row r="241">
      <x:c r="A241" s="19" t="str">
        <x:v>ANY-0240</x:v>
      </x:c>
      <x:c r="B241" s="19" t="str">
        <x:v>14 Villanyszerelés</x:v>
      </x:c>
      <x:c r="C241" s="19" t="str">
        <x:v>Erősáram, gyengeáram, opcionális napelem</x:v>
      </x:c>
      <x:c r="D241" s="19" t="str">
        <x:v>Mindegyik</x:v>
      </x:c>
      <x:c r="E241" s="19" t="str">
        <x:v>UTP Cat6 kábel</x:v>
      </x:c>
      <x:c r="F241" s="19" t="str">
        <x:v>dobozos</x:v>
      </x:c>
      <x:c r="G241" s="19" t="str">
        <x:v>fm</x:v>
      </x:c>
      <x:c r="H241" s="203" t="n">
        <x:v>180</x:v>
      </x:c>
      <x:c r="I241" s="204" t="n">
        <x:v>0.27</x:v>
      </x:c>
      <x:c r="J241" s="203" t="n">
        <x:f>IFERROR(H241/(1+I241),"")</x:f>
        <x:v>141.73228346456693</x:v>
      </x:c>
      <x:c r="K241" s="205" t="n">
        <x:v>0.3</x:v>
      </x:c>
      <x:c r="L241" s="203" t="n">
        <x:f>IFERROR(J241*(1-K241),"")</x:f>
        <x:v>99.21259842519684</x:v>
      </x:c>
      <x:c r="M241" s="19" t="str">
        <x:v>27% normál belföldi</x:v>
      </x:c>
      <x:c r="N241" s="204" t="n">
        <x:v>0.27</x:v>
      </x:c>
      <x:c r="O241" s="204" t="n">
        <x:v>0</x:v>
      </x:c>
      <x:c r="P241" s="19" t="str">
        <x:v>NEM</x:v>
      </x:c>
      <x:c r="Q241" s="203" t="n">
        <x:f>IFERROR(L241*(1+N241),"")</x:f>
        <x:v>126</x:v>
      </x:c>
      <x:c r="R241" s="205" t="n">
        <x:v>0.08</x:v>
      </x:c>
      <x:c r="S241" s="203" t="n">
        <x:f>IFERROR(Q241*(1+R241),"")</x:f>
        <x:v>136.08</x:v>
      </x:c>
      <x:c r="T241" s="206" t="n">
        <x:v>5</x:v>
      </x:c>
      <x:c r="U241" s="206" t="n">
        <x:v>0</x:v>
      </x:c>
      <x:c r="V241" s="203" t="n">
        <x:f>IFERROR(S241+T241+U241,"")</x:f>
        <x:v>141.08</x:v>
      </x:c>
      <x:c r="W241" s="203" t="n">
        <x:f>IFERROR(H241/(1+Anyag_Beallitasok!$B$2)*Anyag_Beallitasok!$B$9,"")</x:f>
        <x:v>171.42857142857142</x:v>
      </x:c>
      <x:c r="X241" s="203" t="n">
        <x:f>IFERROR(V241/((1-Anyag_Beallitasok!$B$3)*(1+Anyag_Beallitasok!$B$2)),"")</x:f>
        <x:v>206.7106227106227</x:v>
      </x:c>
      <x:c r="Y241" s="203" t="n">
        <x:f>IFERROR(V241/((1-Anyag_Beallitasok!$B$4)*(1+Anyag_Beallitasok!$B$2)),"")</x:f>
        <x:v>268.72380952380956</x:v>
      </x:c>
      <x:c r="Z241" s="203" t="n">
        <x:f>IFERROR(ROUNDUP(MAX(W241,X241)/Anyag_Beallitasok!$B$6,0)*Anyag_Beallitasok!$B$6,"")</x:f>
        <x:v>250</x:v>
      </x:c>
      <x:c r="AA241" s="204" t="n">
        <x:f>Anyag_Beallitasok!$B$2</x:f>
        <x:v>0.05</x:v>
      </x:c>
      <x:c r="AB241" s="203" t="n">
        <x:f>IFERROR(Z241*(1+AA241),"")</x:f>
        <x:v>262.5</x:v>
      </x:c>
      <x:c r="AC241" s="204" t="n">
        <x:f>IFERROR(1-V241/H241,"")</x:f>
        <x:v>0.2162222222222222</x:v>
      </x:c>
      <x:c r="AD241" s="204" t="n">
        <x:f>IFERROR(1-V241/AB241,"")</x:f>
        <x:v>0.46255238095238094</x:v>
      </x:c>
      <x:c r="AE241" s="19" t="str">
        <x:f>IF(AC241&lt;Anyag_Beallitasok!$B$3,"NEM ÉRI EL A 35%-OT",IF(AC241&lt;Anyag_Beallitasok!$B$4,"MINIMUM 35–49,9%",IF(AC241&lt;Anyag_Beallitasok!$B$5,"IDEÁLIS 50–59,9%","KIEMELKEDŐ ≥60%")))</x:f>
        <x:v>NEM ÉRI EL A 35%-OT</x:v>
      </x:c>
      <x:c r="AF241" s="204" t="n">
        <x:f>IFERROR(AB241/H241-1,"")</x:f>
        <x:v>0.45833333333333326</x:v>
      </x:c>
      <x:c r="AG241" s="19" t="str">
        <x:f>IF(AND(P241="IGEN",O241&gt;0),IF(AF241&gt;Anyag_Beallitasok!$B$10,"0%-OS SZÁMLA + ÖNADÓZÁS; FELÁR SZÜKSÉGES","0%-OS SZÁMLA + ÖNADÓZÁS"),IF(AF241&gt;Anyag_Beallitasok!$B$10,"FELÁR SZÜKSÉGES A 35%-HOZ",IF(AC241&lt;Anyag_Beallitasok!$B$3,"PIACI ÁRON NEM TARTHATÓ A 35%","OK")))</x:f>
        <x:v>FELÁR SZÜKSÉGES A 35%-HOZ</x:v>
      </x:c>
      <x:c r="AH241" s="207" t="n">
        <x:v>450</x:v>
      </x:c>
      <x:c r="AI241" s="207" t="n">
        <x:v>450</x:v>
      </x:c>
      <x:c r="AJ241" s="207" t="n">
        <x:v>450</x:v>
      </x:c>
      <x:c r="AK241" s="208"/>
      <x:c r="AL241" s="203" t="str">
        <x:f>IF(AK241="","",V241*AK241)</x:f>
      </x:c>
      <x:c r="AM241" s="203" t="str">
        <x:f>IF(AK241="","",AB241*AK241)</x:f>
      </x:c>
      <x:c r="AN241" s="204" t="str">
        <x:f>IFERROR(1-AL241/AM241,"")</x:f>
      </x:c>
      <x:c r="AO241" s="19" t="str">
        <x:v>https://zsvill.hu/kabelek-vezetekek/mbcu-3x15-re-ym-j-300500v-egesz-tekercsben-vasarolva-100fmtekercs</x:v>
      </x:c>
      <x:c r="AP241" s="19" t="str">
        <x:v>2026 piaci becslés</x:v>
      </x:c>
      <x:c r="AQ241" s="19" t="str"/>
    </x:row>
    <x:row r="242">
      <x:c r="A242" s="19" t="str">
        <x:v>ANY-0241</x:v>
      </x:c>
      <x:c r="B242" s="19" t="str">
        <x:v>14 Villanyszerelés</x:v>
      </x:c>
      <x:c r="C242" s="19" t="str">
        <x:v>Erősáram, gyengeáram, opcionális napelem</x:v>
      </x:c>
      <x:c r="D242" s="19" t="str">
        <x:v>Mindegyik</x:v>
      </x:c>
      <x:c r="E242" s="19" t="str">
        <x:v>Koax kábel RG6</x:v>
      </x:c>
      <x:c r="F242" s="19" t="str">
        <x:v>TV</x:v>
      </x:c>
      <x:c r="G242" s="19" t="str">
        <x:v>fm</x:v>
      </x:c>
      <x:c r="H242" s="203" t="n">
        <x:v>150</x:v>
      </x:c>
      <x:c r="I242" s="204" t="n">
        <x:v>0.27</x:v>
      </x:c>
      <x:c r="J242" s="203" t="n">
        <x:f>IFERROR(H242/(1+I242),"")</x:f>
        <x:v>118.11023622047244</x:v>
      </x:c>
      <x:c r="K242" s="205" t="n">
        <x:v>0.3</x:v>
      </x:c>
      <x:c r="L242" s="203" t="n">
        <x:f>IFERROR(J242*(1-K242),"")</x:f>
        <x:v>82.67716535433071</x:v>
      </x:c>
      <x:c r="M242" s="19" t="str">
        <x:v>27% normál belföldi</x:v>
      </x:c>
      <x:c r="N242" s="204" t="n">
        <x:v>0.27</x:v>
      </x:c>
      <x:c r="O242" s="204" t="n">
        <x:v>0</x:v>
      </x:c>
      <x:c r="P242" s="19" t="str">
        <x:v>NEM</x:v>
      </x:c>
      <x:c r="Q242" s="203" t="n">
        <x:f>IFERROR(L242*(1+N242),"")</x:f>
        <x:v>105</x:v>
      </x:c>
      <x:c r="R242" s="205" t="n">
        <x:v>0.08</x:v>
      </x:c>
      <x:c r="S242" s="203" t="n">
        <x:f>IFERROR(Q242*(1+R242),"")</x:f>
        <x:v>113.4</x:v>
      </x:c>
      <x:c r="T242" s="206" t="n">
        <x:v>5</x:v>
      </x:c>
      <x:c r="U242" s="206" t="n">
        <x:v>0</x:v>
      </x:c>
      <x:c r="V242" s="203" t="n">
        <x:f>IFERROR(S242+T242+U242,"")</x:f>
        <x:v>118.4</x:v>
      </x:c>
      <x:c r="W242" s="203" t="n">
        <x:f>IFERROR(H242/(1+Anyag_Beallitasok!$B$2)*Anyag_Beallitasok!$B$9,"")</x:f>
        <x:v>142.85714285714286</x:v>
      </x:c>
      <x:c r="X242" s="203" t="n">
        <x:f>IFERROR(V242/((1-Anyag_Beallitasok!$B$3)*(1+Anyag_Beallitasok!$B$2)),"")</x:f>
        <x:v>173.47985347985346</x:v>
      </x:c>
      <x:c r="Y242" s="203" t="n">
        <x:f>IFERROR(V242/((1-Anyag_Beallitasok!$B$4)*(1+Anyag_Beallitasok!$B$2)),"")</x:f>
        <x:v>225.52380952380952</x:v>
      </x:c>
      <x:c r="Z242" s="203" t="n">
        <x:f>IFERROR(ROUNDUP(MAX(W242,X242)/Anyag_Beallitasok!$B$6,0)*Anyag_Beallitasok!$B$6,"")</x:f>
        <x:v>200</x:v>
      </x:c>
      <x:c r="AA242" s="204" t="n">
        <x:f>Anyag_Beallitasok!$B$2</x:f>
        <x:v>0.05</x:v>
      </x:c>
      <x:c r="AB242" s="203" t="n">
        <x:f>IFERROR(Z242*(1+AA242),"")</x:f>
        <x:v>210</x:v>
      </x:c>
      <x:c r="AC242" s="204" t="n">
        <x:f>IFERROR(1-V242/H242,"")</x:f>
        <x:v>0.21066666666666667</x:v>
      </x:c>
      <x:c r="AD242" s="204" t="n">
        <x:f>IFERROR(1-V242/AB242,"")</x:f>
        <x:v>0.43619047619047613</x:v>
      </x:c>
      <x:c r="AE242" s="19" t="str">
        <x:f>IF(AC242&lt;Anyag_Beallitasok!$B$3,"NEM ÉRI EL A 35%-OT",IF(AC242&lt;Anyag_Beallitasok!$B$4,"MINIMUM 35–49,9%",IF(AC242&lt;Anyag_Beallitasok!$B$5,"IDEÁLIS 50–59,9%","KIEMELKEDŐ ≥60%")))</x:f>
        <x:v>NEM ÉRI EL A 35%-OT</x:v>
      </x:c>
      <x:c r="AF242" s="204" t="n">
        <x:f>IFERROR(AB242/H242-1,"")</x:f>
        <x:v>0.3999999999999999</x:v>
      </x:c>
      <x:c r="AG242" s="19" t="str">
        <x:f>IF(AND(P242="IGEN",O242&gt;0),IF(AF242&gt;Anyag_Beallitasok!$B$10,"0%-OS SZÁMLA + ÖNADÓZÁS; FELÁR SZÜKSÉGES","0%-OS SZÁMLA + ÖNADÓZÁS"),IF(AF242&gt;Anyag_Beallitasok!$B$10,"FELÁR SZÜKSÉGES A 35%-HOZ",IF(AC242&lt;Anyag_Beallitasok!$B$3,"PIACI ÁRON NEM TARTHATÓ A 35%","OK")))</x:f>
        <x:v>FELÁR SZÜKSÉGES A 35%-HOZ</x:v>
      </x:c>
      <x:c r="AH242" s="207" t="n">
        <x:v>120</x:v>
      </x:c>
      <x:c r="AI242" s="207" t="n">
        <x:v>120</x:v>
      </x:c>
      <x:c r="AJ242" s="207" t="n">
        <x:v>120</x:v>
      </x:c>
      <x:c r="AK242" s="208"/>
      <x:c r="AL242" s="203" t="str">
        <x:f>IF(AK242="","",V242*AK242)</x:f>
      </x:c>
      <x:c r="AM242" s="203" t="str">
        <x:f>IF(AK242="","",AB242*AK242)</x:f>
      </x:c>
      <x:c r="AN242" s="204" t="str">
        <x:f>IFERROR(1-AL242/AM242,"")</x:f>
      </x:c>
      <x:c r="AO242" s="19" t="str">
        <x:v>https://zsvill.hu/kabelek-vezetekek/mbcu-3x15-re-ym-j-300500v-egesz-tekercsben-vasarolva-100fmtekercs</x:v>
      </x:c>
      <x:c r="AP242" s="19" t="str">
        <x:v>2026 piaci becslés</x:v>
      </x:c>
      <x:c r="AQ242" s="19" t="str"/>
    </x:row>
    <x:row r="243">
      <x:c r="A243" s="19" t="str">
        <x:v>ANY-0242</x:v>
      </x:c>
      <x:c r="B243" s="19" t="str">
        <x:v>14 Villanyszerelés</x:v>
      </x:c>
      <x:c r="C243" s="19" t="str">
        <x:v>Erősáram, gyengeáram, opcionális napelem</x:v>
      </x:c>
      <x:c r="D243" s="19" t="str">
        <x:v>Mindegyik</x:v>
      </x:c>
      <x:c r="E243" s="19" t="str">
        <x:v>Riasztókábel 6 eres</x:v>
      </x:c>
      <x:c r="F243" s="19" t="str">
        <x:v>árnyékolt</x:v>
      </x:c>
      <x:c r="G243" s="19" t="str">
        <x:v>fm</x:v>
      </x:c>
      <x:c r="H243" s="203" t="n">
        <x:v>180</x:v>
      </x:c>
      <x:c r="I243" s="204" t="n">
        <x:v>0.27</x:v>
      </x:c>
      <x:c r="J243" s="203" t="n">
        <x:f>IFERROR(H243/(1+I243),"")</x:f>
        <x:v>141.73228346456693</x:v>
      </x:c>
      <x:c r="K243" s="205" t="n">
        <x:v>0.3</x:v>
      </x:c>
      <x:c r="L243" s="203" t="n">
        <x:f>IFERROR(J243*(1-K243),"")</x:f>
        <x:v>99.21259842519684</x:v>
      </x:c>
      <x:c r="M243" s="19" t="str">
        <x:v>27% normál belföldi</x:v>
      </x:c>
      <x:c r="N243" s="204" t="n">
        <x:v>0.27</x:v>
      </x:c>
      <x:c r="O243" s="204" t="n">
        <x:v>0</x:v>
      </x:c>
      <x:c r="P243" s="19" t="str">
        <x:v>NEM</x:v>
      </x:c>
      <x:c r="Q243" s="203" t="n">
        <x:f>IFERROR(L243*(1+N243),"")</x:f>
        <x:v>126</x:v>
      </x:c>
      <x:c r="R243" s="205" t="n">
        <x:v>0.08</x:v>
      </x:c>
      <x:c r="S243" s="203" t="n">
        <x:f>IFERROR(Q243*(1+R243),"")</x:f>
        <x:v>136.08</x:v>
      </x:c>
      <x:c r="T243" s="206" t="n">
        <x:v>5</x:v>
      </x:c>
      <x:c r="U243" s="206" t="n">
        <x:v>0</x:v>
      </x:c>
      <x:c r="V243" s="203" t="n">
        <x:f>IFERROR(S243+T243+U243,"")</x:f>
        <x:v>141.08</x:v>
      </x:c>
      <x:c r="W243" s="203" t="n">
        <x:f>IFERROR(H243/(1+Anyag_Beallitasok!$B$2)*Anyag_Beallitasok!$B$9,"")</x:f>
        <x:v>171.42857142857142</x:v>
      </x:c>
      <x:c r="X243" s="203" t="n">
        <x:f>IFERROR(V243/((1-Anyag_Beallitasok!$B$3)*(1+Anyag_Beallitasok!$B$2)),"")</x:f>
        <x:v>206.7106227106227</x:v>
      </x:c>
      <x:c r="Y243" s="203" t="n">
        <x:f>IFERROR(V243/((1-Anyag_Beallitasok!$B$4)*(1+Anyag_Beallitasok!$B$2)),"")</x:f>
        <x:v>268.72380952380956</x:v>
      </x:c>
      <x:c r="Z243" s="203" t="n">
        <x:f>IFERROR(ROUNDUP(MAX(W243,X243)/Anyag_Beallitasok!$B$6,0)*Anyag_Beallitasok!$B$6,"")</x:f>
        <x:v>250</x:v>
      </x:c>
      <x:c r="AA243" s="204" t="n">
        <x:f>Anyag_Beallitasok!$B$2</x:f>
        <x:v>0.05</x:v>
      </x:c>
      <x:c r="AB243" s="203" t="n">
        <x:f>IFERROR(Z243*(1+AA243),"")</x:f>
        <x:v>262.5</x:v>
      </x:c>
      <x:c r="AC243" s="204" t="n">
        <x:f>IFERROR(1-V243/H243,"")</x:f>
        <x:v>0.2162222222222222</x:v>
      </x:c>
      <x:c r="AD243" s="204" t="n">
        <x:f>IFERROR(1-V243/AB243,"")</x:f>
        <x:v>0.46255238095238094</x:v>
      </x:c>
      <x:c r="AE243" s="19" t="str">
        <x:f>IF(AC243&lt;Anyag_Beallitasok!$B$3,"NEM ÉRI EL A 35%-OT",IF(AC243&lt;Anyag_Beallitasok!$B$4,"MINIMUM 35–49,9%",IF(AC243&lt;Anyag_Beallitasok!$B$5,"IDEÁLIS 50–59,9%","KIEMELKEDŐ ≥60%")))</x:f>
        <x:v>NEM ÉRI EL A 35%-OT</x:v>
      </x:c>
      <x:c r="AF243" s="204" t="n">
        <x:f>IFERROR(AB243/H243-1,"")</x:f>
        <x:v>0.45833333333333326</x:v>
      </x:c>
      <x:c r="AG243" s="19" t="str">
        <x:f>IF(AND(P243="IGEN",O243&gt;0),IF(AF243&gt;Anyag_Beallitasok!$B$10,"0%-OS SZÁMLA + ÖNADÓZÁS; FELÁR SZÜKSÉGES","0%-OS SZÁMLA + ÖNADÓZÁS"),IF(AF243&gt;Anyag_Beallitasok!$B$10,"FELÁR SZÜKSÉGES A 35%-HOZ",IF(AC243&lt;Anyag_Beallitasok!$B$3,"PIACI ÁRON NEM TARTHATÓ A 35%","OK")))</x:f>
        <x:v>FELÁR SZÜKSÉGES A 35%-HOZ</x:v>
      </x:c>
      <x:c r="AH243" s="207" t="n">
        <x:v>350</x:v>
      </x:c>
      <x:c r="AI243" s="207" t="n">
        <x:v>350</x:v>
      </x:c>
      <x:c r="AJ243" s="207" t="n">
        <x:v>350</x:v>
      </x:c>
      <x:c r="AK243" s="208"/>
      <x:c r="AL243" s="203" t="str">
        <x:f>IF(AK243="","",V243*AK243)</x:f>
      </x:c>
      <x:c r="AM243" s="203" t="str">
        <x:f>IF(AK243="","",AB243*AK243)</x:f>
      </x:c>
      <x:c r="AN243" s="204" t="str">
        <x:f>IFERROR(1-AL243/AM243,"")</x:f>
      </x:c>
      <x:c r="AO243" s="19" t="str">
        <x:v>https://zsvill.hu/kabelek-vezetekek/mbcu-3x15-re-ym-j-300500v-egesz-tekercsben-vasarolva-100fmtekercs</x:v>
      </x:c>
      <x:c r="AP243" s="19" t="str">
        <x:v>2026 piaci becslés</x:v>
      </x:c>
      <x:c r="AQ243" s="19" t="str"/>
    </x:row>
    <x:row r="244">
      <x:c r="A244" s="19" t="str">
        <x:v>ANY-0243</x:v>
      </x:c>
      <x:c r="B244" s="19" t="str">
        <x:v>14 Villanyszerelés</x:v>
      </x:c>
      <x:c r="C244" s="19" t="str">
        <x:v>Erősáram, gyengeáram, opcionális napelem</x:v>
      </x:c>
      <x:c r="D244" s="19" t="str">
        <x:v>Mindegyik</x:v>
      </x:c>
      <x:c r="E244" s="19" t="str">
        <x:v>Mozgásérzékelő</x:v>
      </x:c>
      <x:c r="F244" s="19" t="str">
        <x:v>beltéri</x:v>
      </x:c>
      <x:c r="G244" s="19" t="str">
        <x:v>db</x:v>
      </x:c>
      <x:c r="H244" s="203" t="n">
        <x:v>15000</x:v>
      </x:c>
      <x:c r="I244" s="204" t="n">
        <x:v>0.27</x:v>
      </x:c>
      <x:c r="J244" s="203" t="n">
        <x:f>IFERROR(H244/(1+I244),"")</x:f>
        <x:v>11811.023622047243</x:v>
      </x:c>
      <x:c r="K244" s="205" t="n">
        <x:v>0.3</x:v>
      </x:c>
      <x:c r="L244" s="203" t="n">
        <x:f>IFERROR(J244*(1-K244),"")</x:f>
        <x:v>8267.71653543307</x:v>
      </x:c>
      <x:c r="M244" s="19" t="str">
        <x:v>27% normál belföldi</x:v>
      </x:c>
      <x:c r="N244" s="204" t="n">
        <x:v>0.27</x:v>
      </x:c>
      <x:c r="O244" s="204" t="n">
        <x:v>0</x:v>
      </x:c>
      <x:c r="P244" s="19" t="str">
        <x:v>NEM</x:v>
      </x:c>
      <x:c r="Q244" s="203" t="n">
        <x:f>IFERROR(L244*(1+N244),"")</x:f>
        <x:v>10499.999999999998</x:v>
      </x:c>
      <x:c r="R244" s="205" t="n">
        <x:v>0.02</x:v>
      </x:c>
      <x:c r="S244" s="203" t="n">
        <x:f>IFERROR(Q244*(1+R244),"")</x:f>
        <x:v>10709.999999999998</x:v>
      </x:c>
      <x:c r="T244" s="206" t="n">
        <x:v>100</x:v>
      </x:c>
      <x:c r="U244" s="206" t="n">
        <x:v>0</x:v>
      </x:c>
      <x:c r="V244" s="203" t="n">
        <x:f>IFERROR(S244+T244+U244,"")</x:f>
        <x:v>10809.999999999998</x:v>
      </x:c>
      <x:c r="W244" s="203" t="n">
        <x:f>IFERROR(H244/(1+Anyag_Beallitasok!$B$2)*Anyag_Beallitasok!$B$9,"")</x:f>
        <x:v>14285.714285714284</x:v>
      </x:c>
      <x:c r="X244" s="203" t="n">
        <x:f>IFERROR(V244/((1-Anyag_Beallitasok!$B$3)*(1+Anyag_Beallitasok!$B$2)),"")</x:f>
        <x:v>15838.827838827834</x:v>
      </x:c>
      <x:c r="Y244" s="203" t="n">
        <x:f>IFERROR(V244/((1-Anyag_Beallitasok!$B$4)*(1+Anyag_Beallitasok!$B$2)),"")</x:f>
        <x:v>20590.476190476187</x:v>
      </x:c>
      <x:c r="Z244" s="203" t="n">
        <x:f>IFERROR(ROUNDUP(MAX(W244,X244)/Anyag_Beallitasok!$B$6,0)*Anyag_Beallitasok!$B$6,"")</x:f>
        <x:v>15850</x:v>
      </x:c>
      <x:c r="AA244" s="204" t="n">
        <x:f>Anyag_Beallitasok!$B$2</x:f>
        <x:v>0.05</x:v>
      </x:c>
      <x:c r="AB244" s="203" t="n">
        <x:f>IFERROR(Z244*(1+AA244),"")</x:f>
        <x:v>16642.5</x:v>
      </x:c>
      <x:c r="AC244" s="204" t="n">
        <x:f>IFERROR(1-V244/H244,"")</x:f>
        <x:v>0.27933333333333343</x:v>
      </x:c>
      <x:c r="AD244" s="204" t="n">
        <x:f>IFERROR(1-V244/AB244,"")</x:f>
        <x:v>0.3504581643382906</x:v>
      </x:c>
      <x:c r="AE244" s="19" t="str">
        <x:f>IF(AC244&lt;Anyag_Beallitasok!$B$3,"NEM ÉRI EL A 35%-OT",IF(AC244&lt;Anyag_Beallitasok!$B$4,"MINIMUM 35–49,9%",IF(AC244&lt;Anyag_Beallitasok!$B$5,"IDEÁLIS 50–59,9%","KIEMELKEDŐ ≥60%")))</x:f>
        <x:v>NEM ÉRI EL A 35%-OT</x:v>
      </x:c>
      <x:c r="AF244" s="204" t="n">
        <x:f>IFERROR(AB244/H244-1,"")</x:f>
        <x:v>0.10949999999999993</x:v>
      </x:c>
      <x:c r="AG244" s="19" t="str">
        <x:f>IF(AND(P244="IGEN",O244&gt;0),IF(AF244&gt;Anyag_Beallitasok!$B$10,"0%-OS SZÁMLA + ÖNADÓZÁS; FELÁR SZÜKSÉGES","0%-OS SZÁMLA + ÖNADÓZÁS"),IF(AF244&gt;Anyag_Beallitasok!$B$10,"FELÁR SZÜKSÉGES A 35%-HOZ",IF(AC244&lt;Anyag_Beallitasok!$B$3,"PIACI ÁRON NEM TARTHATÓ A 35%","OK")))</x:f>
        <x:v>PIACI ÁRON NEM TARTHATÓ A 35%</x:v>
      </x:c>
      <x:c r="AH244" s="207" t="n">
        <x:v>8</x:v>
      </x:c>
      <x:c r="AI244" s="207" t="n">
        <x:v>8</x:v>
      </x:c>
      <x:c r="AJ244" s="207" t="n">
        <x:v>8</x:v>
      </x:c>
      <x:c r="AK244" s="208"/>
      <x:c r="AL244" s="203" t="str">
        <x:f>IF(AK244="","",V244*AK244)</x:f>
      </x:c>
      <x:c r="AM244" s="203" t="str">
        <x:f>IF(AK244="","",AB244*AK244)</x:f>
      </x:c>
      <x:c r="AN244" s="204" t="str">
        <x:f>IFERROR(1-AL244/AM244,"")</x:f>
      </x:c>
      <x:c r="AO244" s="19" t="str">
        <x:v>https://zsvill.hu/kabelek-vezetekek/mbcu-3x15-re-ym-j-300500v-egesz-tekercsben-vasarolva-100fmtekercs</x:v>
      </x:c>
      <x:c r="AP244" s="19" t="str">
        <x:v>2026 piaci becslés</x:v>
      </x:c>
      <x:c r="AQ244" s="19" t="str"/>
    </x:row>
    <x:row r="245">
      <x:c r="A245" s="19" t="str">
        <x:v>ANY-0244</x:v>
      </x:c>
      <x:c r="B245" s="19" t="str">
        <x:v>14 Villanyszerelés</x:v>
      </x:c>
      <x:c r="C245" s="19" t="str">
        <x:v>Erősáram, gyengeáram, opcionális napelem</x:v>
      </x:c>
      <x:c r="D245" s="19" t="str">
        <x:v>Mindegyik</x:v>
      </x:c>
      <x:c r="E245" s="19" t="str">
        <x:v>Kültéri IP kamera</x:v>
      </x:c>
      <x:c r="F245" s="19" t="str">
        <x:v>4–8 MP</x:v>
      </x:c>
      <x:c r="G245" s="19" t="str">
        <x:v>db</x:v>
      </x:c>
      <x:c r="H245" s="203" t="n">
        <x:v>45000</x:v>
      </x:c>
      <x:c r="I245" s="204" t="n">
        <x:v>0.27</x:v>
      </x:c>
      <x:c r="J245" s="203" t="n">
        <x:f>IFERROR(H245/(1+I245),"")</x:f>
        <x:v>35433.07086614173</x:v>
      </x:c>
      <x:c r="K245" s="205" t="n">
        <x:v>0.3</x:v>
      </x:c>
      <x:c r="L245" s="203" t="n">
        <x:f>IFERROR(J245*(1-K245),"")</x:f>
        <x:v>24803.14960629921</x:v>
      </x:c>
      <x:c r="M245" s="19" t="str">
        <x:v>27% normál belföldi</x:v>
      </x:c>
      <x:c r="N245" s="204" t="n">
        <x:v>0.27</x:v>
      </x:c>
      <x:c r="O245" s="204" t="n">
        <x:v>0</x:v>
      </x:c>
      <x:c r="P245" s="19" t="str">
        <x:v>NEM</x:v>
      </x:c>
      <x:c r="Q245" s="203" t="n">
        <x:f>IFERROR(L245*(1+N245),"")</x:f>
        <x:v>31499.999999999996</x:v>
      </x:c>
      <x:c r="R245" s="205" t="n">
        <x:v>0.02</x:v>
      </x:c>
      <x:c r="S245" s="203" t="n">
        <x:f>IFERROR(Q245*(1+R245),"")</x:f>
        <x:v>32129.999999999996</x:v>
      </x:c>
      <x:c r="T245" s="206" t="n">
        <x:v>250</x:v>
      </x:c>
      <x:c r="U245" s="206" t="n">
        <x:v>0</x:v>
      </x:c>
      <x:c r="V245" s="203" t="n">
        <x:f>IFERROR(S245+T245+U245,"")</x:f>
        <x:v>32379.999999999996</x:v>
      </x:c>
      <x:c r="W245" s="203" t="n">
        <x:f>IFERROR(H245/(1+Anyag_Beallitasok!$B$2)*Anyag_Beallitasok!$B$9,"")</x:f>
        <x:v>42857.142857142855</x:v>
      </x:c>
      <x:c r="X245" s="203" t="n">
        <x:f>IFERROR(V245/((1-Anyag_Beallitasok!$B$3)*(1+Anyag_Beallitasok!$B$2)),"")</x:f>
        <x:v>47443.22344322343</x:v>
      </x:c>
      <x:c r="Y245" s="203" t="n">
        <x:f>IFERROR(V245/((1-Anyag_Beallitasok!$B$4)*(1+Anyag_Beallitasok!$B$2)),"")</x:f>
        <x:v>61676.190476190466</x:v>
      </x:c>
      <x:c r="Z245" s="203" t="n">
        <x:f>IFERROR(ROUNDUP(MAX(W245,X245)/Anyag_Beallitasok!$B$6,0)*Anyag_Beallitasok!$B$6,"")</x:f>
        <x:v>47450</x:v>
      </x:c>
      <x:c r="AA245" s="204" t="n">
        <x:f>Anyag_Beallitasok!$B$2</x:f>
        <x:v>0.05</x:v>
      </x:c>
      <x:c r="AB245" s="203" t="n">
        <x:f>IFERROR(Z245*(1+AA245),"")</x:f>
        <x:v>49822.5</x:v>
      </x:c>
      <x:c r="AC245" s="204" t="n">
        <x:f>IFERROR(1-V245/H245,"")</x:f>
        <x:v>0.2804444444444445</x:v>
      </x:c>
      <x:c r="AD245" s="204" t="n">
        <x:f>IFERROR(1-V245/AB245,"")</x:f>
        <x:v>0.3500928295448844</x:v>
      </x:c>
      <x:c r="AE245" s="19" t="str">
        <x:f>IF(AC245&lt;Anyag_Beallitasok!$B$3,"NEM ÉRI EL A 35%-OT",IF(AC245&lt;Anyag_Beallitasok!$B$4,"MINIMUM 35–49,9%",IF(AC245&lt;Anyag_Beallitasok!$B$5,"IDEÁLIS 50–59,9%","KIEMELKEDŐ ≥60%")))</x:f>
        <x:v>NEM ÉRI EL A 35%-OT</x:v>
      </x:c>
      <x:c r="AF245" s="204" t="n">
        <x:f>IFERROR(AB245/H245-1,"")</x:f>
        <x:v>0.10716666666666663</x:v>
      </x:c>
      <x:c r="AG245" s="19" t="str">
        <x:f>IF(AND(P245="IGEN",O245&gt;0),IF(AF245&gt;Anyag_Beallitasok!$B$10,"0%-OS SZÁMLA + ÖNADÓZÁS; FELÁR SZÜKSÉGES","0%-OS SZÁMLA + ÖNADÓZÁS"),IF(AF245&gt;Anyag_Beallitasok!$B$10,"FELÁR SZÜKSÉGES A 35%-HOZ",IF(AC245&lt;Anyag_Beallitasok!$B$3,"PIACI ÁRON NEM TARTHATÓ A 35%","OK")))</x:f>
        <x:v>PIACI ÁRON NEM TARTHATÓ A 35%</x:v>
      </x:c>
      <x:c r="AH245" s="207" t="n">
        <x:v>4</x:v>
      </x:c>
      <x:c r="AI245" s="207" t="n">
        <x:v>4</x:v>
      </x:c>
      <x:c r="AJ245" s="207" t="n">
        <x:v>4</x:v>
      </x:c>
      <x:c r="AK245" s="208"/>
      <x:c r="AL245" s="203" t="str">
        <x:f>IF(AK245="","",V245*AK245)</x:f>
      </x:c>
      <x:c r="AM245" s="203" t="str">
        <x:f>IF(AK245="","",AB245*AK245)</x:f>
      </x:c>
      <x:c r="AN245" s="204" t="str">
        <x:f>IFERROR(1-AL245/AM245,"")</x:f>
      </x:c>
      <x:c r="AO245" s="19" t="str">
        <x:v>https://zsvill.hu/kabelek-vezetekek/mbcu-3x15-re-ym-j-300500v-egesz-tekercsben-vasarolva-100fmtekercs</x:v>
      </x:c>
      <x:c r="AP245" s="19" t="str">
        <x:v>2026 piaci becslés</x:v>
      </x:c>
      <x:c r="AQ245" s="19" t="str"/>
    </x:row>
    <x:row r="246">
      <x:c r="A246" s="19" t="str">
        <x:v>ANY-0245</x:v>
      </x:c>
      <x:c r="B246" s="19" t="str">
        <x:v>14 Villanyszerelés</x:v>
      </x:c>
      <x:c r="C246" s="19" t="str">
        <x:v>Erősáram, gyengeáram, opcionális napelem</x:v>
      </x:c>
      <x:c r="D246" s="19" t="str">
        <x:v>Mindegyik</x:v>
      </x:c>
      <x:c r="E246" s="19" t="str">
        <x:v>Kaputelefon szett</x:v>
      </x:c>
      <x:c r="F246" s="19" t="str">
        <x:v>1 lakásos</x:v>
      </x:c>
      <x:c r="G246" s="19" t="str">
        <x:v>rendszer</x:v>
      </x:c>
      <x:c r="H246" s="203" t="n">
        <x:v>180000</x:v>
      </x:c>
      <x:c r="I246" s="204" t="n">
        <x:v>0.27</x:v>
      </x:c>
      <x:c r="J246" s="203" t="n">
        <x:f>IFERROR(H246/(1+I246),"")</x:f>
        <x:v>141732.28346456692</x:v>
      </x:c>
      <x:c r="K246" s="205" t="n">
        <x:v>0.3</x:v>
      </x:c>
      <x:c r="L246" s="203" t="n">
        <x:f>IFERROR(J246*(1-K246),"")</x:f>
        <x:v>99212.59842519683</x:v>
      </x:c>
      <x:c r="M246" s="19" t="str">
        <x:v>27% normál belföldi</x:v>
      </x:c>
      <x:c r="N246" s="204" t="n">
        <x:v>0.27</x:v>
      </x:c>
      <x:c r="O246" s="204" t="n">
        <x:v>0</x:v>
      </x:c>
      <x:c r="P246" s="19" t="str">
        <x:v>NEM</x:v>
      </x:c>
      <x:c r="Q246" s="203" t="n">
        <x:f>IFERROR(L246*(1+N246),"")</x:f>
        <x:v>125999.99999999999</x:v>
      </x:c>
      <x:c r="R246" s="205" t="n">
        <x:v>0.02</x:v>
      </x:c>
      <x:c r="S246" s="203" t="n">
        <x:f>IFERROR(Q246*(1+R246),"")</x:f>
        <x:v>128519.99999999999</x:v>
      </x:c>
      <x:c r="T246" s="206" t="n">
        <x:v>1500</x:v>
      </x:c>
      <x:c r="U246" s="206" t="n">
        <x:v>0</x:v>
      </x:c>
      <x:c r="V246" s="203" t="n">
        <x:f>IFERROR(S246+T246+U246,"")</x:f>
        <x:v>130019.99999999999</x:v>
      </x:c>
      <x:c r="W246" s="203" t="n">
        <x:f>IFERROR(H246/(1+Anyag_Beallitasok!$B$2)*Anyag_Beallitasok!$B$9,"")</x:f>
        <x:v>171428.57142857142</x:v>
      </x:c>
      <x:c r="X246" s="203" t="n">
        <x:f>IFERROR(V246/((1-Anyag_Beallitasok!$B$3)*(1+Anyag_Beallitasok!$B$2)),"")</x:f>
        <x:v>190505.49450549445</x:v>
      </x:c>
      <x:c r="Y246" s="203" t="n">
        <x:f>IFERROR(V246/((1-Anyag_Beallitasok!$B$4)*(1+Anyag_Beallitasok!$B$2)),"")</x:f>
        <x:v>247657.1428571428</x:v>
      </x:c>
      <x:c r="Z246" s="203" t="n">
        <x:f>IFERROR(ROUNDUP(MAX(W246,X246)/Anyag_Beallitasok!$B$6,0)*Anyag_Beallitasok!$B$6,"")</x:f>
        <x:v>190550</x:v>
      </x:c>
      <x:c r="AA246" s="204" t="n">
        <x:f>Anyag_Beallitasok!$B$2</x:f>
        <x:v>0.05</x:v>
      </x:c>
      <x:c r="AB246" s="203" t="n">
        <x:f>IFERROR(Z246*(1+AA246),"")</x:f>
        <x:v>200077.5</x:v>
      </x:c>
      <x:c r="AC246" s="204" t="n">
        <x:f>IFERROR(1-V246/H246,"")</x:f>
        <x:v>0.27766666666666673</x:v>
      </x:c>
      <x:c r="AD246" s="204" t="n">
        <x:f>IFERROR(1-V246/AB246,"")</x:f>
        <x:v>0.3501518161712337</x:v>
      </x:c>
      <x:c r="AE246" s="19" t="str">
        <x:f>IF(AC246&lt;Anyag_Beallitasok!$B$3,"NEM ÉRI EL A 35%-OT",IF(AC246&lt;Anyag_Beallitasok!$B$4,"MINIMUM 35–49,9%",IF(AC246&lt;Anyag_Beallitasok!$B$5,"IDEÁLIS 50–59,9%","KIEMELKEDŐ ≥60%")))</x:f>
        <x:v>NEM ÉRI EL A 35%-OT</x:v>
      </x:c>
      <x:c r="AF246" s="204" t="n">
        <x:f>IFERROR(AB246/H246-1,"")</x:f>
        <x:v>0.11154166666666665</x:v>
      </x:c>
      <x:c r="AG246" s="19" t="str">
        <x:f>IF(AND(P246="IGEN",O246&gt;0),IF(AF246&gt;Anyag_Beallitasok!$B$10,"0%-OS SZÁMLA + ÖNADÓZÁS; FELÁR SZÜKSÉGES","0%-OS SZÁMLA + ÖNADÓZÁS"),IF(AF246&gt;Anyag_Beallitasok!$B$10,"FELÁR SZÜKSÉGES A 35%-HOZ",IF(AC246&lt;Anyag_Beallitasok!$B$3,"PIACI ÁRON NEM TARTHATÓ A 35%","OK")))</x:f>
        <x:v>PIACI ÁRON NEM TARTHATÓ A 35%</x:v>
      </x:c>
      <x:c r="AH246" s="207" t="n">
        <x:v>1</x:v>
      </x:c>
      <x:c r="AI246" s="207" t="n">
        <x:v>1</x:v>
      </x:c>
      <x:c r="AJ246" s="207" t="n">
        <x:v>1</x:v>
      </x:c>
      <x:c r="AK246" s="208"/>
      <x:c r="AL246" s="203" t="str">
        <x:f>IF(AK246="","",V246*AK246)</x:f>
      </x:c>
      <x:c r="AM246" s="203" t="str">
        <x:f>IF(AK246="","",AB246*AK246)</x:f>
      </x:c>
      <x:c r="AN246" s="204" t="str">
        <x:f>IFERROR(1-AL246/AM246,"")</x:f>
      </x:c>
      <x:c r="AO246" s="19" t="str">
        <x:v>https://zsvill.hu/kabelek-vezetekek/mbcu-3x15-re-ym-j-300500v-egesz-tekercsben-vasarolva-100fmtekercs</x:v>
      </x:c>
      <x:c r="AP246" s="19" t="str">
        <x:v>2026 piaci becslés</x:v>
      </x:c>
      <x:c r="AQ246" s="19" t="str"/>
    </x:row>
    <x:row r="247">
      <x:c r="A247" s="19" t="str">
        <x:v>ANY-0246</x:v>
      </x:c>
      <x:c r="B247" s="19" t="str">
        <x:v>14 Villanyszerelés</x:v>
      </x:c>
      <x:c r="C247" s="19" t="str">
        <x:v>Erősáram, gyengeáram, opcionális napelem</x:v>
      </x:c>
      <x:c r="D247" s="19" t="str">
        <x:v>Mindegyik</x:v>
      </x:c>
      <x:c r="E247" s="19" t="str">
        <x:v>Napelem panel 450 W</x:v>
      </x:c>
      <x:c r="F247" s="19" t="str">
        <x:v>Tier 1</x:v>
      </x:c>
      <x:c r="G247" s="19" t="str">
        <x:v>db</x:v>
      </x:c>
      <x:c r="H247" s="203" t="n">
        <x:v>52000</x:v>
      </x:c>
      <x:c r="I247" s="204" t="n">
        <x:v>0.27</x:v>
      </x:c>
      <x:c r="J247" s="203" t="n">
        <x:f>IFERROR(H247/(1+I247),"")</x:f>
        <x:v>40944.881889763776</x:v>
      </x:c>
      <x:c r="K247" s="205" t="n">
        <x:v>0.25</x:v>
      </x:c>
      <x:c r="L247" s="203" t="n">
        <x:f>IFERROR(J247*(1-K247),"")</x:f>
        <x:v>30708.66141732283</x:v>
      </x:c>
      <x:c r="M247" s="19" t="str">
        <x:v>0% számla – Közösségi beszerzés; 27% önadózás</x:v>
      </x:c>
      <x:c r="N247" s="204" t="n">
        <x:v>0</x:v>
      </x:c>
      <x:c r="O247" s="204" t="n">
        <x:v>0.27</x:v>
      </x:c>
      <x:c r="P247" s="19" t="str">
        <x:v>IGEN</x:v>
      </x:c>
      <x:c r="Q247" s="203" t="n">
        <x:f>IFERROR(L247*(1+N247),"")</x:f>
        <x:v>30708.66141732283</x:v>
      </x:c>
      <x:c r="R247" s="205" t="n">
        <x:v>0.02</x:v>
      </x:c>
      <x:c r="S247" s="203" t="n">
        <x:f>IFERROR(Q247*(1+R247),"")</x:f>
        <x:v>31322.83464566929</x:v>
      </x:c>
      <x:c r="T247" s="206" t="n">
        <x:v>600</x:v>
      </x:c>
      <x:c r="U247" s="206" t="n">
        <x:v>0</x:v>
      </x:c>
      <x:c r="V247" s="203" t="n">
        <x:f>IFERROR(S247+T247+U247,"")</x:f>
        <x:v>31922.83464566929</x:v>
      </x:c>
      <x:c r="W247" s="203" t="n">
        <x:f>IFERROR(H247/(1+Anyag_Beallitasok!$B$2)*Anyag_Beallitasok!$B$9,"")</x:f>
        <x:v>49523.80952380952</x:v>
      </x:c>
      <x:c r="X247" s="203" t="n">
        <x:f>IFERROR(V247/((1-Anyag_Beallitasok!$B$3)*(1+Anyag_Beallitasok!$B$2)),"")</x:f>
        <x:v>46773.38409621873</x:v>
      </x:c>
      <x:c r="Y247" s="203" t="n">
        <x:f>IFERROR(V247/((1-Anyag_Beallitasok!$B$4)*(1+Anyag_Beallitasok!$B$2)),"")</x:f>
        <x:v>60805.399325084356</x:v>
      </x:c>
      <x:c r="Z247" s="203" t="n">
        <x:f>IFERROR(ROUNDUP(MAX(W247,X247)/Anyag_Beallitasok!$B$6,0)*Anyag_Beallitasok!$B$6,"")</x:f>
        <x:v>49550</x:v>
      </x:c>
      <x:c r="AA247" s="204" t="n">
        <x:f>Anyag_Beallitasok!$B$2</x:f>
        <x:v>0.05</x:v>
      </x:c>
      <x:c r="AB247" s="203" t="n">
        <x:f>IFERROR(Z247*(1+AA247),"")</x:f>
        <x:v>52027.5</x:v>
      </x:c>
      <x:c r="AC247" s="204" t="n">
        <x:f>IFERROR(1-V247/H247,"")</x:f>
        <x:v>0.386099333737129</x:v>
      </x:c>
      <x:c r="AD247" s="204" t="n">
        <x:f>IFERROR(1-V247/AB247,"")</x:f>
        <x:v>0.3864238211394111</x:v>
      </x:c>
      <x:c r="AE247" s="19" t="str">
        <x:f>IF(AC247&lt;Anyag_Beallitasok!$B$3,"NEM ÉRI EL A 35%-OT",IF(AC247&lt;Anyag_Beallitasok!$B$4,"MINIMUM 35–49,9%",IF(AC247&lt;Anyag_Beallitasok!$B$5,"IDEÁLIS 50–59,9%","KIEMELKEDŐ ≥60%")))</x:f>
        <x:v>MINIMUM 35–49,9%</x:v>
      </x:c>
      <x:c r="AF247" s="204" t="n">
        <x:f>IFERROR(AB247/H247-1,"")</x:f>
        <x:v>0.0005288461538461853</x:v>
      </x:c>
      <x:c r="AG247" s="19" t="str">
        <x:f>IF(AND(P247="IGEN",O247&gt;0),IF(AF247&gt;Anyag_Beallitasok!$B$10,"0%-OS SZÁMLA + ÖNADÓZÁS; FELÁR SZÜKSÉGES","0%-OS SZÁMLA + ÖNADÓZÁS"),IF(AF247&gt;Anyag_Beallitasok!$B$10,"FELÁR SZÜKSÉGES A 35%-HOZ",IF(AC247&lt;Anyag_Beallitasok!$B$3,"PIACI ÁRON NEM TARTHATÓ A 35%","OK")))</x:f>
        <x:v>0%-OS SZÁMLA + ÖNADÓZÁS</x:v>
      </x:c>
      <x:c r="AH247" s="207" t="n">
        <x:v>0</x:v>
      </x:c>
      <x:c r="AI247" s="207" t="n">
        <x:v>0</x:v>
      </x:c>
      <x:c r="AJ247" s="207" t="n">
        <x:v>0</x:v>
      </x:c>
      <x:c r="AK247" s="208"/>
      <x:c r="AL247" s="203" t="str">
        <x:f>IF(AK247="","",V247*AK247)</x:f>
      </x:c>
      <x:c r="AM247" s="203" t="str">
        <x:f>IF(AK247="","",AB247*AK247)</x:f>
      </x:c>
      <x:c r="AN247" s="204" t="str">
        <x:f>IFERROR(1-AL247/AM247,"")</x:f>
      </x:c>
      <x:c r="AO247" s="19" t="str">
        <x:v>https://zsvill.hu/kabelek-vezetekek/mbcu-3x15-re-ym-j-300500v-egesz-tekercsben-vasarolva-100fmtekercs</x:v>
      </x:c>
      <x:c r="AP247" s="19" t="str">
        <x:v>2026 piaci becslés</x:v>
      </x:c>
      <x:c r="AQ247" s="19" t="str">
        <x:v>Közösségi beszerzés esetén 0%-os számla, önadózás.</x:v>
      </x:c>
    </x:row>
    <x:row r="248">
      <x:c r="A248" s="19" t="str">
        <x:v>ANY-0247</x:v>
      </x:c>
      <x:c r="B248" s="19" t="str">
        <x:v>14 Villanyszerelés</x:v>
      </x:c>
      <x:c r="C248" s="19" t="str">
        <x:v>Erősáram, gyengeáram, opcionális napelem</x:v>
      </x:c>
      <x:c r="D248" s="19" t="str">
        <x:v>Mindegyik</x:v>
      </x:c>
      <x:c r="E248" s="19" t="str">
        <x:v>Hibrid inverter 10 kW</x:v>
      </x:c>
      <x:c r="F248" s="19" t="str">
        <x:v>3 fázis</x:v>
      </x:c>
      <x:c r="G248" s="19" t="str">
        <x:v>db</x:v>
      </x:c>
      <x:c r="H248" s="203" t="n">
        <x:v>850000</x:v>
      </x:c>
      <x:c r="I248" s="204" t="n">
        <x:v>0.27</x:v>
      </x:c>
      <x:c r="J248" s="203" t="n">
        <x:f>IFERROR(H248/(1+I248),"")</x:f>
        <x:v>669291.3385826772</x:v>
      </x:c>
      <x:c r="K248" s="205" t="n">
        <x:v>0.25</x:v>
      </x:c>
      <x:c r="L248" s="203" t="n">
        <x:f>IFERROR(J248*(1-K248),"")</x:f>
        <x:v>501968.50393700786</x:v>
      </x:c>
      <x:c r="M248" s="19" t="str">
        <x:v>0% számla – Közösségi beszerzés; 27% önadózás</x:v>
      </x:c>
      <x:c r="N248" s="204" t="n">
        <x:v>0</x:v>
      </x:c>
      <x:c r="O248" s="204" t="n">
        <x:v>0.27</x:v>
      </x:c>
      <x:c r="P248" s="19" t="str">
        <x:v>IGEN</x:v>
      </x:c>
      <x:c r="Q248" s="203" t="n">
        <x:f>IFERROR(L248*(1+N248),"")</x:f>
        <x:v>501968.50393700786</x:v>
      </x:c>
      <x:c r="R248" s="205" t="n">
        <x:v>0.02</x:v>
      </x:c>
      <x:c r="S248" s="203" t="n">
        <x:f>IFERROR(Q248*(1+R248),"")</x:f>
        <x:v>512007.87401574804</x:v>
      </x:c>
      <x:c r="T248" s="206" t="n">
        <x:v>5000</x:v>
      </x:c>
      <x:c r="U248" s="206" t="n">
        <x:v>0</x:v>
      </x:c>
      <x:c r="V248" s="203" t="n">
        <x:f>IFERROR(S248+T248+U248,"")</x:f>
        <x:v>517007.87401574804</x:v>
      </x:c>
      <x:c r="W248" s="203" t="n">
        <x:f>IFERROR(H248/(1+Anyag_Beallitasok!$B$2)*Anyag_Beallitasok!$B$9,"")</x:f>
        <x:v>809523.8095238095</x:v>
      </x:c>
      <x:c r="X248" s="203" t="n">
        <x:f>IFERROR(V248/((1-Anyag_Beallitasok!$B$3)*(1+Anyag_Beallitasok!$B$2)),"")</x:f>
        <x:v>757520.6945285684</x:v>
      </x:c>
      <x:c r="Y248" s="203" t="n">
        <x:f>IFERROR(V248/((1-Anyag_Beallitasok!$B$4)*(1+Anyag_Beallitasok!$B$2)),"")</x:f>
        <x:v>984776.9028871391</x:v>
      </x:c>
      <x:c r="Z248" s="203" t="n">
        <x:f>IFERROR(ROUNDUP(MAX(W248,X248)/Anyag_Beallitasok!$B$6,0)*Anyag_Beallitasok!$B$6,"")</x:f>
        <x:v>809550</x:v>
      </x:c>
      <x:c r="AA248" s="204" t="n">
        <x:f>Anyag_Beallitasok!$B$2</x:f>
        <x:v>0.05</x:v>
      </x:c>
      <x:c r="AB248" s="203" t="n">
        <x:f>IFERROR(Z248*(1+AA248),"")</x:f>
        <x:v>850027.5</x:v>
      </x:c>
      <x:c r="AC248" s="204" t="n">
        <x:f>IFERROR(1-V248/H248,"")</x:f>
        <x:v>0.39175544233441406</x:v>
      </x:c>
      <x:c r="AD248" s="204" t="n">
        <x:f>IFERROR(1-V248/AB248,"")</x:f>
        <x:v>0.3917751201981724</x:v>
      </x:c>
      <x:c r="AE248" s="19" t="str">
        <x:f>IF(AC248&lt;Anyag_Beallitasok!$B$3,"NEM ÉRI EL A 35%-OT",IF(AC248&lt;Anyag_Beallitasok!$B$4,"MINIMUM 35–49,9%",IF(AC248&lt;Anyag_Beallitasok!$B$5,"IDEÁLIS 50–59,9%","KIEMELKEDŐ ≥60%")))</x:f>
        <x:v>MINIMUM 35–49,9%</x:v>
      </x:c>
      <x:c r="AF248" s="204" t="n">
        <x:f>IFERROR(AB248/H248-1,"")</x:f>
        <x:v>0.00003235294117653886</x:v>
      </x:c>
      <x:c r="AG248" s="19" t="str">
        <x:f>IF(AND(P248="IGEN",O248&gt;0),IF(AF248&gt;Anyag_Beallitasok!$B$10,"0%-OS SZÁMLA + ÖNADÓZÁS; FELÁR SZÜKSÉGES","0%-OS SZÁMLA + ÖNADÓZÁS"),IF(AF248&gt;Anyag_Beallitasok!$B$10,"FELÁR SZÜKSÉGES A 35%-HOZ",IF(AC248&lt;Anyag_Beallitasok!$B$3,"PIACI ÁRON NEM TARTHATÓ A 35%","OK")))</x:f>
        <x:v>0%-OS SZÁMLA + ÖNADÓZÁS</x:v>
      </x:c>
      <x:c r="AH248" s="207" t="n">
        <x:v>0</x:v>
      </x:c>
      <x:c r="AI248" s="207" t="n">
        <x:v>0</x:v>
      </x:c>
      <x:c r="AJ248" s="207" t="n">
        <x:v>0</x:v>
      </x:c>
      <x:c r="AK248" s="208"/>
      <x:c r="AL248" s="203" t="str">
        <x:f>IF(AK248="","",V248*AK248)</x:f>
      </x:c>
      <x:c r="AM248" s="203" t="str">
        <x:f>IF(AK248="","",AB248*AK248)</x:f>
      </x:c>
      <x:c r="AN248" s="204" t="str">
        <x:f>IFERROR(1-AL248/AM248,"")</x:f>
      </x:c>
      <x:c r="AO248" s="19" t="str">
        <x:v>https://zsvill.hu/kabelek-vezetekek/mbcu-3x15-re-ym-j-300500v-egesz-tekercsben-vasarolva-100fmtekercs</x:v>
      </x:c>
      <x:c r="AP248" s="19" t="str">
        <x:v>2026 piaci becslés</x:v>
      </x:c>
      <x:c r="AQ248" s="19" t="str"/>
    </x:row>
    <x:row r="249">
      <x:c r="A249" s="19" t="str">
        <x:v>ANY-0248</x:v>
      </x:c>
      <x:c r="B249" s="19" t="str">
        <x:v>15 Külső munkák</x:v>
      </x:c>
      <x:c r="C249" s="19" t="str">
        <x:v>Térburkolat, kerítés, kert</x:v>
      </x:c>
      <x:c r="D249" s="19" t="str">
        <x:v>Mindegyik</x:v>
      </x:c>
      <x:c r="E249" s="19" t="str">
        <x:v>Térkő 6 cm standard</x:v>
      </x:c>
      <x:c r="F249" s="19" t="str">
        <x:v>szürke/színes alap</x:v>
      </x:c>
      <x:c r="G249" s="19" t="str">
        <x:v>m²</x:v>
      </x:c>
      <x:c r="H249" s="203" t="n">
        <x:v>8500</x:v>
      </x:c>
      <x:c r="I249" s="204" t="n">
        <x:v>0.27</x:v>
      </x:c>
      <x:c r="J249" s="203" t="n">
        <x:f>IFERROR(H249/(1+I249),"")</x:f>
        <x:v>6692.913385826771</x:v>
      </x:c>
      <x:c r="K249" s="205" t="n">
        <x:v>0.18</x:v>
      </x:c>
      <x:c r="L249" s="203" t="n">
        <x:f>IFERROR(J249*(1-K249),"")</x:f>
        <x:v>5488.188976377953</x:v>
      </x:c>
      <x:c r="M249" s="19" t="str">
        <x:v>27% normál belföldi</x:v>
      </x:c>
      <x:c r="N249" s="204" t="n">
        <x:v>0.27</x:v>
      </x:c>
      <x:c r="O249" s="204" t="n">
        <x:v>0</x:v>
      </x:c>
      <x:c r="P249" s="19" t="str">
        <x:v>NEM</x:v>
      </x:c>
      <x:c r="Q249" s="203" t="n">
        <x:f>IFERROR(L249*(1+N249),"")</x:f>
        <x:v>6970</x:v>
      </x:c>
      <x:c r="R249" s="205" t="n">
        <x:v>0.08</x:v>
      </x:c>
      <x:c r="S249" s="203" t="n">
        <x:f>IFERROR(Q249*(1+R249),"")</x:f>
        <x:v>7527.6</x:v>
      </x:c>
      <x:c r="T249" s="206" t="n">
        <x:v>500</x:v>
      </x:c>
      <x:c r="U249" s="206" t="n">
        <x:v>250</x:v>
      </x:c>
      <x:c r="V249" s="203" t="n">
        <x:f>IFERROR(S249+T249+U249,"")</x:f>
        <x:v>8277.6</x:v>
      </x:c>
      <x:c r="W249" s="203" t="n">
        <x:f>IFERROR(H249/(1+Anyag_Beallitasok!$B$2)*Anyag_Beallitasok!$B$9,"")</x:f>
        <x:v>8095.2380952380945</x:v>
      </x:c>
      <x:c r="X249" s="203" t="n">
        <x:f>IFERROR(V249/((1-Anyag_Beallitasok!$B$3)*(1+Anyag_Beallitasok!$B$2)),"")</x:f>
        <x:v>12128.351648351647</x:v>
      </x:c>
      <x:c r="Y249" s="203" t="n">
        <x:f>IFERROR(V249/((1-Anyag_Beallitasok!$B$4)*(1+Anyag_Beallitasok!$B$2)),"")</x:f>
        <x:v>15766.857142857143</x:v>
      </x:c>
      <x:c r="Z249" s="203" t="n">
        <x:f>IFERROR(ROUNDUP(MAX(W249,X249)/Anyag_Beallitasok!$B$6,0)*Anyag_Beallitasok!$B$6,"")</x:f>
        <x:v>12150</x:v>
      </x:c>
      <x:c r="AA249" s="204" t="n">
        <x:f>Anyag_Beallitasok!$B$2</x:f>
        <x:v>0.05</x:v>
      </x:c>
      <x:c r="AB249" s="203" t="n">
        <x:f>IFERROR(Z249*(1+AA249),"")</x:f>
        <x:v>12757.5</x:v>
      </x:c>
      <x:c r="AC249" s="204" t="n">
        <x:f>IFERROR(1-V249/H249,"")</x:f>
        <x:v>0.026164705882352868</x:v>
      </x:c>
      <x:c r="AD249" s="204" t="n">
        <x:f>IFERROR(1-V249/AB249,"")</x:f>
        <x:v>0.35115814226925335</x:v>
      </x:c>
      <x:c r="AE249" s="19" t="str">
        <x:f>IF(AC249&lt;Anyag_Beallitasok!$B$3,"NEM ÉRI EL A 35%-OT",IF(AC249&lt;Anyag_Beallitasok!$B$4,"MINIMUM 35–49,9%",IF(AC249&lt;Anyag_Beallitasok!$B$5,"IDEÁLIS 50–59,9%","KIEMELKEDŐ ≥60%")))</x:f>
        <x:v>NEM ÉRI EL A 35%-OT</x:v>
      </x:c>
      <x:c r="AF249" s="204" t="n">
        <x:f>IFERROR(AB249/H249-1,"")</x:f>
        <x:v>0.5008823529411766</x:v>
      </x:c>
      <x:c r="AG249" s="19" t="str">
        <x:f>IF(AND(P249="IGEN",O249&gt;0),IF(AF249&gt;Anyag_Beallitasok!$B$10,"0%-OS SZÁMLA + ÖNADÓZÁS; FELÁR SZÜKSÉGES","0%-OS SZÁMLA + ÖNADÓZÁS"),IF(AF249&gt;Anyag_Beallitasok!$B$10,"FELÁR SZÜKSÉGES A 35%-HOZ",IF(AC249&lt;Anyag_Beallitasok!$B$3,"PIACI ÁRON NEM TARTHATÓ A 35%","OK")))</x:f>
        <x:v>FELÁR SZÜKSÉGES A 35%-HOZ</x:v>
      </x:c>
      <x:c r="AH249" s="207" t="n">
        <x:v>120</x:v>
      </x:c>
      <x:c r="AI249" s="207" t="n">
        <x:v>120</x:v>
      </x:c>
      <x:c r="AJ249" s="207" t="n">
        <x:v>120</x:v>
      </x:c>
      <x:c r="AK249" s="208"/>
      <x:c r="AL249" s="203" t="str">
        <x:f>IF(AK249="","",V249*AK249)</x:f>
      </x:c>
      <x:c r="AM249" s="203" t="str">
        <x:f>IF(AK249="","",AB249*AK249)</x:f>
      </x:c>
      <x:c r="AN249" s="204" t="str">
        <x:f>IFERROR(1-AL249/AM249,"")</x:f>
      </x:c>
      <x:c r="AO249" s="19" t="str">
        <x:v>https://www.leier.hu/uploads/files/Arlista-magasepites-2026-6981a1daebe63.pdf</x:v>
      </x:c>
      <x:c r="AP249" s="19" t="str">
        <x:v>2026 piaci becslés</x:v>
      </x:c>
      <x:c r="AQ249" s="19" t="str"/>
    </x:row>
    <x:row r="250">
      <x:c r="A250" s="19" t="str">
        <x:v>ANY-0249</x:v>
      </x:c>
      <x:c r="B250" s="19" t="str">
        <x:v>15 Külső munkák</x:v>
      </x:c>
      <x:c r="C250" s="19" t="str">
        <x:v>Térburkolat, kerítés, kert</x:v>
      </x:c>
      <x:c r="D250" s="19" t="str">
        <x:v>Mindegyik</x:v>
      </x:c>
      <x:c r="E250" s="19" t="str">
        <x:v>Térkő 8 cm prémium</x:v>
      </x:c>
      <x:c r="F250" s="19" t="str">
        <x:v>gépkocsiforgalom</x:v>
      </x:c>
      <x:c r="G250" s="19" t="str">
        <x:v>m²</x:v>
      </x:c>
      <x:c r="H250" s="203" t="n">
        <x:v>13000</x:v>
      </x:c>
      <x:c r="I250" s="204" t="n">
        <x:v>0.27</x:v>
      </x:c>
      <x:c r="J250" s="203" t="n">
        <x:f>IFERROR(H250/(1+I250),"")</x:f>
        <x:v>10236.220472440944</x:v>
      </x:c>
      <x:c r="K250" s="205" t="n">
        <x:v>0.18</x:v>
      </x:c>
      <x:c r="L250" s="203" t="n">
        <x:f>IFERROR(J250*(1-K250),"")</x:f>
        <x:v>8393.700787401574</x:v>
      </x:c>
      <x:c r="M250" s="19" t="str">
        <x:v>27% normál belföldi</x:v>
      </x:c>
      <x:c r="N250" s="204" t="n">
        <x:v>0.27</x:v>
      </x:c>
      <x:c r="O250" s="204" t="n">
        <x:v>0</x:v>
      </x:c>
      <x:c r="P250" s="19" t="str">
        <x:v>NEM</x:v>
      </x:c>
      <x:c r="Q250" s="203" t="n">
        <x:f>IFERROR(L250*(1+N250),"")</x:f>
        <x:v>10660</x:v>
      </x:c>
      <x:c r="R250" s="205" t="n">
        <x:v>0.08</x:v>
      </x:c>
      <x:c r="S250" s="203" t="n">
        <x:f>IFERROR(Q250*(1+R250),"")</x:f>
        <x:v>11512.800000000001</x:v>
      </x:c>
      <x:c r="T250" s="206" t="n">
        <x:v>600</x:v>
      </x:c>
      <x:c r="U250" s="206" t="n">
        <x:v>300</x:v>
      </x:c>
      <x:c r="V250" s="203" t="n">
        <x:f>IFERROR(S250+T250+U250,"")</x:f>
        <x:v>12412.800000000001</x:v>
      </x:c>
      <x:c r="W250" s="203" t="n">
        <x:f>IFERROR(H250/(1+Anyag_Beallitasok!$B$2)*Anyag_Beallitasok!$B$9,"")</x:f>
        <x:v>12380.95238095238</x:v>
      </x:c>
      <x:c r="X250" s="203" t="n">
        <x:f>IFERROR(V250/((1-Anyag_Beallitasok!$B$3)*(1+Anyag_Beallitasok!$B$2)),"")</x:f>
        <x:v>18187.252747252747</x:v>
      </x:c>
      <x:c r="Y250" s="203" t="n">
        <x:f>IFERROR(V250/((1-Anyag_Beallitasok!$B$4)*(1+Anyag_Beallitasok!$B$2)),"")</x:f>
        <x:v>23643.428571428572</x:v>
      </x:c>
      <x:c r="Z250" s="203" t="n">
        <x:f>IFERROR(ROUNDUP(MAX(W250,X250)/Anyag_Beallitasok!$B$6,0)*Anyag_Beallitasok!$B$6,"")</x:f>
        <x:v>18200</x:v>
      </x:c>
      <x:c r="AA250" s="204" t="n">
        <x:f>Anyag_Beallitasok!$B$2</x:f>
        <x:v>0.05</x:v>
      </x:c>
      <x:c r="AB250" s="203" t="n">
        <x:f>IFERROR(Z250*(1+AA250),"")</x:f>
        <x:v>19110</x:v>
      </x:c>
      <x:c r="AC250" s="204" t="n">
        <x:f>IFERROR(1-V250/H250,"")</x:f>
        <x:v>0.04516923076923074</x:v>
      </x:c>
      <x:c r="AD250" s="204" t="n">
        <x:f>IFERROR(1-V250/AB250,"")</x:f>
        <x:v>0.3504552590266875</x:v>
      </x:c>
      <x:c r="AE250" s="19" t="str">
        <x:f>IF(AC250&lt;Anyag_Beallitasok!$B$3,"NEM ÉRI EL A 35%-OT",IF(AC250&lt;Anyag_Beallitasok!$B$4,"MINIMUM 35–49,9%",IF(AC250&lt;Anyag_Beallitasok!$B$5,"IDEÁLIS 50–59,9%","KIEMELKEDŐ ≥60%")))</x:f>
        <x:v>NEM ÉRI EL A 35%-OT</x:v>
      </x:c>
      <x:c r="AF250" s="204" t="n">
        <x:f>IFERROR(AB250/H250-1,"")</x:f>
        <x:v>0.47</x:v>
      </x:c>
      <x:c r="AG250" s="19" t="str">
        <x:f>IF(AND(P250="IGEN",O250&gt;0),IF(AF250&gt;Anyag_Beallitasok!$B$10,"0%-OS SZÁMLA + ÖNADÓZÁS; FELÁR SZÜKSÉGES","0%-OS SZÁMLA + ÖNADÓZÁS"),IF(AF250&gt;Anyag_Beallitasok!$B$10,"FELÁR SZÜKSÉGES A 35%-HOZ",IF(AC250&lt;Anyag_Beallitasok!$B$3,"PIACI ÁRON NEM TARTHATÓ A 35%","OK")))</x:f>
        <x:v>FELÁR SZÜKSÉGES A 35%-HOZ</x:v>
      </x:c>
      <x:c r="AH250" s="207" t="n">
        <x:v>0</x:v>
      </x:c>
      <x:c r="AI250" s="207" t="n">
        <x:v>0</x:v>
      </x:c>
      <x:c r="AJ250" s="207" t="n">
        <x:v>0</x:v>
      </x:c>
      <x:c r="AK250" s="208"/>
      <x:c r="AL250" s="203" t="str">
        <x:f>IF(AK250="","",V250*AK250)</x:f>
      </x:c>
      <x:c r="AM250" s="203" t="str">
        <x:f>IF(AK250="","",AB250*AK250)</x:f>
      </x:c>
      <x:c r="AN250" s="204" t="str">
        <x:f>IFERROR(1-AL250/AM250,"")</x:f>
      </x:c>
      <x:c r="AO250" s="19" t="str">
        <x:v>https://www.leier.hu/uploads/files/Arlista-magasepites-2026-6981a1daebe63.pdf</x:v>
      </x:c>
      <x:c r="AP250" s="19" t="str">
        <x:v>2026 piaci becslés</x:v>
      </x:c>
      <x:c r="AQ250" s="19" t="str">
        <x:v>Alternatíva.</x:v>
      </x:c>
    </x:row>
    <x:row r="251">
      <x:c r="A251" s="19" t="str">
        <x:v>ANY-0250</x:v>
      </x:c>
      <x:c r="B251" s="19" t="str">
        <x:v>15 Külső munkák</x:v>
      </x:c>
      <x:c r="C251" s="19" t="str">
        <x:v>Térburkolat, kerítés, kert</x:v>
      </x:c>
      <x:c r="D251" s="19" t="str">
        <x:v>Mindegyik</x:v>
      </x:c>
      <x:c r="E251" s="19" t="str">
        <x:v>Kerti szegélykő</x:v>
      </x:c>
      <x:c r="F251" s="19" t="str">
        <x:v>100×20×5–8 cm</x:v>
      </x:c>
      <x:c r="G251" s="19" t="str">
        <x:v>fm</x:v>
      </x:c>
      <x:c r="H251" s="203" t="n">
        <x:v>2200</x:v>
      </x:c>
      <x:c r="I251" s="204" t="n">
        <x:v>0.27</x:v>
      </x:c>
      <x:c r="J251" s="203" t="n">
        <x:f>IFERROR(H251/(1+I251),"")</x:f>
        <x:v>1732.283464566929</x:v>
      </x:c>
      <x:c r="K251" s="205" t="n">
        <x:v>0.18</x:v>
      </x:c>
      <x:c r="L251" s="203" t="n">
        <x:f>IFERROR(J251*(1-K251),"")</x:f>
        <x:v>1420.472440944882</x:v>
      </x:c>
      <x:c r="M251" s="19" t="str">
        <x:v>27% normál belföldi</x:v>
      </x:c>
      <x:c r="N251" s="204" t="n">
        <x:v>0.27</x:v>
      </x:c>
      <x:c r="O251" s="204" t="n">
        <x:v>0</x:v>
      </x:c>
      <x:c r="P251" s="19" t="str">
        <x:v>NEM</x:v>
      </x:c>
      <x:c r="Q251" s="203" t="n">
        <x:f>IFERROR(L251*(1+N251),"")</x:f>
        <x:v>1804.0000000000002</x:v>
      </x:c>
      <x:c r="R251" s="205" t="n">
        <x:v>0.08</x:v>
      </x:c>
      <x:c r="S251" s="203" t="n">
        <x:f>IFERROR(Q251*(1+R251),"")</x:f>
        <x:v>1948.3200000000004</x:v>
      </x:c>
      <x:c r="T251" s="206" t="n">
        <x:v>150</x:v>
      </x:c>
      <x:c r="U251" s="206" t="n">
        <x:v>0</x:v>
      </x:c>
      <x:c r="V251" s="203" t="n">
        <x:f>IFERROR(S251+T251+U251,"")</x:f>
        <x:v>2098.3200000000006</x:v>
      </x:c>
      <x:c r="W251" s="203" t="n">
        <x:f>IFERROR(H251/(1+Anyag_Beallitasok!$B$2)*Anyag_Beallitasok!$B$9,"")</x:f>
        <x:v>2095.238095238095</x:v>
      </x:c>
      <x:c r="X251" s="203" t="n">
        <x:f>IFERROR(V251/((1-Anyag_Beallitasok!$B$3)*(1+Anyag_Beallitasok!$B$2)),"")</x:f>
        <x:v>3074.461538461539</x:v>
      </x:c>
      <x:c r="Y251" s="203" t="n">
        <x:f>IFERROR(V251/((1-Anyag_Beallitasok!$B$4)*(1+Anyag_Beallitasok!$B$2)),"")</x:f>
        <x:v>3996.800000000001</x:v>
      </x:c>
      <x:c r="Z251" s="203" t="n">
        <x:f>IFERROR(ROUNDUP(MAX(W251,X251)/Anyag_Beallitasok!$B$6,0)*Anyag_Beallitasok!$B$6,"")</x:f>
        <x:v>3100</x:v>
      </x:c>
      <x:c r="AA251" s="204" t="n">
        <x:f>Anyag_Beallitasok!$B$2</x:f>
        <x:v>0.05</x:v>
      </x:c>
      <x:c r="AB251" s="203" t="n">
        <x:f>IFERROR(Z251*(1+AA251),"")</x:f>
        <x:v>3255</x:v>
      </x:c>
      <x:c r="AC251" s="204" t="n">
        <x:f>IFERROR(1-V251/H251,"")</x:f>
        <x:v>0.04621818181818149</x:v>
      </x:c>
      <x:c r="AD251" s="204" t="n">
        <x:f>IFERROR(1-V251/AB251,"")</x:f>
        <x:v>0.3553548387096772</x:v>
      </x:c>
      <x:c r="AE251" s="19" t="str">
        <x:f>IF(AC251&lt;Anyag_Beallitasok!$B$3,"NEM ÉRI EL A 35%-OT",IF(AC251&lt;Anyag_Beallitasok!$B$4,"MINIMUM 35–49,9%",IF(AC251&lt;Anyag_Beallitasok!$B$5,"IDEÁLIS 50–59,9%","KIEMELKEDŐ ≥60%")))</x:f>
        <x:v>NEM ÉRI EL A 35%-OT</x:v>
      </x:c>
      <x:c r="AF251" s="204" t="n">
        <x:f>IFERROR(AB251/H251-1,"")</x:f>
        <x:v>0.4795454545454545</x:v>
      </x:c>
      <x:c r="AG251" s="19" t="str">
        <x:f>IF(AND(P251="IGEN",O251&gt;0),IF(AF251&gt;Anyag_Beallitasok!$B$10,"0%-OS SZÁMLA + ÖNADÓZÁS; FELÁR SZÜKSÉGES","0%-OS SZÁMLA + ÖNADÓZÁS"),IF(AF251&gt;Anyag_Beallitasok!$B$10,"FELÁR SZÜKSÉGES A 35%-HOZ",IF(AC251&lt;Anyag_Beallitasok!$B$3,"PIACI ÁRON NEM TARTHATÓ A 35%","OK")))</x:f>
        <x:v>FELÁR SZÜKSÉGES A 35%-HOZ</x:v>
      </x:c>
      <x:c r="AH251" s="207" t="n">
        <x:v>100</x:v>
      </x:c>
      <x:c r="AI251" s="207" t="n">
        <x:v>100</x:v>
      </x:c>
      <x:c r="AJ251" s="207" t="n">
        <x:v>100</x:v>
      </x:c>
      <x:c r="AK251" s="208"/>
      <x:c r="AL251" s="203" t="str">
        <x:f>IF(AK251="","",V251*AK251)</x:f>
      </x:c>
      <x:c r="AM251" s="203" t="str">
        <x:f>IF(AK251="","",AB251*AK251)</x:f>
      </x:c>
      <x:c r="AN251" s="204" t="str">
        <x:f>IFERROR(1-AL251/AM251,"")</x:f>
      </x:c>
      <x:c r="AO251" s="19" t="str">
        <x:v>https://www.leier.hu/uploads/files/Arlista-magasepites-2026-6981a1daebe63.pdf</x:v>
      </x:c>
      <x:c r="AP251" s="19" t="str">
        <x:v>2026 piaci becslés</x:v>
      </x:c>
      <x:c r="AQ251" s="19" t="str"/>
    </x:row>
    <x:row r="252">
      <x:c r="A252" s="19" t="str">
        <x:v>ANY-0251</x:v>
      </x:c>
      <x:c r="B252" s="19" t="str">
        <x:v>15 Külső munkák</x:v>
      </x:c>
      <x:c r="C252" s="19" t="str">
        <x:v>Térburkolat, kerítés, kert</x:v>
      </x:c>
      <x:c r="D252" s="19" t="str">
        <x:v>Mindegyik</x:v>
      </x:c>
      <x:c r="E252" s="19" t="str">
        <x:v>Beton folyóka ráccsal</x:v>
      </x:c>
      <x:c r="F252" s="19" t="str">
        <x:v>100 mm</x:v>
      </x:c>
      <x:c r="G252" s="19" t="str">
        <x:v>fm</x:v>
      </x:c>
      <x:c r="H252" s="203" t="n">
        <x:v>12000</x:v>
      </x:c>
      <x:c r="I252" s="204" t="n">
        <x:v>0.27</x:v>
      </x:c>
      <x:c r="J252" s="203" t="n">
        <x:f>IFERROR(H252/(1+I252),"")</x:f>
        <x:v>9448.818897637795</x:v>
      </x:c>
      <x:c r="K252" s="205" t="n">
        <x:v>0.2</x:v>
      </x:c>
      <x:c r="L252" s="203" t="n">
        <x:f>IFERROR(J252*(1-K252),"")</x:f>
        <x:v>7559.055118110236</x:v>
      </x:c>
      <x:c r="M252" s="19" t="str">
        <x:v>27% normál belföldi</x:v>
      </x:c>
      <x:c r="N252" s="204" t="n">
        <x:v>0.27</x:v>
      </x:c>
      <x:c r="O252" s="204" t="n">
        <x:v>0</x:v>
      </x:c>
      <x:c r="P252" s="19" t="str">
        <x:v>NEM</x:v>
      </x:c>
      <x:c r="Q252" s="203" t="n">
        <x:f>IFERROR(L252*(1+N252),"")</x:f>
        <x:v>9600</x:v>
      </x:c>
      <x:c r="R252" s="205" t="n">
        <x:v>0.05</x:v>
      </x:c>
      <x:c r="S252" s="203" t="n">
        <x:f>IFERROR(Q252*(1+R252),"")</x:f>
        <x:v>10080</x:v>
      </x:c>
      <x:c r="T252" s="206" t="n">
        <x:v>350</x:v>
      </x:c>
      <x:c r="U252" s="206" t="n">
        <x:v>0</x:v>
      </x:c>
      <x:c r="V252" s="203" t="n">
        <x:f>IFERROR(S252+T252+U252,"")</x:f>
        <x:v>10430</x:v>
      </x:c>
      <x:c r="W252" s="203" t="n">
        <x:f>IFERROR(H252/(1+Anyag_Beallitasok!$B$2)*Anyag_Beallitasok!$B$9,"")</x:f>
        <x:v>11428.571428571428</x:v>
      </x:c>
      <x:c r="X252" s="203" t="n">
        <x:f>IFERROR(V252/((1-Anyag_Beallitasok!$B$3)*(1+Anyag_Beallitasok!$B$2)),"")</x:f>
        <x:v>15282.05128205128</x:v>
      </x:c>
      <x:c r="Y252" s="203" t="n">
        <x:f>IFERROR(V252/((1-Anyag_Beallitasok!$B$4)*(1+Anyag_Beallitasok!$B$2)),"")</x:f>
        <x:v>19866.666666666664</x:v>
      </x:c>
      <x:c r="Z252" s="203" t="n">
        <x:f>IFERROR(ROUNDUP(MAX(W252,X252)/Anyag_Beallitasok!$B$6,0)*Anyag_Beallitasok!$B$6,"")</x:f>
        <x:v>15300</x:v>
      </x:c>
      <x:c r="AA252" s="204" t="n">
        <x:f>Anyag_Beallitasok!$B$2</x:f>
        <x:v>0.05</x:v>
      </x:c>
      <x:c r="AB252" s="203" t="n">
        <x:f>IFERROR(Z252*(1+AA252),"")</x:f>
        <x:v>16065</x:v>
      </x:c>
      <x:c r="AC252" s="204" t="n">
        <x:f>IFERROR(1-V252/H252,"")</x:f>
        <x:v>0.13083333333333336</x:v>
      </x:c>
      <x:c r="AD252" s="204" t="n">
        <x:f>IFERROR(1-V252/AB252,"")</x:f>
        <x:v>0.3507625272331155</x:v>
      </x:c>
      <x:c r="AE252" s="19" t="str">
        <x:f>IF(AC252&lt;Anyag_Beallitasok!$B$3,"NEM ÉRI EL A 35%-OT",IF(AC252&lt;Anyag_Beallitasok!$B$4,"MINIMUM 35–49,9%",IF(AC252&lt;Anyag_Beallitasok!$B$5,"IDEÁLIS 50–59,9%","KIEMELKEDŐ ≥60%")))</x:f>
        <x:v>NEM ÉRI EL A 35%-OT</x:v>
      </x:c>
      <x:c r="AF252" s="204" t="n">
        <x:f>IFERROR(AB252/H252-1,"")</x:f>
        <x:v>0.3387500000000001</x:v>
      </x:c>
      <x:c r="AG252" s="19" t="str">
        <x:f>IF(AND(P252="IGEN",O252&gt;0),IF(AF252&gt;Anyag_Beallitasok!$B$10,"0%-OS SZÁMLA + ÖNADÓZÁS; FELÁR SZÜKSÉGES","0%-OS SZÁMLA + ÖNADÓZÁS"),IF(AF252&gt;Anyag_Beallitasok!$B$10,"FELÁR SZÜKSÉGES A 35%-HOZ",IF(AC252&lt;Anyag_Beallitasok!$B$3,"PIACI ÁRON NEM TARTHATÓ A 35%","OK")))</x:f>
        <x:v>FELÁR SZÜKSÉGES A 35%-HOZ</x:v>
      </x:c>
      <x:c r="AH252" s="207" t="n">
        <x:v>20</x:v>
      </x:c>
      <x:c r="AI252" s="207" t="n">
        <x:v>20</x:v>
      </x:c>
      <x:c r="AJ252" s="207" t="n">
        <x:v>20</x:v>
      </x:c>
      <x:c r="AK252" s="208"/>
      <x:c r="AL252" s="203" t="str">
        <x:f>IF(AK252="","",V252*AK252)</x:f>
      </x:c>
      <x:c r="AM252" s="203" t="str">
        <x:f>IF(AK252="","",AB252*AK252)</x:f>
      </x:c>
      <x:c r="AN252" s="204" t="str">
        <x:f>IFERROR(1-AL252/AM252,"")</x:f>
      </x:c>
      <x:c r="AO252" s="19" t="str">
        <x:v>https://www.leier.hu/uploads/files/Arlista-magasepites-2026-6981a1daebe63.pdf</x:v>
      </x:c>
      <x:c r="AP252" s="19" t="str">
        <x:v>2026 piaci becslés</x:v>
      </x:c>
      <x:c r="AQ252" s="19" t="str"/>
    </x:row>
    <x:row r="253">
      <x:c r="A253" s="19" t="str">
        <x:v>ANY-0252</x:v>
      </x:c>
      <x:c r="B253" s="19" t="str">
        <x:v>15 Külső munkák</x:v>
      </x:c>
      <x:c r="C253" s="19" t="str">
        <x:v>Térburkolat, kerítés, kert</x:v>
      </x:c>
      <x:c r="D253" s="19" t="str">
        <x:v>Mindegyik</x:v>
      </x:c>
      <x:c r="E253" s="19" t="str">
        <x:v>Kerítés zsalukő 20 cm</x:v>
      </x:c>
      <x:c r="F253" s="19" t="str">
        <x:v>50×20×23 cm</x:v>
      </x:c>
      <x:c r="G253" s="19" t="str">
        <x:v>db</x:v>
      </x:c>
      <x:c r="H253" s="203" t="n">
        <x:v>950</x:v>
      </x:c>
      <x:c r="I253" s="204" t="n">
        <x:v>0.27</x:v>
      </x:c>
      <x:c r="J253" s="203" t="n">
        <x:f>IFERROR(H253/(1+I253),"")</x:f>
        <x:v>748.0314960629921</x:v>
      </x:c>
      <x:c r="K253" s="205" t="n">
        <x:v>0.15</x:v>
      </x:c>
      <x:c r="L253" s="203" t="n">
        <x:f>IFERROR(J253*(1-K253),"")</x:f>
        <x:v>635.8267716535432</x:v>
      </x:c>
      <x:c r="M253" s="19" t="str">
        <x:v>27% normál belföldi</x:v>
      </x:c>
      <x:c r="N253" s="204" t="n">
        <x:v>0.27</x:v>
      </x:c>
      <x:c r="O253" s="204" t="n">
        <x:v>0</x:v>
      </x:c>
      <x:c r="P253" s="19" t="str">
        <x:v>NEM</x:v>
      </x:c>
      <x:c r="Q253" s="203" t="n">
        <x:f>IFERROR(L253*(1+N253),"")</x:f>
        <x:v>807.4999999999999</x:v>
      </x:c>
      <x:c r="R253" s="205" t="n">
        <x:v>0.05</x:v>
      </x:c>
      <x:c r="S253" s="203" t="n">
        <x:f>IFERROR(Q253*(1+R253),"")</x:f>
        <x:v>847.8749999999999</x:v>
      </x:c>
      <x:c r="T253" s="206" t="n">
        <x:v>50</x:v>
      </x:c>
      <x:c r="U253" s="206" t="n">
        <x:v>0</x:v>
      </x:c>
      <x:c r="V253" s="203" t="n">
        <x:f>IFERROR(S253+T253+U253,"")</x:f>
        <x:v>897.8749999999999</x:v>
      </x:c>
      <x:c r="W253" s="203" t="n">
        <x:f>IFERROR(H253/(1+Anyag_Beallitasok!$B$2)*Anyag_Beallitasok!$B$9,"")</x:f>
        <x:v>904.7619047619047</x:v>
      </x:c>
      <x:c r="X253" s="203" t="n">
        <x:f>IFERROR(V253/((1-Anyag_Beallitasok!$B$3)*(1+Anyag_Beallitasok!$B$2)),"")</x:f>
        <x:v>1315.5677655677653</x:v>
      </x:c>
      <x:c r="Y253" s="203" t="n">
        <x:f>IFERROR(V253/((1-Anyag_Beallitasok!$B$4)*(1+Anyag_Beallitasok!$B$2)),"")</x:f>
        <x:v>1710.238095238095</x:v>
      </x:c>
      <x:c r="Z253" s="203" t="n">
        <x:f>IFERROR(ROUNDUP(MAX(W253,X253)/Anyag_Beallitasok!$B$6,0)*Anyag_Beallitasok!$B$6,"")</x:f>
        <x:v>1350</x:v>
      </x:c>
      <x:c r="AA253" s="204" t="n">
        <x:f>Anyag_Beallitasok!$B$2</x:f>
        <x:v>0.05</x:v>
      </x:c>
      <x:c r="AB253" s="203" t="n">
        <x:f>IFERROR(Z253*(1+AA253),"")</x:f>
        <x:v>1417.5</x:v>
      </x:c>
      <x:c r="AC253" s="204" t="n">
        <x:f>IFERROR(1-V253/H253,"")</x:f>
        <x:v>0.05486842105263168</x:v>
      </x:c>
      <x:c r="AD253" s="204" t="n">
        <x:f>IFERROR(1-V253/AB253,"")</x:f>
        <x:v>0.36657848324514997</x:v>
      </x:c>
      <x:c r="AE253" s="19" t="str">
        <x:f>IF(AC253&lt;Anyag_Beallitasok!$B$3,"NEM ÉRI EL A 35%-OT",IF(AC253&lt;Anyag_Beallitasok!$B$4,"MINIMUM 35–49,9%",IF(AC253&lt;Anyag_Beallitasok!$B$5,"IDEÁLIS 50–59,9%","KIEMELKEDŐ ≥60%")))</x:f>
        <x:v>NEM ÉRI EL A 35%-OT</x:v>
      </x:c>
      <x:c r="AF253" s="204" t="n">
        <x:f>IFERROR(AB253/H253-1,"")</x:f>
        <x:v>0.4921052631578948</x:v>
      </x:c>
      <x:c r="AG253" s="19" t="str">
        <x:f>IF(AND(P253="IGEN",O253&gt;0),IF(AF253&gt;Anyag_Beallitasok!$B$10,"0%-OS SZÁMLA + ÖNADÓZÁS; FELÁR SZÜKSÉGES","0%-OS SZÁMLA + ÖNADÓZÁS"),IF(AF253&gt;Anyag_Beallitasok!$B$10,"FELÁR SZÜKSÉGES A 35%-HOZ",IF(AC253&lt;Anyag_Beallitasok!$B$3,"PIACI ÁRON NEM TARTHATÓ A 35%","OK")))</x:f>
        <x:v>FELÁR SZÜKSÉGES A 35%-HOZ</x:v>
      </x:c>
      <x:c r="AH253" s="207" t="n">
        <x:v>450</x:v>
      </x:c>
      <x:c r="AI253" s="207" t="n">
        <x:v>450</x:v>
      </x:c>
      <x:c r="AJ253" s="207" t="n">
        <x:v>450</x:v>
      </x:c>
      <x:c r="AK253" s="208"/>
      <x:c r="AL253" s="203" t="str">
        <x:f>IF(AK253="","",V253*AK253)</x:f>
      </x:c>
      <x:c r="AM253" s="203" t="str">
        <x:f>IF(AK253="","",AB253*AK253)</x:f>
      </x:c>
      <x:c r="AN253" s="204" t="str">
        <x:f>IFERROR(1-AL253/AM253,"")</x:f>
      </x:c>
      <x:c r="AO253" s="19" t="str">
        <x:v>https://www.leier.hu/uploads/files/Arlista-magasepites-2026-6981a1daebe63.pdf</x:v>
      </x:c>
      <x:c r="AP253" s="19" t="str">
        <x:v>2026 piaci becslés</x:v>
      </x:c>
      <x:c r="AQ253" s="19" t="str"/>
    </x:row>
    <x:row r="254">
      <x:c r="A254" s="19" t="str">
        <x:v>ANY-0253</x:v>
      </x:c>
      <x:c r="B254" s="19" t="str">
        <x:v>15 Külső munkák</x:v>
      </x:c>
      <x:c r="C254" s="19" t="str">
        <x:v>Térburkolat, kerítés, kert</x:v>
      </x:c>
      <x:c r="D254" s="19" t="str">
        <x:v>Mindegyik</x:v>
      </x:c>
      <x:c r="E254" s="19" t="str">
        <x:v>Táblás kerítéselem</x:v>
      </x:c>
      <x:c r="F254" s="19" t="str">
        <x:v>2,5×1,5 m</x:v>
      </x:c>
      <x:c r="G254" s="19" t="str">
        <x:v>db</x:v>
      </x:c>
      <x:c r="H254" s="203" t="n">
        <x:v>22000</x:v>
      </x:c>
      <x:c r="I254" s="204" t="n">
        <x:v>0.27</x:v>
      </x:c>
      <x:c r="J254" s="203" t="n">
        <x:f>IFERROR(H254/(1+I254),"")</x:f>
        <x:v>17322.834645669293</x:v>
      </x:c>
      <x:c r="K254" s="205" t="n">
        <x:v>0.2</x:v>
      </x:c>
      <x:c r="L254" s="203" t="n">
        <x:f>IFERROR(J254*(1-K254),"")</x:f>
        <x:v>13858.267716535434</x:v>
      </x:c>
      <x:c r="M254" s="19" t="str">
        <x:v>27% normál belföldi</x:v>
      </x:c>
      <x:c r="N254" s="204" t="n">
        <x:v>0.27</x:v>
      </x:c>
      <x:c r="O254" s="204" t="n">
        <x:v>0</x:v>
      </x:c>
      <x:c r="P254" s="19" t="str">
        <x:v>NEM</x:v>
      </x:c>
      <x:c r="Q254" s="203" t="n">
        <x:f>IFERROR(L254*(1+N254),"")</x:f>
        <x:v>17600.000000000004</x:v>
      </x:c>
      <x:c r="R254" s="205" t="n">
        <x:v>0.03</x:v>
      </x:c>
      <x:c r="S254" s="203" t="n">
        <x:f>IFERROR(Q254*(1+R254),"")</x:f>
        <x:v>18128.000000000004</x:v>
      </x:c>
      <x:c r="T254" s="206" t="n">
        <x:v>800</x:v>
      </x:c>
      <x:c r="U254" s="206" t="n">
        <x:v>0</x:v>
      </x:c>
      <x:c r="V254" s="203" t="n">
        <x:f>IFERROR(S254+T254+U254,"")</x:f>
        <x:v>18928.000000000004</x:v>
      </x:c>
      <x:c r="W254" s="203" t="n">
        <x:f>IFERROR(H254/(1+Anyag_Beallitasok!$B$2)*Anyag_Beallitasok!$B$9,"")</x:f>
        <x:v>20952.38095238095</x:v>
      </x:c>
      <x:c r="X254" s="203" t="n">
        <x:f>IFERROR(V254/((1-Anyag_Beallitasok!$B$3)*(1+Anyag_Beallitasok!$B$2)),"")</x:f>
        <x:v>27733.333333333336</x:v>
      </x:c>
      <x:c r="Y254" s="203" t="n">
        <x:f>IFERROR(V254/((1-Anyag_Beallitasok!$B$4)*(1+Anyag_Beallitasok!$B$2)),"")</x:f>
        <x:v>36053.333333333336</x:v>
      </x:c>
      <x:c r="Z254" s="203" t="n">
        <x:f>IFERROR(ROUNDUP(MAX(W254,X254)/Anyag_Beallitasok!$B$6,0)*Anyag_Beallitasok!$B$6,"")</x:f>
        <x:v>27750</x:v>
      </x:c>
      <x:c r="AA254" s="204" t="n">
        <x:f>Anyag_Beallitasok!$B$2</x:f>
        <x:v>0.05</x:v>
      </x:c>
      <x:c r="AB254" s="203" t="n">
        <x:f>IFERROR(Z254*(1+AA254),"")</x:f>
        <x:v>29137.5</x:v>
      </x:c>
      <x:c r="AC254" s="204" t="n">
        <x:f>IFERROR(1-V254/H254,"")</x:f>
        <x:v>0.13963636363636345</x:v>
      </x:c>
      <x:c r="AD254" s="204" t="n">
        <x:f>IFERROR(1-V254/AB254,"")</x:f>
        <x:v>0.3503903903903902</x:v>
      </x:c>
      <x:c r="AE254" s="19" t="str">
        <x:f>IF(AC254&lt;Anyag_Beallitasok!$B$3,"NEM ÉRI EL A 35%-OT",IF(AC254&lt;Anyag_Beallitasok!$B$4,"MINIMUM 35–49,9%",IF(AC254&lt;Anyag_Beallitasok!$B$5,"IDEÁLIS 50–59,9%","KIEMELKEDŐ ≥60%")))</x:f>
        <x:v>NEM ÉRI EL A 35%-OT</x:v>
      </x:c>
      <x:c r="AF254" s="204" t="n">
        <x:f>IFERROR(AB254/H254-1,"")</x:f>
        <x:v>0.3244318181818182</x:v>
      </x:c>
      <x:c r="AG254" s="19" t="str">
        <x:f>IF(AND(P254="IGEN",O254&gt;0),IF(AF254&gt;Anyag_Beallitasok!$B$10,"0%-OS SZÁMLA + ÖNADÓZÁS; FELÁR SZÜKSÉGES","0%-OS SZÁMLA + ÖNADÓZÁS"),IF(AF254&gt;Anyag_Beallitasok!$B$10,"FELÁR SZÜKSÉGES A 35%-HOZ",IF(AC254&lt;Anyag_Beallitasok!$B$3,"PIACI ÁRON NEM TARTHATÓ A 35%","OK")))</x:f>
        <x:v>FELÁR SZÜKSÉGES A 35%-HOZ</x:v>
      </x:c>
      <x:c r="AH254" s="207" t="n">
        <x:v>25</x:v>
      </x:c>
      <x:c r="AI254" s="207" t="n">
        <x:v>25</x:v>
      </x:c>
      <x:c r="AJ254" s="207" t="n">
        <x:v>25</x:v>
      </x:c>
      <x:c r="AK254" s="208"/>
      <x:c r="AL254" s="203" t="str">
        <x:f>IF(AK254="","",V254*AK254)</x:f>
      </x:c>
      <x:c r="AM254" s="203" t="str">
        <x:f>IF(AK254="","",AB254*AK254)</x:f>
      </x:c>
      <x:c r="AN254" s="204" t="str">
        <x:f>IFERROR(1-AL254/AM254,"")</x:f>
      </x:c>
      <x:c r="AO254" s="19" t="str">
        <x:v>https://www.winklertuzep.hu/arlista-web/vasak</x:v>
      </x:c>
      <x:c r="AP254" s="19" t="str">
        <x:v>2026 piaci becslés</x:v>
      </x:c>
      <x:c r="AQ254" s="19" t="str"/>
    </x:row>
    <x:row r="255">
      <x:c r="A255" s="19" t="str">
        <x:v>ANY-0254</x:v>
      </x:c>
      <x:c r="B255" s="19" t="str">
        <x:v>15 Külső munkák</x:v>
      </x:c>
      <x:c r="C255" s="19" t="str">
        <x:v>Térburkolat, kerítés, kert</x:v>
      </x:c>
      <x:c r="D255" s="19" t="str">
        <x:v>Mindegyik</x:v>
      </x:c>
      <x:c r="E255" s="19" t="str">
        <x:v>Kerítésoszlop</x:v>
      </x:c>
      <x:c r="F255" s="19" t="str">
        <x:v>horganyzott/festett</x:v>
      </x:c>
      <x:c r="G255" s="19" t="str">
        <x:v>db</x:v>
      </x:c>
      <x:c r="H255" s="203" t="n">
        <x:v>9500</x:v>
      </x:c>
      <x:c r="I255" s="204" t="n">
        <x:v>0.27</x:v>
      </x:c>
      <x:c r="J255" s="203" t="n">
        <x:f>IFERROR(H255/(1+I255),"")</x:f>
        <x:v>7480.314960629921</x:v>
      </x:c>
      <x:c r="K255" s="205" t="n">
        <x:v>0.2</x:v>
      </x:c>
      <x:c r="L255" s="203" t="n">
        <x:f>IFERROR(J255*(1-K255),"")</x:f>
        <x:v>5984.251968503937</x:v>
      </x:c>
      <x:c r="M255" s="19" t="str">
        <x:v>0% számla – belföldi fordított adózás; 27% önadózás</x:v>
      </x:c>
      <x:c r="N255" s="204" t="n">
        <x:v>0</x:v>
      </x:c>
      <x:c r="O255" s="204" t="n">
        <x:v>0.27</x:v>
      </x:c>
      <x:c r="P255" s="19" t="str">
        <x:v>IGEN</x:v>
      </x:c>
      <x:c r="Q255" s="203" t="n">
        <x:f>IFERROR(L255*(1+N255),"")</x:f>
        <x:v>5984.251968503937</x:v>
      </x:c>
      <x:c r="R255" s="205" t="n">
        <x:v>0.03</x:v>
      </x:c>
      <x:c r="S255" s="203" t="n">
        <x:f>IFERROR(Q255*(1+R255),"")</x:f>
        <x:v>6163.779527559055</x:v>
      </x:c>
      <x:c r="T255" s="206" t="n">
        <x:v>300</x:v>
      </x:c>
      <x:c r="U255" s="206" t="n">
        <x:v>0</x:v>
      </x:c>
      <x:c r="V255" s="203" t="n">
        <x:f>IFERROR(S255+T255+U255,"")</x:f>
        <x:v>6463.779527559055</x:v>
      </x:c>
      <x:c r="W255" s="203" t="n">
        <x:f>IFERROR(H255/(1+Anyag_Beallitasok!$B$2)*Anyag_Beallitasok!$B$9,"")</x:f>
        <x:v>9047.619047619048</x:v>
      </x:c>
      <x:c r="X255" s="203" t="n">
        <x:f>IFERROR(V255/((1-Anyag_Beallitasok!$B$3)*(1+Anyag_Beallitasok!$B$2)),"")</x:f>
        <x:v>9470.73923451876</x:v>
      </x:c>
      <x:c r="Y255" s="203" t="n">
        <x:f>IFERROR(V255/((1-Anyag_Beallitasok!$B$4)*(1+Anyag_Beallitasok!$B$2)),"")</x:f>
        <x:v>12311.96100487439</x:v>
      </x:c>
      <x:c r="Z255" s="203" t="n">
        <x:f>IFERROR(ROUNDUP(MAX(W255,X255)/Anyag_Beallitasok!$B$6,0)*Anyag_Beallitasok!$B$6,"")</x:f>
        <x:v>9500</x:v>
      </x:c>
      <x:c r="AA255" s="204" t="n">
        <x:f>Anyag_Beallitasok!$B$2</x:f>
        <x:v>0.05</x:v>
      </x:c>
      <x:c r="AB255" s="203" t="n">
        <x:f>IFERROR(Z255*(1+AA255),"")</x:f>
        <x:v>9975</x:v>
      </x:c>
      <x:c r="AC255" s="204" t="n">
        <x:f>IFERROR(1-V255/H255,"")</x:f>
        <x:v>0.31960215499378364</x:v>
      </x:c>
      <x:c r="AD255" s="204" t="n">
        <x:f>IFERROR(1-V255/AB255,"")</x:f>
        <x:v>0.352002052375032</x:v>
      </x:c>
      <x:c r="AE255" s="19" t="str">
        <x:f>IF(AC255&lt;Anyag_Beallitasok!$B$3,"NEM ÉRI EL A 35%-OT",IF(AC255&lt;Anyag_Beallitasok!$B$4,"MINIMUM 35–49,9%",IF(AC255&lt;Anyag_Beallitasok!$B$5,"IDEÁLIS 50–59,9%","KIEMELKEDŐ ≥60%")))</x:f>
        <x:v>NEM ÉRI EL A 35%-OT</x:v>
      </x:c>
      <x:c r="AF255" s="204" t="n">
        <x:f>IFERROR(AB255/H255-1,"")</x:f>
        <x:v>0.050000000000000044</x:v>
      </x:c>
      <x:c r="AG255" s="19" t="str">
        <x:f>IF(AND(P255="IGEN",O255&gt;0),IF(AF255&gt;Anyag_Beallitasok!$B$10,"0%-OS SZÁMLA + ÖNADÓZÁS; FELÁR SZÜKSÉGES","0%-OS SZÁMLA + ÖNADÓZÁS"),IF(AF255&gt;Anyag_Beallitasok!$B$10,"FELÁR SZÜKSÉGES A 35%-HOZ",IF(AC255&lt;Anyag_Beallitasok!$B$3,"PIACI ÁRON NEM TARTHATÓ A 35%","OK")))</x:f>
        <x:v>0%-OS SZÁMLA + ÖNADÓZÁS</x:v>
      </x:c>
      <x:c r="AH255" s="207" t="n">
        <x:v>28</x:v>
      </x:c>
      <x:c r="AI255" s="207" t="n">
        <x:v>28</x:v>
      </x:c>
      <x:c r="AJ255" s="207" t="n">
        <x:v>28</x:v>
      </x:c>
      <x:c r="AK255" s="208"/>
      <x:c r="AL255" s="203" t="str">
        <x:f>IF(AK255="","",V255*AK255)</x:f>
      </x:c>
      <x:c r="AM255" s="203" t="str">
        <x:f>IF(AK255="","",AB255*AK255)</x:f>
      </x:c>
      <x:c r="AN255" s="204" t="str">
        <x:f>IFERROR(1-AL255/AM255,"")</x:f>
      </x:c>
      <x:c r="AO255" s="19" t="str">
        <x:v>https://www.winklertuzep.hu/arlista-web/vasak</x:v>
      </x:c>
      <x:c r="AP255" s="19" t="str">
        <x:v>2026 piaci becslés</x:v>
      </x:c>
      <x:c r="AQ255" s="19" t="str">
        <x:v>VTSZ-függő fordított adózás.</x:v>
      </x:c>
    </x:row>
    <x:row r="256">
      <x:c r="A256" s="19" t="str">
        <x:v>ANY-0255</x:v>
      </x:c>
      <x:c r="B256" s="19" t="str">
        <x:v>15 Külső munkák</x:v>
      </x:c>
      <x:c r="C256" s="19" t="str">
        <x:v>Térburkolat, kerítés, kert</x:v>
      </x:c>
      <x:c r="D256" s="19" t="str">
        <x:v>Mindegyik</x:v>
      </x:c>
      <x:c r="E256" s="19" t="str">
        <x:v>Úszókapu szerkezet</x:v>
      </x:c>
      <x:c r="F256" s="19" t="str">
        <x:v>4–5 m nyílás</x:v>
      </x:c>
      <x:c r="G256" s="19" t="str">
        <x:v>szett</x:v>
      </x:c>
      <x:c r="H256" s="203" t="n">
        <x:v>480000</x:v>
      </x:c>
      <x:c r="I256" s="204" t="n">
        <x:v>0.27</x:v>
      </x:c>
      <x:c r="J256" s="203" t="n">
        <x:f>IFERROR(H256/(1+I256),"")</x:f>
        <x:v>377952.7559055118</x:v>
      </x:c>
      <x:c r="K256" s="205" t="n">
        <x:v>0.2</x:v>
      </x:c>
      <x:c r="L256" s="203" t="n">
        <x:f>IFERROR(J256*(1-K256),"")</x:f>
        <x:v>302362.20472440944</x:v>
      </x:c>
      <x:c r="M256" s="19" t="str">
        <x:v>0% számla – belföldi fordított adózás; 27% önadózás</x:v>
      </x:c>
      <x:c r="N256" s="204" t="n">
        <x:v>0</x:v>
      </x:c>
      <x:c r="O256" s="204" t="n">
        <x:v>0.27</x:v>
      </x:c>
      <x:c r="P256" s="19" t="str">
        <x:v>IGEN</x:v>
      </x:c>
      <x:c r="Q256" s="203" t="n">
        <x:f>IFERROR(L256*(1+N256),"")</x:f>
        <x:v>302362.20472440944</x:v>
      </x:c>
      <x:c r="R256" s="205" t="n">
        <x:v>0.03</x:v>
      </x:c>
      <x:c r="S256" s="203" t="n">
        <x:f>IFERROR(Q256*(1+R256),"")</x:f>
        <x:v>311433.07086614176</x:v>
      </x:c>
      <x:c r="T256" s="206" t="n">
        <x:v>12000</x:v>
      </x:c>
      <x:c r="U256" s="206" t="n">
        <x:v>0</x:v>
      </x:c>
      <x:c r="V256" s="203" t="n">
        <x:f>IFERROR(S256+T256+U256,"")</x:f>
        <x:v>323433.07086614176</x:v>
      </x:c>
      <x:c r="W256" s="203" t="n">
        <x:f>IFERROR(H256/(1+Anyag_Beallitasok!$B$2)*Anyag_Beallitasok!$B$9,"")</x:f>
        <x:v>457142.8571428571</x:v>
      </x:c>
      <x:c r="X256" s="203" t="n">
        <x:f>IFERROR(V256/((1-Anyag_Beallitasok!$B$3)*(1+Anyag_Beallitasok!$B$2)),"")</x:f>
        <x:v>473894.60932768014</x:v>
      </x:c>
      <x:c r="Y256" s="203" t="n">
        <x:f>IFERROR(V256/((1-Anyag_Beallitasok!$B$4)*(1+Anyag_Beallitasok!$B$2)),"")</x:f>
        <x:v>616062.9921259843</x:v>
      </x:c>
      <x:c r="Z256" s="203" t="n">
        <x:f>IFERROR(ROUNDUP(MAX(W256,X256)/Anyag_Beallitasok!$B$6,0)*Anyag_Beallitasok!$B$6,"")</x:f>
        <x:v>473900</x:v>
      </x:c>
      <x:c r="AA256" s="204" t="n">
        <x:f>Anyag_Beallitasok!$B$2</x:f>
        <x:v>0.05</x:v>
      </x:c>
      <x:c r="AB256" s="203" t="n">
        <x:f>IFERROR(Z256*(1+AA256),"")</x:f>
        <x:v>497595</x:v>
      </x:c>
      <x:c r="AC256" s="204" t="n">
        <x:f>IFERROR(1-V256/H256,"")</x:f>
        <x:v>0.32618110236220466</x:v>
      </x:c>
      <x:c r="AD256" s="204" t="n">
        <x:f>IFERROR(1-V256/AB256,"")</x:f>
        <x:v>0.3500073938320486</x:v>
      </x:c>
      <x:c r="AE256" s="19" t="str">
        <x:f>IF(AC256&lt;Anyag_Beallitasok!$B$3,"NEM ÉRI EL A 35%-OT",IF(AC256&lt;Anyag_Beallitasok!$B$4,"MINIMUM 35–49,9%",IF(AC256&lt;Anyag_Beallitasok!$B$5,"IDEÁLIS 50–59,9%","KIEMELKEDŐ ≥60%")))</x:f>
        <x:v>NEM ÉRI EL A 35%-OT</x:v>
      </x:c>
      <x:c r="AF256" s="204" t="n">
        <x:f>IFERROR(AB256/H256-1,"")</x:f>
        <x:v>0.03665625000000006</x:v>
      </x:c>
      <x:c r="AG256" s="19" t="str">
        <x:f>IF(AND(P256="IGEN",O256&gt;0),IF(AF256&gt;Anyag_Beallitasok!$B$10,"0%-OS SZÁMLA + ÖNADÓZÁS; FELÁR SZÜKSÉGES","0%-OS SZÁMLA + ÖNADÓZÁS"),IF(AF256&gt;Anyag_Beallitasok!$B$10,"FELÁR SZÜKSÉGES A 35%-HOZ",IF(AC256&lt;Anyag_Beallitasok!$B$3,"PIACI ÁRON NEM TARTHATÓ A 35%","OK")))</x:f>
        <x:v>0%-OS SZÁMLA + ÖNADÓZÁS</x:v>
      </x:c>
      <x:c r="AH256" s="207" t="n">
        <x:v>1</x:v>
      </x:c>
      <x:c r="AI256" s="207" t="n">
        <x:v>1</x:v>
      </x:c>
      <x:c r="AJ256" s="207" t="n">
        <x:v>1</x:v>
      </x:c>
      <x:c r="AK256" s="208"/>
      <x:c r="AL256" s="203" t="str">
        <x:f>IF(AK256="","",V256*AK256)</x:f>
      </x:c>
      <x:c r="AM256" s="203" t="str">
        <x:f>IF(AK256="","",AB256*AK256)</x:f>
      </x:c>
      <x:c r="AN256" s="204" t="str">
        <x:f>IFERROR(1-AL256/AM256,"")</x:f>
      </x:c>
      <x:c r="AO256" s="19" t="str">
        <x:v>https://www.winklertuzep.hu/arlista-web/vasak</x:v>
      </x:c>
      <x:c r="AP256" s="19" t="str">
        <x:v>2026 piaci becslés</x:v>
      </x:c>
      <x:c r="AQ256" s="19" t="str">
        <x:v>Motor nélkül.</x:v>
      </x:c>
    </x:row>
    <x:row r="257">
      <x:c r="A257" s="19" t="str">
        <x:v>ANY-0256</x:v>
      </x:c>
      <x:c r="B257" s="19" t="str">
        <x:v>15 Külső munkák</x:v>
      </x:c>
      <x:c r="C257" s="19" t="str">
        <x:v>Térburkolat, kerítés, kert</x:v>
      </x:c>
      <x:c r="D257" s="19" t="str">
        <x:v>Mindegyik</x:v>
      </x:c>
      <x:c r="E257" s="19" t="str">
        <x:v>Kapumotor szett</x:v>
      </x:c>
      <x:c r="F257" s="19" t="str">
        <x:v>tolókapuhoz</x:v>
      </x:c>
      <x:c r="G257" s="19" t="str">
        <x:v>szett</x:v>
      </x:c>
      <x:c r="H257" s="203" t="n">
        <x:v>220000</x:v>
      </x:c>
      <x:c r="I257" s="204" t="n">
        <x:v>0.27</x:v>
      </x:c>
      <x:c r="J257" s="203" t="n">
        <x:f>IFERROR(H257/(1+I257),"")</x:f>
        <x:v>173228.3464566929</x:v>
      </x:c>
      <x:c r="K257" s="205" t="n">
        <x:v>0.25</x:v>
      </x:c>
      <x:c r="L257" s="203" t="n">
        <x:f>IFERROR(J257*(1-K257),"")</x:f>
        <x:v>129921.25984251968</x:v>
      </x:c>
      <x:c r="M257" s="19" t="str">
        <x:v>0% számla – Közösségi beszerzés; 27% önadózás</x:v>
      </x:c>
      <x:c r="N257" s="204" t="n">
        <x:v>0</x:v>
      </x:c>
      <x:c r="O257" s="204" t="n">
        <x:v>0.27</x:v>
      </x:c>
      <x:c r="P257" s="19" t="str">
        <x:v>IGEN</x:v>
      </x:c>
      <x:c r="Q257" s="203" t="n">
        <x:f>IFERROR(L257*(1+N257),"")</x:f>
        <x:v>129921.25984251968</x:v>
      </x:c>
      <x:c r="R257" s="205" t="n">
        <x:v>0.02</x:v>
      </x:c>
      <x:c r="S257" s="203" t="n">
        <x:f>IFERROR(Q257*(1+R257),"")</x:f>
        <x:v>132519.68503937006</x:v>
      </x:c>
      <x:c r="T257" s="206" t="n">
        <x:v>2500</x:v>
      </x:c>
      <x:c r="U257" s="206" t="n">
        <x:v>0</x:v>
      </x:c>
      <x:c r="V257" s="203" t="n">
        <x:f>IFERROR(S257+T257+U257,"")</x:f>
        <x:v>135019.68503937006</x:v>
      </x:c>
      <x:c r="W257" s="203" t="n">
        <x:f>IFERROR(H257/(1+Anyag_Beallitasok!$B$2)*Anyag_Beallitasok!$B$9,"")</x:f>
        <x:v>209523.80952380953</x:v>
      </x:c>
      <x:c r="X257" s="203" t="n">
        <x:f>IFERROR(V257/((1-Anyag_Beallitasok!$B$3)*(1+Anyag_Beallitasok!$B$2)),"")</x:f>
        <x:v>197831.04035072532</x:v>
      </x:c>
      <x:c r="Y257" s="203" t="n">
        <x:f>IFERROR(V257/((1-Anyag_Beallitasok!$B$4)*(1+Anyag_Beallitasok!$B$2)),"")</x:f>
        <x:v>257180.35245594295</x:v>
      </x:c>
      <x:c r="Z257" s="203" t="n">
        <x:f>IFERROR(ROUNDUP(MAX(W257,X257)/Anyag_Beallitasok!$B$6,0)*Anyag_Beallitasok!$B$6,"")</x:f>
        <x:v>209550</x:v>
      </x:c>
      <x:c r="AA257" s="204" t="n">
        <x:f>Anyag_Beallitasok!$B$2</x:f>
        <x:v>0.05</x:v>
      </x:c>
      <x:c r="AB257" s="203" t="n">
        <x:f>IFERROR(Z257*(1+AA257),"")</x:f>
        <x:v>220027.5</x:v>
      </x:c>
      <x:c r="AC257" s="204" t="n">
        <x:f>IFERROR(1-V257/H257,"")</x:f>
        <x:v>0.38627415891195427</x:v>
      </x:c>
      <x:c r="AD257" s="204" t="n">
        <x:f>IFERROR(1-V257/AB257,"")</x:f>
        <x:v>0.38635086505382255</x:v>
      </x:c>
      <x:c r="AE257" s="19" t="str">
        <x:f>IF(AC257&lt;Anyag_Beallitasok!$B$3,"NEM ÉRI EL A 35%-OT",IF(AC257&lt;Anyag_Beallitasok!$B$4,"MINIMUM 35–49,9%",IF(AC257&lt;Anyag_Beallitasok!$B$5,"IDEÁLIS 50–59,9%","KIEMELKEDŐ ≥60%")))</x:f>
        <x:v>MINIMUM 35–49,9%</x:v>
      </x:c>
      <x:c r="AF257" s="204" t="n">
        <x:f>IFERROR(AB257/H257-1,"")</x:f>
        <x:v>0.00012499999999993072</x:v>
      </x:c>
      <x:c r="AG257" s="19" t="str">
        <x:f>IF(AND(P257="IGEN",O257&gt;0),IF(AF257&gt;Anyag_Beallitasok!$B$10,"0%-OS SZÁMLA + ÖNADÓZÁS; FELÁR SZÜKSÉGES","0%-OS SZÁMLA + ÖNADÓZÁS"),IF(AF257&gt;Anyag_Beallitasok!$B$10,"FELÁR SZÜKSÉGES A 35%-HOZ",IF(AC257&lt;Anyag_Beallitasok!$B$3,"PIACI ÁRON NEM TARTHATÓ A 35%","OK")))</x:f>
        <x:v>0%-OS SZÁMLA + ÖNADÓZÁS</x:v>
      </x:c>
      <x:c r="AH257" s="207" t="n">
        <x:v>1</x:v>
      </x:c>
      <x:c r="AI257" s="207" t="n">
        <x:v>1</x:v>
      </x:c>
      <x:c r="AJ257" s="207" t="n">
        <x:v>1</x:v>
      </x:c>
      <x:c r="AK257" s="208"/>
      <x:c r="AL257" s="203" t="str">
        <x:f>IF(AK257="","",V257*AK257)</x:f>
      </x:c>
      <x:c r="AM257" s="203" t="str">
        <x:f>IF(AK257="","",AB257*AK257)</x:f>
      </x:c>
      <x:c r="AN257" s="204" t="str">
        <x:f>IFERROR(1-AL257/AM257,"")</x:f>
      </x:c>
      <x:c r="AO257" s="19" t="str">
        <x:v>https://zsvill.hu/kabelek-vezetekek/mbcu-3x15-re-ym-j-300500v-egesz-tekercsben-vasarolva-100fmtekercs</x:v>
      </x:c>
      <x:c r="AP257" s="19" t="str">
        <x:v>2026 piaci becslés</x:v>
      </x:c>
      <x:c r="AQ257" s="19" t="str"/>
    </x:row>
    <x:row r="258">
      <x:c r="A258" s="19" t="str">
        <x:v>ANY-0257</x:v>
      </x:c>
      <x:c r="B258" s="19" t="str">
        <x:v>15 Külső munkák</x:v>
      </x:c>
      <x:c r="C258" s="19" t="str">
        <x:v>Térburkolat, kerítés, kert</x:v>
      </x:c>
      <x:c r="D258" s="19" t="str">
        <x:v>Mindegyik</x:v>
      </x:c>
      <x:c r="E258" s="19" t="str">
        <x:v>Termőföld</x:v>
      </x:c>
      <x:c r="F258" s="19" t="str">
        <x:v>rostált</x:v>
      </x:c>
      <x:c r="G258" s="19" t="str">
        <x:v>m³</x:v>
      </x:c>
      <x:c r="H258" s="203" t="n">
        <x:v>12500</x:v>
      </x:c>
      <x:c r="I258" s="204" t="n">
        <x:v>0.27</x:v>
      </x:c>
      <x:c r="J258" s="203" t="n">
        <x:f>IFERROR(H258/(1+I258),"")</x:f>
        <x:v>9842.51968503937</x:v>
      </x:c>
      <x:c r="K258" s="205" t="n">
        <x:v>0.08</x:v>
      </x:c>
      <x:c r="L258" s="203" t="n">
        <x:f>IFERROR(J258*(1-K258),"")</x:f>
        <x:v>9055.11811023622</x:v>
      </x:c>
      <x:c r="M258" s="19" t="str">
        <x:v>27% normál belföldi</x:v>
      </x:c>
      <x:c r="N258" s="204" t="n">
        <x:v>0.27</x:v>
      </x:c>
      <x:c r="O258" s="204" t="n">
        <x:v>0</x:v>
      </x:c>
      <x:c r="P258" s="19" t="str">
        <x:v>NEM</x:v>
      </x:c>
      <x:c r="Q258" s="203" t="n">
        <x:f>IFERROR(L258*(1+N258),"")</x:f>
        <x:v>11500</x:v>
      </x:c>
      <x:c r="R258" s="205" t="n">
        <x:v>0.1</x:v>
      </x:c>
      <x:c r="S258" s="203" t="n">
        <x:f>IFERROR(Q258*(1+R258),"")</x:f>
        <x:v>12650.000000000002</x:v>
      </x:c>
      <x:c r="T258" s="206" t="n">
        <x:v>4500</x:v>
      </x:c>
      <x:c r="U258" s="206" t="n">
        <x:v>0</x:v>
      </x:c>
      <x:c r="V258" s="203" t="n">
        <x:f>IFERROR(S258+T258+U258,"")</x:f>
        <x:v>17150</x:v>
      </x:c>
      <x:c r="W258" s="203" t="n">
        <x:f>IFERROR(H258/(1+Anyag_Beallitasok!$B$2)*Anyag_Beallitasok!$B$9,"")</x:f>
        <x:v>11904.761904761905</x:v>
      </x:c>
      <x:c r="X258" s="203" t="n">
        <x:f>IFERROR(V258/((1-Anyag_Beallitasok!$B$3)*(1+Anyag_Beallitasok!$B$2)),"")</x:f>
        <x:v>25128.205128205125</x:v>
      </x:c>
      <x:c r="Y258" s="203" t="n">
        <x:f>IFERROR(V258/((1-Anyag_Beallitasok!$B$4)*(1+Anyag_Beallitasok!$B$2)),"")</x:f>
        <x:v>32666.666666666664</x:v>
      </x:c>
      <x:c r="Z258" s="203" t="n">
        <x:f>IFERROR(ROUNDUP(MAX(W258,X258)/Anyag_Beallitasok!$B$6,0)*Anyag_Beallitasok!$B$6,"")</x:f>
        <x:v>25150</x:v>
      </x:c>
      <x:c r="AA258" s="204" t="n">
        <x:f>Anyag_Beallitasok!$B$2</x:f>
        <x:v>0.05</x:v>
      </x:c>
      <x:c r="AB258" s="203" t="n">
        <x:f>IFERROR(Z258*(1+AA258),"")</x:f>
        <x:v>26407.5</x:v>
      </x:c>
      <x:c r="AC258" s="204" t="n">
        <x:f>IFERROR(1-V258/H258,"")</x:f>
        <x:v>-0.3720000000000001</x:v>
      </x:c>
      <x:c r="AD258" s="204" t="n">
        <x:f>IFERROR(1-V258/AB258,"")</x:f>
        <x:v>0.3505632869449967</x:v>
      </x:c>
      <x:c r="AE258" s="19" t="str">
        <x:f>IF(AC258&lt;Anyag_Beallitasok!$B$3,"NEM ÉRI EL A 35%-OT",IF(AC258&lt;Anyag_Beallitasok!$B$4,"MINIMUM 35–49,9%",IF(AC258&lt;Anyag_Beallitasok!$B$5,"IDEÁLIS 50–59,9%","KIEMELKEDŐ ≥60%")))</x:f>
        <x:v>NEM ÉRI EL A 35%-OT</x:v>
      </x:c>
      <x:c r="AF258" s="204" t="n">
        <x:f>IFERROR(AB258/H258-1,"")</x:f>
        <x:v>1.1126</x:v>
      </x:c>
      <x:c r="AG258" s="19" t="str">
        <x:f>IF(AND(P258="IGEN",O258&gt;0),IF(AF258&gt;Anyag_Beallitasok!$B$10,"0%-OS SZÁMLA + ÖNADÓZÁS; FELÁR SZÜKSÉGES","0%-OS SZÁMLA + ÖNADÓZÁS"),IF(AF258&gt;Anyag_Beallitasok!$B$10,"FELÁR SZÜKSÉGES A 35%-HOZ",IF(AC258&lt;Anyag_Beallitasok!$B$3,"PIACI ÁRON NEM TARTHATÓ A 35%","OK")))</x:f>
        <x:v>FELÁR SZÜKSÉGES A 35%-HOZ</x:v>
      </x:c>
      <x:c r="AH258" s="207" t="n">
        <x:v>35</x:v>
      </x:c>
      <x:c r="AI258" s="207" t="n">
        <x:v>35</x:v>
      </x:c>
      <x:c r="AJ258" s="207" t="n">
        <x:v>35</x:v>
      </x:c>
      <x:c r="AK258" s="208"/>
      <x:c r="AL258" s="203" t="str">
        <x:f>IF(AK258="","",V258*AK258)</x:f>
      </x:c>
      <x:c r="AM258" s="203" t="str">
        <x:f>IF(AK258="","",AB258*AK258)</x:f>
      </x:c>
      <x:c r="AN258" s="204" t="str">
        <x:f>IFERROR(1-AL258/AM258,"")</x:f>
      </x:c>
      <x:c r="AO258" s="19" t="str">
        <x:v>https://intermetal.hu/arlistak/szallitasi-dijak</x:v>
      </x:c>
      <x:c r="AP258" s="19" t="str">
        <x:v>2026 piaci becslés</x:v>
      </x:c>
      <x:c r="AQ258" s="19" t="str"/>
    </x:row>
    <x:row r="259">
      <x:c r="A259" s="19" t="str">
        <x:v>ANY-0258</x:v>
      </x:c>
      <x:c r="B259" s="19" t="str">
        <x:v>15 Külső munkák</x:v>
      </x:c>
      <x:c r="C259" s="19" t="str">
        <x:v>Térburkolat, kerítés, kert</x:v>
      </x:c>
      <x:c r="D259" s="19" t="str">
        <x:v>Mindegyik</x:v>
      </x:c>
      <x:c r="E259" s="19" t="str">
        <x:v>Fűmag</x:v>
      </x:c>
      <x:c r="F259" s="19" t="str">
        <x:v>sport/park keverék</x:v>
      </x:c>
      <x:c r="G259" s="19" t="str">
        <x:v>kg</x:v>
      </x:c>
      <x:c r="H259" s="203" t="n">
        <x:v>3200</x:v>
      </x:c>
      <x:c r="I259" s="204" t="n">
        <x:v>0.27</x:v>
      </x:c>
      <x:c r="J259" s="203" t="n">
        <x:f>IFERROR(H259/(1+I259),"")</x:f>
        <x:v>2519.685039370079</x:v>
      </x:c>
      <x:c r="K259" s="205" t="n">
        <x:v>0.15</x:v>
      </x:c>
      <x:c r="L259" s="203" t="n">
        <x:f>IFERROR(J259*(1-K259),"")</x:f>
        <x:v>2141.732283464567</x:v>
      </x:c>
      <x:c r="M259" s="19" t="str">
        <x:v>27% normál belföldi</x:v>
      </x:c>
      <x:c r="N259" s="204" t="n">
        <x:v>0.27</x:v>
      </x:c>
      <x:c r="O259" s="204" t="n">
        <x:v>0</x:v>
      </x:c>
      <x:c r="P259" s="19" t="str">
        <x:v>NEM</x:v>
      </x:c>
      <x:c r="Q259" s="203" t="n">
        <x:f>IFERROR(L259*(1+N259),"")</x:f>
        <x:v>2720</x:v>
      </x:c>
      <x:c r="R259" s="205" t="n">
        <x:v>0.1</x:v>
      </x:c>
      <x:c r="S259" s="203" t="n">
        <x:f>IFERROR(Q259*(1+R259),"")</x:f>
        <x:v>2992.0000000000005</x:v>
      </x:c>
      <x:c r="T259" s="206" t="n">
        <x:v>80</x:v>
      </x:c>
      <x:c r="U259" s="206" t="n">
        <x:v>0</x:v>
      </x:c>
      <x:c r="V259" s="203" t="n">
        <x:f>IFERROR(S259+T259+U259,"")</x:f>
        <x:v>3072.0000000000005</x:v>
      </x:c>
      <x:c r="W259" s="203" t="n">
        <x:f>IFERROR(H259/(1+Anyag_Beallitasok!$B$2)*Anyag_Beallitasok!$B$9,"")</x:f>
        <x:v>3047.6190476190477</x:v>
      </x:c>
      <x:c r="X259" s="203" t="n">
        <x:f>IFERROR(V259/((1-Anyag_Beallitasok!$B$3)*(1+Anyag_Beallitasok!$B$2)),"")</x:f>
        <x:v>4501.0989010989015</x:v>
      </x:c>
      <x:c r="Y259" s="203" t="n">
        <x:f>IFERROR(V259/((1-Anyag_Beallitasok!$B$4)*(1+Anyag_Beallitasok!$B$2)),"")</x:f>
        <x:v>5851.4285714285725</x:v>
      </x:c>
      <x:c r="Z259" s="203" t="n">
        <x:f>IFERROR(ROUNDUP(MAX(W259,X259)/Anyag_Beallitasok!$B$6,0)*Anyag_Beallitasok!$B$6,"")</x:f>
        <x:v>4550</x:v>
      </x:c>
      <x:c r="AA259" s="204" t="n">
        <x:f>Anyag_Beallitasok!$B$2</x:f>
        <x:v>0.05</x:v>
      </x:c>
      <x:c r="AB259" s="203" t="n">
        <x:f>IFERROR(Z259*(1+AA259),"")</x:f>
        <x:v>4777.5</x:v>
      </x:c>
      <x:c r="AC259" s="204" t="n">
        <x:f>IFERROR(1-V259/H259,"")</x:f>
        <x:v>0.039999999999999813</x:v>
      </x:c>
      <x:c r="AD259" s="204" t="n">
        <x:f>IFERROR(1-V259/AB259,"")</x:f>
        <x:v>0.35698587127158543</x:v>
      </x:c>
      <x:c r="AE259" s="19" t="str">
        <x:f>IF(AC259&lt;Anyag_Beallitasok!$B$3,"NEM ÉRI EL A 35%-OT",IF(AC259&lt;Anyag_Beallitasok!$B$4,"MINIMUM 35–49,9%",IF(AC259&lt;Anyag_Beallitasok!$B$5,"IDEÁLIS 50–59,9%","KIEMELKEDŐ ≥60%")))</x:f>
        <x:v>NEM ÉRI EL A 35%-OT</x:v>
      </x:c>
      <x:c r="AF259" s="204" t="n">
        <x:f>IFERROR(AB259/H259-1,"")</x:f>
        <x:v>0.49296874999999996</x:v>
      </x:c>
      <x:c r="AG259" s="19" t="str">
        <x:f>IF(AND(P259="IGEN",O259&gt;0),IF(AF259&gt;Anyag_Beallitasok!$B$10,"0%-OS SZÁMLA + ÖNADÓZÁS; FELÁR SZÜKSÉGES","0%-OS SZÁMLA + ÖNADÓZÁS"),IF(AF259&gt;Anyag_Beallitasok!$B$10,"FELÁR SZÜKSÉGES A 35%-HOZ",IF(AC259&lt;Anyag_Beallitasok!$B$3,"PIACI ÁRON NEM TARTHATÓ A 35%","OK")))</x:f>
        <x:v>FELÁR SZÜKSÉGES A 35%-HOZ</x:v>
      </x:c>
      <x:c r="AH259" s="207" t="n">
        <x:v>25</x:v>
      </x:c>
      <x:c r="AI259" s="207" t="n">
        <x:v>25</x:v>
      </x:c>
      <x:c r="AJ259" s="207" t="n">
        <x:v>25</x:v>
      </x:c>
      <x:c r="AK259" s="208"/>
      <x:c r="AL259" s="203" t="str">
        <x:f>IF(AK259="","",V259*AK259)</x:f>
      </x:c>
      <x:c r="AM259" s="203" t="str">
        <x:f>IF(AK259="","",AB259*AK259)</x:f>
      </x:c>
      <x:c r="AN259" s="204" t="str">
        <x:f>IFERROR(1-AL259/AM259,"")</x:f>
      </x:c>
      <x:c r="AO259" s="19" t="str">
        <x:v>https://www.obi.hu/festekek-lakkok/belteri-falfestekek/c/2979</x:v>
      </x:c>
      <x:c r="AP259" s="19" t="str">
        <x:v>2026 piaci becslés</x:v>
      </x:c>
      <x:c r="AQ259" s="19" t="str"/>
    </x:row>
    <x:row r="260">
      <x:c r="A260" s="19" t="str">
        <x:v>ANY-0259</x:v>
      </x:c>
      <x:c r="B260" s="19" t="str">
        <x:v>15 Külső munkák</x:v>
      </x:c>
      <x:c r="C260" s="19" t="str">
        <x:v>Térburkolat, kerítés, kert</x:v>
      </x:c>
      <x:c r="D260" s="19" t="str">
        <x:v>Mindegyik</x:v>
      </x:c>
      <x:c r="E260" s="19" t="str">
        <x:v>Öntöző PE cső 25 mm</x:v>
      </x:c>
      <x:c r="F260" s="19" t="str">
        <x:v>KPE</x:v>
      </x:c>
      <x:c r="G260" s="19" t="str">
        <x:v>fm</x:v>
      </x:c>
      <x:c r="H260" s="203" t="n">
        <x:v>450</x:v>
      </x:c>
      <x:c r="I260" s="204" t="n">
        <x:v>0.27</x:v>
      </x:c>
      <x:c r="J260" s="203" t="n">
        <x:f>IFERROR(H260/(1+I260),"")</x:f>
        <x:v>354.3307086614173</x:v>
      </x:c>
      <x:c r="K260" s="205" t="n">
        <x:v>0.22</x:v>
      </x:c>
      <x:c r="L260" s="203" t="n">
        <x:f>IFERROR(J260*(1-K260),"")</x:f>
        <x:v>276.3779527559055</x:v>
      </x:c>
      <x:c r="M260" s="19" t="str">
        <x:v>27% normál belföldi</x:v>
      </x:c>
      <x:c r="N260" s="204" t="n">
        <x:v>0.27</x:v>
      </x:c>
      <x:c r="O260" s="204" t="n">
        <x:v>0</x:v>
      </x:c>
      <x:c r="P260" s="19" t="str">
        <x:v>NEM</x:v>
      </x:c>
      <x:c r="Q260" s="203" t="n">
        <x:f>IFERROR(L260*(1+N260),"")</x:f>
        <x:v>350.99999999999994</x:v>
      </x:c>
      <x:c r="R260" s="205" t="n">
        <x:v>0.08</x:v>
      </x:c>
      <x:c r="S260" s="203" t="n">
        <x:f>IFERROR(Q260*(1+R260),"")</x:f>
        <x:v>379.08</x:v>
      </x:c>
      <x:c r="T260" s="206" t="n">
        <x:v>15</x:v>
      </x:c>
      <x:c r="U260" s="206" t="n">
        <x:v>0</x:v>
      </x:c>
      <x:c r="V260" s="203" t="n">
        <x:f>IFERROR(S260+T260+U260,"")</x:f>
        <x:v>394.08</x:v>
      </x:c>
      <x:c r="W260" s="203" t="n">
        <x:f>IFERROR(H260/(1+Anyag_Beallitasok!$B$2)*Anyag_Beallitasok!$B$9,"")</x:f>
        <x:v>428.57142857142856</x:v>
      </x:c>
      <x:c r="X260" s="203" t="n">
        <x:f>IFERROR(V260/((1-Anyag_Beallitasok!$B$3)*(1+Anyag_Beallitasok!$B$2)),"")</x:f>
        <x:v>577.4065934065933</x:v>
      </x:c>
      <x:c r="Y260" s="203" t="n">
        <x:f>IFERROR(V260/((1-Anyag_Beallitasok!$B$4)*(1+Anyag_Beallitasok!$B$2)),"")</x:f>
        <x:v>750.6285714285714</x:v>
      </x:c>
      <x:c r="Z260" s="203" t="n">
        <x:f>IFERROR(ROUNDUP(MAX(W260,X260)/Anyag_Beallitasok!$B$6,0)*Anyag_Beallitasok!$B$6,"")</x:f>
        <x:v>600</x:v>
      </x:c>
      <x:c r="AA260" s="204" t="n">
        <x:f>Anyag_Beallitasok!$B$2</x:f>
        <x:v>0.05</x:v>
      </x:c>
      <x:c r="AB260" s="203" t="n">
        <x:f>IFERROR(Z260*(1+AA260),"")</x:f>
        <x:v>630</x:v>
      </x:c>
      <x:c r="AC260" s="204" t="n">
        <x:f>IFERROR(1-V260/H260,"")</x:f>
        <x:v>0.12426666666666675</x:v>
      </x:c>
      <x:c r="AD260" s="204" t="n">
        <x:f>IFERROR(1-V260/AB260,"")</x:f>
        <x:v>0.3744761904761905</x:v>
      </x:c>
      <x:c r="AE260" s="19" t="str">
        <x:f>IF(AC260&lt;Anyag_Beallitasok!$B$3,"NEM ÉRI EL A 35%-OT",IF(AC260&lt;Anyag_Beallitasok!$B$4,"MINIMUM 35–49,9%",IF(AC260&lt;Anyag_Beallitasok!$B$5,"IDEÁLIS 50–59,9%","KIEMELKEDŐ ≥60%")))</x:f>
        <x:v>NEM ÉRI EL A 35%-OT</x:v>
      </x:c>
      <x:c r="AF260" s="204" t="n">
        <x:f>IFERROR(AB260/H260-1,"")</x:f>
        <x:v>0.3999999999999999</x:v>
      </x:c>
      <x:c r="AG260" s="19" t="str">
        <x:f>IF(AND(P260="IGEN",O260&gt;0),IF(AF260&gt;Anyag_Beallitasok!$B$10,"0%-OS SZÁMLA + ÖNADÓZÁS; FELÁR SZÜKSÉGES","0%-OS SZÁMLA + ÖNADÓZÁS"),IF(AF260&gt;Anyag_Beallitasok!$B$10,"FELÁR SZÜKSÉGES A 35%-HOZ",IF(AC260&lt;Anyag_Beallitasok!$B$3,"PIACI ÁRON NEM TARTHATÓ A 35%","OK")))</x:f>
        <x:v>FELÁR SZÜKSÉGES A 35%-HOZ</x:v>
      </x:c>
      <x:c r="AH260" s="207" t="n">
        <x:v>200</x:v>
      </x:c>
      <x:c r="AI260" s="207" t="n">
        <x:v>200</x:v>
      </x:c>
      <x:c r="AJ260" s="207" t="n">
        <x:v>200</x:v>
      </x:c>
      <x:c r="AK260" s="208"/>
      <x:c r="AL260" s="203" t="str">
        <x:f>IF(AK260="","",V260*AK260)</x:f>
      </x:c>
      <x:c r="AM260" s="203" t="str">
        <x:f>IF(AK260="","",AB260*AK260)</x:f>
      </x:c>
      <x:c r="AN260" s="204" t="str">
        <x:f>IFERROR(1-AL260/AM260,"")</x:f>
      </x:c>
      <x:c r="AO260" s="19" t="str">
        <x:v>https://www.argep.hu/trend/16OE/16-oetretegue-csoe-ar.html</x:v>
      </x:c>
      <x:c r="AP260" s="19" t="str">
        <x:v>2026 piaci becslés</x:v>
      </x:c>
      <x:c r="AQ260" s="19" t="str"/>
    </x:row>
    <x:row r="261">
      <x:c r="A261" s="19" t="str">
        <x:v>ANY-0260</x:v>
      </x:c>
      <x:c r="B261" s="19" t="str">
        <x:v>15 Külső munkák</x:v>
      </x:c>
      <x:c r="C261" s="19" t="str">
        <x:v>Térburkolat, kerítés, kert</x:v>
      </x:c>
      <x:c r="D261" s="19" t="str">
        <x:v>Mindegyik</x:v>
      </x:c>
      <x:c r="E261" s="19" t="str">
        <x:v>Öntöző szórófej</x:v>
      </x:c>
      <x:c r="F261" s="19" t="str">
        <x:v>rotoros/spray átlag</x:v>
      </x:c>
      <x:c r="G261" s="19" t="str">
        <x:v>db</x:v>
      </x:c>
      <x:c r="H261" s="203" t="n">
        <x:v>8500</x:v>
      </x:c>
      <x:c r="I261" s="204" t="n">
        <x:v>0.27</x:v>
      </x:c>
      <x:c r="J261" s="203" t="n">
        <x:f>IFERROR(H261/(1+I261),"")</x:f>
        <x:v>6692.913385826771</x:v>
      </x:c>
      <x:c r="K261" s="205" t="n">
        <x:v>0.22</x:v>
      </x:c>
      <x:c r="L261" s="203" t="n">
        <x:f>IFERROR(J261*(1-K261),"")</x:f>
        <x:v>5220.472440944882</x:v>
      </x:c>
      <x:c r="M261" s="19" t="str">
        <x:v>27% normál belföldi</x:v>
      </x:c>
      <x:c r="N261" s="204" t="n">
        <x:v>0.27</x:v>
      </x:c>
      <x:c r="O261" s="204" t="n">
        <x:v>0</x:v>
      </x:c>
      <x:c r="P261" s="19" t="str">
        <x:v>NEM</x:v>
      </x:c>
      <x:c r="Q261" s="203" t="n">
        <x:f>IFERROR(L261*(1+N261),"")</x:f>
        <x:v>6630</x:v>
      </x:c>
      <x:c r="R261" s="205" t="n">
        <x:v>0.03</x:v>
      </x:c>
      <x:c r="S261" s="203" t="n">
        <x:f>IFERROR(Q261*(1+R261),"")</x:f>
        <x:v>6828.900000000001</x:v>
      </x:c>
      <x:c r="T261" s="206" t="n">
        <x:v>100</x:v>
      </x:c>
      <x:c r="U261" s="206" t="n">
        <x:v>0</x:v>
      </x:c>
      <x:c r="V261" s="203" t="n">
        <x:f>IFERROR(S261+T261+U261,"")</x:f>
        <x:v>6928.900000000001</x:v>
      </x:c>
      <x:c r="W261" s="203" t="n">
        <x:f>IFERROR(H261/(1+Anyag_Beallitasok!$B$2)*Anyag_Beallitasok!$B$9,"")</x:f>
        <x:v>8095.2380952380945</x:v>
      </x:c>
      <x:c r="X261" s="203" t="n">
        <x:f>IFERROR(V261/((1-Anyag_Beallitasok!$B$3)*(1+Anyag_Beallitasok!$B$2)),"")</x:f>
        <x:v>10152.23443223443</x:v>
      </x:c>
      <x:c r="Y261" s="203" t="n">
        <x:f>IFERROR(V261/((1-Anyag_Beallitasok!$B$4)*(1+Anyag_Beallitasok!$B$2)),"")</x:f>
        <x:v>13197.904761904763</x:v>
      </x:c>
      <x:c r="Z261" s="203" t="n">
        <x:f>IFERROR(ROUNDUP(MAX(W261,X261)/Anyag_Beallitasok!$B$6,0)*Anyag_Beallitasok!$B$6,"")</x:f>
        <x:v>10200</x:v>
      </x:c>
      <x:c r="AA261" s="204" t="n">
        <x:f>Anyag_Beallitasok!$B$2</x:f>
        <x:v>0.05</x:v>
      </x:c>
      <x:c r="AB261" s="203" t="n">
        <x:f>IFERROR(Z261*(1+AA261),"")</x:f>
        <x:v>10710</x:v>
      </x:c>
      <x:c r="AC261" s="204" t="n">
        <x:f>IFERROR(1-V261/H261,"")</x:f>
        <x:v>0.184835294117647</x:v>
      </x:c>
      <x:c r="AD261" s="204" t="n">
        <x:f>IFERROR(1-V261/AB261,"")</x:f>
        <x:v>0.3530438842203547</x:v>
      </x:c>
      <x:c r="AE261" s="19" t="str">
        <x:f>IF(AC261&lt;Anyag_Beallitasok!$B$3,"NEM ÉRI EL A 35%-OT",IF(AC261&lt;Anyag_Beallitasok!$B$4,"MINIMUM 35–49,9%",IF(AC261&lt;Anyag_Beallitasok!$B$5,"IDEÁLIS 50–59,9%","KIEMELKEDŐ ≥60%")))</x:f>
        <x:v>NEM ÉRI EL A 35%-OT</x:v>
      </x:c>
      <x:c r="AF261" s="204" t="n">
        <x:f>IFERROR(AB261/H261-1,"")</x:f>
        <x:v>0.26</x:v>
      </x:c>
      <x:c r="AG261" s="19" t="str">
        <x:f>IF(AND(P261="IGEN",O261&gt;0),IF(AF261&gt;Anyag_Beallitasok!$B$10,"0%-OS SZÁMLA + ÖNADÓZÁS; FELÁR SZÜKSÉGES","0%-OS SZÁMLA + ÖNADÓZÁS"),IF(AF261&gt;Anyag_Beallitasok!$B$10,"FELÁR SZÜKSÉGES A 35%-HOZ",IF(AC261&lt;Anyag_Beallitasok!$B$3,"PIACI ÁRON NEM TARTHATÓ A 35%","OK")))</x:f>
        <x:v>FELÁR SZÜKSÉGES A 35%-HOZ</x:v>
      </x:c>
      <x:c r="AH261" s="207" t="n">
        <x:v>20</x:v>
      </x:c>
      <x:c r="AI261" s="207" t="n">
        <x:v>20</x:v>
      </x:c>
      <x:c r="AJ261" s="207" t="n">
        <x:v>20</x:v>
      </x:c>
      <x:c r="AK261" s="208"/>
      <x:c r="AL261" s="203" t="str">
        <x:f>IF(AK261="","",V261*AK261)</x:f>
      </x:c>
      <x:c r="AM261" s="203" t="str">
        <x:f>IF(AK261="","",AB261*AK261)</x:f>
      </x:c>
      <x:c r="AN261" s="204" t="str">
        <x:f>IFERROR(1-AL261/AM261,"")</x:f>
      </x:c>
      <x:c r="AO261" s="19" t="str">
        <x:v>https://www.argep.hu/trend/16OE/16-oetretegue-csoe-ar.html</x:v>
      </x:c>
      <x:c r="AP261" s="19" t="str">
        <x:v>2026 piaci becslés</x:v>
      </x:c>
      <x:c r="AQ261" s="19" t="str"/>
    </x:row>
    <x:row r="262">
      <x:c r="A262" s="19" t="str">
        <x:v>ANY-0261</x:v>
      </x:c>
      <x:c r="B262" s="19" t="str">
        <x:v>16 Gép, logisztika, hulladék</x:v>
      </x:c>
      <x:c r="C262" s="19" t="str">
        <x:v>Bérlet, szállítás, konténer, mobil WC</x:v>
      </x:c>
      <x:c r="D262" s="19" t="str">
        <x:v>Mindegyik</x:v>
      </x:c>
      <x:c r="E262" s="19" t="str">
        <x:v>Lapvibrátor 60–110 kg bérlet</x:v>
      </x:c>
      <x:c r="F262" s="19" t="str">
        <x:v>napi díj</x:v>
      </x:c>
      <x:c r="G262" s="19" t="str">
        <x:v>nap</x:v>
      </x:c>
      <x:c r="H262" s="203" t="n">
        <x:v>8300</x:v>
      </x:c>
      <x:c r="I262" s="204" t="n">
        <x:v>0.27</x:v>
      </x:c>
      <x:c r="J262" s="203" t="n">
        <x:f>IFERROR(H262/(1+I262),"")</x:f>
        <x:v>6535.433070866142</x:v>
      </x:c>
      <x:c r="K262" s="205" t="n">
        <x:v>0.1</x:v>
      </x:c>
      <x:c r="L262" s="203" t="n">
        <x:f>IFERROR(J262*(1-K262),"")</x:f>
        <x:v>5881.889763779528</x:v>
      </x:c>
      <x:c r="M262" s="19" t="str">
        <x:v>27% normál belföldi</x:v>
      </x:c>
      <x:c r="N262" s="204" t="n">
        <x:v>0.27</x:v>
      </x:c>
      <x:c r="O262" s="204" t="n">
        <x:v>0</x:v>
      </x:c>
      <x:c r="P262" s="19" t="str">
        <x:v>NEM</x:v>
      </x:c>
      <x:c r="Q262" s="203" t="n">
        <x:f>IFERROR(L262*(1+N262),"")</x:f>
        <x:v>7470.000000000001</x:v>
      </x:c>
      <x:c r="R262" s="205" t="n">
        <x:v>0</x:v>
      </x:c>
      <x:c r="S262" s="203" t="n">
        <x:f>IFERROR(Q262*(1+R262),"")</x:f>
        <x:v>7470.000000000001</x:v>
      </x:c>
      <x:c r="T262" s="206" t="n">
        <x:v>1200</x:v>
      </x:c>
      <x:c r="U262" s="206" t="n">
        <x:v>0</x:v>
      </x:c>
      <x:c r="V262" s="203" t="n">
        <x:f>IFERROR(S262+T262+U262,"")</x:f>
        <x:v>8670</x:v>
      </x:c>
      <x:c r="W262" s="203" t="n">
        <x:f>IFERROR(H262/(1+Anyag_Beallitasok!$B$2)*Anyag_Beallitasok!$B$9,"")</x:f>
        <x:v>7904.761904761905</x:v>
      </x:c>
      <x:c r="X262" s="203" t="n">
        <x:f>IFERROR(V262/((1-Anyag_Beallitasok!$B$3)*(1+Anyag_Beallitasok!$B$2)),"")</x:f>
        <x:v>12703.2967032967</x:v>
      </x:c>
      <x:c r="Y262" s="203" t="n">
        <x:f>IFERROR(V262/((1-Anyag_Beallitasok!$B$4)*(1+Anyag_Beallitasok!$B$2)),"")</x:f>
        <x:v>16514.285714285714</x:v>
      </x:c>
      <x:c r="Z262" s="203" t="n">
        <x:f>IFERROR(ROUNDUP(MAX(W262,X262)/Anyag_Beallitasok!$B$6,0)*Anyag_Beallitasok!$B$6,"")</x:f>
        <x:v>12750</x:v>
      </x:c>
      <x:c r="AA262" s="204" t="n">
        <x:f>Anyag_Beallitasok!$B$2</x:f>
        <x:v>0.05</x:v>
      </x:c>
      <x:c r="AB262" s="203" t="n">
        <x:f>IFERROR(Z262*(1+AA262),"")</x:f>
        <x:v>13387.5</x:v>
      </x:c>
      <x:c r="AC262" s="204" t="n">
        <x:f>IFERROR(1-V262/H262,"")</x:f>
        <x:v>-0.04457831325301198</x:v>
      </x:c>
      <x:c r="AD262" s="204" t="n">
        <x:f>IFERROR(1-V262/AB262,"")</x:f>
        <x:v>0.35238095238095235</x:v>
      </x:c>
      <x:c r="AE262" s="19" t="str">
        <x:f>IF(AC262&lt;Anyag_Beallitasok!$B$3,"NEM ÉRI EL A 35%-OT",IF(AC262&lt;Anyag_Beallitasok!$B$4,"MINIMUM 35–49,9%",IF(AC262&lt;Anyag_Beallitasok!$B$5,"IDEÁLIS 50–59,9%","KIEMELKEDŐ ≥60%")))</x:f>
        <x:v>NEM ÉRI EL A 35%-OT</x:v>
      </x:c>
      <x:c r="AF262" s="204" t="n">
        <x:f>IFERROR(AB262/H262-1,"")</x:f>
        <x:v>0.6129518072289157</x:v>
      </x:c>
      <x:c r="AG262" s="19" t="str">
        <x:f>IF(AND(P262="IGEN",O262&gt;0),IF(AF262&gt;Anyag_Beallitasok!$B$10,"0%-OS SZÁMLA + ÖNADÓZÁS; FELÁR SZÜKSÉGES","0%-OS SZÁMLA + ÖNADÓZÁS"),IF(AF262&gt;Anyag_Beallitasok!$B$10,"FELÁR SZÜKSÉGES A 35%-HOZ",IF(AC262&lt;Anyag_Beallitasok!$B$3,"PIACI ÁRON NEM TARTHATÓ A 35%","OK")))</x:f>
        <x:v>FELÁR SZÜKSÉGES A 35%-HOZ</x:v>
      </x:c>
      <x:c r="AH262" s="207" t="n">
        <x:v>8</x:v>
      </x:c>
      <x:c r="AI262" s="207" t="n">
        <x:v>8</x:v>
      </x:c>
      <x:c r="AJ262" s="207" t="n">
        <x:v>8</x:v>
      </x:c>
      <x:c r="AK262" s="208"/>
      <x:c r="AL262" s="203" t="str">
        <x:f>IF(AK262="","",V262*AK262)</x:f>
      </x:c>
      <x:c r="AM262" s="203" t="str">
        <x:f>IF(AK262="","",AB262*AK262)</x:f>
      </x:c>
      <x:c r="AN262" s="204" t="str">
        <x:f>IFERROR(1-AL262/AM262,"")</x:f>
      </x:c>
      <x:c r="AO262" s="19" t="str">
        <x:v>https://www.gladiator-gepkolcsonzo.hu/</x:v>
      </x:c>
      <x:c r="AP262" s="19" t="str">
        <x:v>Közvetlen 2026 webár</x:v>
      </x:c>
      <x:c r="AQ262" s="19" t="str">
        <x:v>Üzemanyag külön.</x:v>
      </x:c>
    </x:row>
    <x:row r="263">
      <x:c r="A263" s="19" t="str">
        <x:v>ANY-0262</x:v>
      </x:c>
      <x:c r="B263" s="19" t="str">
        <x:v>16 Gép, logisztika, hulladék</x:v>
      </x:c>
      <x:c r="C263" s="19" t="str">
        <x:v>Bérlet, szállítás, konténer, mobil WC</x:v>
      </x:c>
      <x:c r="D263" s="19" t="str">
        <x:v>Mindegyik</x:v>
      </x:c>
      <x:c r="E263" s="19" t="str">
        <x:v>Döngölőbéka bérlet</x:v>
      </x:c>
      <x:c r="F263" s="19" t="str">
        <x:v>napi díj</x:v>
      </x:c>
      <x:c r="G263" s="19" t="str">
        <x:v>nap</x:v>
      </x:c>
      <x:c r="H263" s="203" t="n">
        <x:v>9000</x:v>
      </x:c>
      <x:c r="I263" s="204" t="n">
        <x:v>0.27</x:v>
      </x:c>
      <x:c r="J263" s="203" t="n">
        <x:f>IFERROR(H263/(1+I263),"")</x:f>
        <x:v>7086.614173228347</x:v>
      </x:c>
      <x:c r="K263" s="205" t="n">
        <x:v>0.1</x:v>
      </x:c>
      <x:c r="L263" s="203" t="n">
        <x:f>IFERROR(J263*(1-K263),"")</x:f>
        <x:v>6377.952755905512</x:v>
      </x:c>
      <x:c r="M263" s="19" t="str">
        <x:v>27% normál belföldi</x:v>
      </x:c>
      <x:c r="N263" s="204" t="n">
        <x:v>0.27</x:v>
      </x:c>
      <x:c r="O263" s="204" t="n">
        <x:v>0</x:v>
      </x:c>
      <x:c r="P263" s="19" t="str">
        <x:v>NEM</x:v>
      </x:c>
      <x:c r="Q263" s="203" t="n">
        <x:f>IFERROR(L263*(1+N263),"")</x:f>
        <x:v>8100.000000000001</x:v>
      </x:c>
      <x:c r="R263" s="205" t="n">
        <x:v>0</x:v>
      </x:c>
      <x:c r="S263" s="203" t="n">
        <x:f>IFERROR(Q263*(1+R263),"")</x:f>
        <x:v>8100.000000000001</x:v>
      </x:c>
      <x:c r="T263" s="206" t="n">
        <x:v>1200</x:v>
      </x:c>
      <x:c r="U263" s="206" t="n">
        <x:v>0</x:v>
      </x:c>
      <x:c r="V263" s="203" t="n">
        <x:f>IFERROR(S263+T263+U263,"")</x:f>
        <x:v>9300</x:v>
      </x:c>
      <x:c r="W263" s="203" t="n">
        <x:f>IFERROR(H263/(1+Anyag_Beallitasok!$B$2)*Anyag_Beallitasok!$B$9,"")</x:f>
        <x:v>8571.42857142857</x:v>
      </x:c>
      <x:c r="X263" s="203" t="n">
        <x:f>IFERROR(V263/((1-Anyag_Beallitasok!$B$3)*(1+Anyag_Beallitasok!$B$2)),"")</x:f>
        <x:v>13626.373626373625</x:v>
      </x:c>
      <x:c r="Y263" s="203" t="n">
        <x:f>IFERROR(V263/((1-Anyag_Beallitasok!$B$4)*(1+Anyag_Beallitasok!$B$2)),"")</x:f>
        <x:v>17714.285714285714</x:v>
      </x:c>
      <x:c r="Z263" s="203" t="n">
        <x:f>IFERROR(ROUNDUP(MAX(W263,X263)/Anyag_Beallitasok!$B$6,0)*Anyag_Beallitasok!$B$6,"")</x:f>
        <x:v>13650</x:v>
      </x:c>
      <x:c r="AA263" s="204" t="n">
        <x:f>Anyag_Beallitasok!$B$2</x:f>
        <x:v>0.05</x:v>
      </x:c>
      <x:c r="AB263" s="203" t="n">
        <x:f>IFERROR(Z263*(1+AA263),"")</x:f>
        <x:v>14332.5</x:v>
      </x:c>
      <x:c r="AC263" s="204" t="n">
        <x:f>IFERROR(1-V263/H263,"")</x:f>
        <x:v>-0.03333333333333344</x:v>
      </x:c>
      <x:c r="AD263" s="204" t="n">
        <x:f>IFERROR(1-V263/AB263,"")</x:f>
        <x:v>0.3511250654107797</x:v>
      </x:c>
      <x:c r="AE263" s="19" t="str">
        <x:f>IF(AC263&lt;Anyag_Beallitasok!$B$3,"NEM ÉRI EL A 35%-OT",IF(AC263&lt;Anyag_Beallitasok!$B$4,"MINIMUM 35–49,9%",IF(AC263&lt;Anyag_Beallitasok!$B$5,"IDEÁLIS 50–59,9%","KIEMELKEDŐ ≥60%")))</x:f>
        <x:v>NEM ÉRI EL A 35%-OT</x:v>
      </x:c>
      <x:c r="AF263" s="204" t="n">
        <x:f>IFERROR(AB263/H263-1,"")</x:f>
        <x:v>0.5925</x:v>
      </x:c>
      <x:c r="AG263" s="19" t="str">
        <x:f>IF(AND(P263="IGEN",O263&gt;0),IF(AF263&gt;Anyag_Beallitasok!$B$10,"0%-OS SZÁMLA + ÖNADÓZÁS; FELÁR SZÜKSÉGES","0%-OS SZÁMLA + ÖNADÓZÁS"),IF(AF263&gt;Anyag_Beallitasok!$B$10,"FELÁR SZÜKSÉGES A 35%-HOZ",IF(AC263&lt;Anyag_Beallitasok!$B$3,"PIACI ÁRON NEM TARTHATÓ A 35%","OK")))</x:f>
        <x:v>FELÁR SZÜKSÉGES A 35%-HOZ</x:v>
      </x:c>
      <x:c r="AH263" s="207" t="n">
        <x:v>5</x:v>
      </x:c>
      <x:c r="AI263" s="207" t="n">
        <x:v>5</x:v>
      </x:c>
      <x:c r="AJ263" s="207" t="n">
        <x:v>5</x:v>
      </x:c>
      <x:c r="AK263" s="208"/>
      <x:c r="AL263" s="203" t="str">
        <x:f>IF(AK263="","",V263*AK263)</x:f>
      </x:c>
      <x:c r="AM263" s="203" t="str">
        <x:f>IF(AK263="","",AB263*AK263)</x:f>
      </x:c>
      <x:c r="AN263" s="204" t="str">
        <x:f>IFERROR(1-AL263/AM263,"")</x:f>
      </x:c>
      <x:c r="AO263" s="19" t="str">
        <x:v>https://www.gladiator-gepkolcsonzo.hu/</x:v>
      </x:c>
      <x:c r="AP263" s="19" t="str">
        <x:v>Közvetlen 2026 webár</x:v>
      </x:c>
      <x:c r="AQ263" s="19" t="str">
        <x:v>Üzemanyag külön.</x:v>
      </x:c>
    </x:row>
    <x:row r="264">
      <x:c r="A264" s="19" t="str">
        <x:v>ANY-0263</x:v>
      </x:c>
      <x:c r="B264" s="19" t="str">
        <x:v>16 Gép, logisztika, hulladék</x:v>
      </x:c>
      <x:c r="C264" s="19" t="str">
        <x:v>Bérlet, szállítás, konténer, mobil WC</x:v>
      </x:c>
      <x:c r="D264" s="19" t="str">
        <x:v>Mindegyik</x:v>
      </x:c>
      <x:c r="E264" s="19" t="str">
        <x:v>Betonvibrátor bérlet</x:v>
      </x:c>
      <x:c r="F264" s="19" t="str">
        <x:v>napi díj</x:v>
      </x:c>
      <x:c r="G264" s="19" t="str">
        <x:v>nap</x:v>
      </x:c>
      <x:c r="H264" s="203" t="n">
        <x:v>5000</x:v>
      </x:c>
      <x:c r="I264" s="204" t="n">
        <x:v>0.27</x:v>
      </x:c>
      <x:c r="J264" s="203" t="n">
        <x:f>IFERROR(H264/(1+I264),"")</x:f>
        <x:v>3937.007874015748</x:v>
      </x:c>
      <x:c r="K264" s="205" t="n">
        <x:v>0.1</x:v>
      </x:c>
      <x:c r="L264" s="203" t="n">
        <x:f>IFERROR(J264*(1-K264),"")</x:f>
        <x:v>3543.307086614173</x:v>
      </x:c>
      <x:c r="M264" s="19" t="str">
        <x:v>27% normál belföldi</x:v>
      </x:c>
      <x:c r="N264" s="204" t="n">
        <x:v>0.27</x:v>
      </x:c>
      <x:c r="O264" s="204" t="n">
        <x:v>0</x:v>
      </x:c>
      <x:c r="P264" s="19" t="str">
        <x:v>NEM</x:v>
      </x:c>
      <x:c r="Q264" s="203" t="n">
        <x:f>IFERROR(L264*(1+N264),"")</x:f>
        <x:v>4500</x:v>
      </x:c>
      <x:c r="R264" s="205" t="n">
        <x:v>0</x:v>
      </x:c>
      <x:c r="S264" s="203" t="n">
        <x:f>IFERROR(Q264*(1+R264),"")</x:f>
        <x:v>4500</x:v>
      </x:c>
      <x:c r="T264" s="206" t="n">
        <x:v>800</x:v>
      </x:c>
      <x:c r="U264" s="206" t="n">
        <x:v>0</x:v>
      </x:c>
      <x:c r="V264" s="203" t="n">
        <x:f>IFERROR(S264+T264+U264,"")</x:f>
        <x:v>5300</x:v>
      </x:c>
      <x:c r="W264" s="203" t="n">
        <x:f>IFERROR(H264/(1+Anyag_Beallitasok!$B$2)*Anyag_Beallitasok!$B$9,"")</x:f>
        <x:v>4761.9047619047615</x:v>
      </x:c>
      <x:c r="X264" s="203" t="n">
        <x:f>IFERROR(V264/((1-Anyag_Beallitasok!$B$3)*(1+Anyag_Beallitasok!$B$2)),"")</x:f>
        <x:v>7765.567765567765</x:v>
      </x:c>
      <x:c r="Y264" s="203" t="n">
        <x:f>IFERROR(V264/((1-Anyag_Beallitasok!$B$4)*(1+Anyag_Beallitasok!$B$2)),"")</x:f>
        <x:v>10095.238095238095</x:v>
      </x:c>
      <x:c r="Z264" s="203" t="n">
        <x:f>IFERROR(ROUNDUP(MAX(W264,X264)/Anyag_Beallitasok!$B$6,0)*Anyag_Beallitasok!$B$6,"")</x:f>
        <x:v>7800</x:v>
      </x:c>
      <x:c r="AA264" s="204" t="n">
        <x:f>Anyag_Beallitasok!$B$2</x:f>
        <x:v>0.05</x:v>
      </x:c>
      <x:c r="AB264" s="203" t="n">
        <x:f>IFERROR(Z264*(1+AA264),"")</x:f>
        <x:v>8190</x:v>
      </x:c>
      <x:c r="AC264" s="204" t="n">
        <x:f>IFERROR(1-V264/H264,"")</x:f>
        <x:v>-0.06000000000000005</x:v>
      </x:c>
      <x:c r="AD264" s="204" t="n">
        <x:f>IFERROR(1-V264/AB264,"")</x:f>
        <x:v>0.35286935286935284</x:v>
      </x:c>
      <x:c r="AE264" s="19" t="str">
        <x:f>IF(AC264&lt;Anyag_Beallitasok!$B$3,"NEM ÉRI EL A 35%-OT",IF(AC264&lt;Anyag_Beallitasok!$B$4,"MINIMUM 35–49,9%",IF(AC264&lt;Anyag_Beallitasok!$B$5,"IDEÁLIS 50–59,9%","KIEMELKEDŐ ≥60%")))</x:f>
        <x:v>NEM ÉRI EL A 35%-OT</x:v>
      </x:c>
      <x:c r="AF264" s="204" t="n">
        <x:f>IFERROR(AB264/H264-1,"")</x:f>
        <x:v>0.6379999999999999</x:v>
      </x:c>
      <x:c r="AG264" s="19" t="str">
        <x:f>IF(AND(P264="IGEN",O264&gt;0),IF(AF264&gt;Anyag_Beallitasok!$B$10,"0%-OS SZÁMLA + ÖNADÓZÁS; FELÁR SZÜKSÉGES","0%-OS SZÁMLA + ÖNADÓZÁS"),IF(AF264&gt;Anyag_Beallitasok!$B$10,"FELÁR SZÜKSÉGES A 35%-HOZ",IF(AC264&lt;Anyag_Beallitasok!$B$3,"PIACI ÁRON NEM TARTHATÓ A 35%","OK")))</x:f>
        <x:v>FELÁR SZÜKSÉGES A 35%-HOZ</x:v>
      </x:c>
      <x:c r="AH264" s="207" t="n">
        <x:v>8</x:v>
      </x:c>
      <x:c r="AI264" s="207" t="n">
        <x:v>8</x:v>
      </x:c>
      <x:c r="AJ264" s="207" t="n">
        <x:v>8</x:v>
      </x:c>
      <x:c r="AK264" s="208"/>
      <x:c r="AL264" s="203" t="str">
        <x:f>IF(AK264="","",V264*AK264)</x:f>
      </x:c>
      <x:c r="AM264" s="203" t="str">
        <x:f>IF(AK264="","",AB264*AK264)</x:f>
      </x:c>
      <x:c r="AN264" s="204" t="str">
        <x:f>IFERROR(1-AL264/AM264,"")</x:f>
      </x:c>
      <x:c r="AO264" s="19" t="str">
        <x:v>https://juhaszkolcsonzo.hu/kolcsonozheto-gepek/</x:v>
      </x:c>
      <x:c r="AP264" s="19" t="str">
        <x:v>2026 piaci webár</x:v>
      </x:c>
      <x:c r="AQ264" s="19" t="str"/>
    </x:row>
    <x:row r="265">
      <x:c r="A265" s="19" t="str">
        <x:v>ANY-0264</x:v>
      </x:c>
      <x:c r="B265" s="19" t="str">
        <x:v>16 Gép, logisztika, hulladék</x:v>
      </x:c>
      <x:c r="C265" s="19" t="str">
        <x:v>Bérlet, szállítás, konténer, mobil WC</x:v>
      </x:c>
      <x:c r="D265" s="19" t="str">
        <x:v>Mindegyik</x:v>
      </x:c>
      <x:c r="E265" s="19" t="str">
        <x:v>Betonlehúzó vibrogerenda bérlet</x:v>
      </x:c>
      <x:c r="F265" s="19" t="str">
        <x:v>napi díj</x:v>
      </x:c>
      <x:c r="G265" s="19" t="str">
        <x:v>nap</x:v>
      </x:c>
      <x:c r="H265" s="203" t="n">
        <x:v>10000</x:v>
      </x:c>
      <x:c r="I265" s="204" t="n">
        <x:v>0.27</x:v>
      </x:c>
      <x:c r="J265" s="203" t="n">
        <x:f>IFERROR(H265/(1+I265),"")</x:f>
        <x:v>7874.015748031496</x:v>
      </x:c>
      <x:c r="K265" s="205" t="n">
        <x:v>0.1</x:v>
      </x:c>
      <x:c r="L265" s="203" t="n">
        <x:f>IFERROR(J265*(1-K265),"")</x:f>
        <x:v>7086.614173228346</x:v>
      </x:c>
      <x:c r="M265" s="19" t="str">
        <x:v>27% normál belföldi</x:v>
      </x:c>
      <x:c r="N265" s="204" t="n">
        <x:v>0.27</x:v>
      </x:c>
      <x:c r="O265" s="204" t="n">
        <x:v>0</x:v>
      </x:c>
      <x:c r="P265" s="19" t="str">
        <x:v>NEM</x:v>
      </x:c>
      <x:c r="Q265" s="203" t="n">
        <x:f>IFERROR(L265*(1+N265),"")</x:f>
        <x:v>9000</x:v>
      </x:c>
      <x:c r="R265" s="205" t="n">
        <x:v>0</x:v>
      </x:c>
      <x:c r="S265" s="203" t="n">
        <x:f>IFERROR(Q265*(1+R265),"")</x:f>
        <x:v>9000</x:v>
      </x:c>
      <x:c r="T265" s="206" t="n">
        <x:v>1200</x:v>
      </x:c>
      <x:c r="U265" s="206" t="n">
        <x:v>0</x:v>
      </x:c>
      <x:c r="V265" s="203" t="n">
        <x:f>IFERROR(S265+T265+U265,"")</x:f>
        <x:v>10200</x:v>
      </x:c>
      <x:c r="W265" s="203" t="n">
        <x:f>IFERROR(H265/(1+Anyag_Beallitasok!$B$2)*Anyag_Beallitasok!$B$9,"")</x:f>
        <x:v>9523.809523809523</x:v>
      </x:c>
      <x:c r="X265" s="203" t="n">
        <x:f>IFERROR(V265/((1-Anyag_Beallitasok!$B$3)*(1+Anyag_Beallitasok!$B$2)),"")</x:f>
        <x:v>14945.054945054942</x:v>
      </x:c>
      <x:c r="Y265" s="203" t="n">
        <x:f>IFERROR(V265/((1-Anyag_Beallitasok!$B$4)*(1+Anyag_Beallitasok!$B$2)),"")</x:f>
        <x:v>19428.571428571428</x:v>
      </x:c>
      <x:c r="Z265" s="203" t="n">
        <x:f>IFERROR(ROUNDUP(MAX(W265,X265)/Anyag_Beallitasok!$B$6,0)*Anyag_Beallitasok!$B$6,"")</x:f>
        <x:v>14950</x:v>
      </x:c>
      <x:c r="AA265" s="204" t="n">
        <x:f>Anyag_Beallitasok!$B$2</x:f>
        <x:v>0.05</x:v>
      </x:c>
      <x:c r="AB265" s="203" t="n">
        <x:f>IFERROR(Z265*(1+AA265),"")</x:f>
        <x:v>15697.5</x:v>
      </x:c>
      <x:c r="AC265" s="204" t="n">
        <x:f>IFERROR(1-V265/H265,"")</x:f>
        <x:v>-0.020000000000000018</x:v>
      </x:c>
      <x:c r="AD265" s="204" t="n">
        <x:f>IFERROR(1-V265/AB265,"")</x:f>
        <x:v>0.35021500238891545</x:v>
      </x:c>
      <x:c r="AE265" s="19" t="str">
        <x:f>IF(AC265&lt;Anyag_Beallitasok!$B$3,"NEM ÉRI EL A 35%-OT",IF(AC265&lt;Anyag_Beallitasok!$B$4,"MINIMUM 35–49,9%",IF(AC265&lt;Anyag_Beallitasok!$B$5,"IDEÁLIS 50–59,9%","KIEMELKEDŐ ≥60%")))</x:f>
        <x:v>NEM ÉRI EL A 35%-OT</x:v>
      </x:c>
      <x:c r="AF265" s="204" t="n">
        <x:f>IFERROR(AB265/H265-1,"")</x:f>
        <x:v>0.56975</x:v>
      </x:c>
      <x:c r="AG265" s="19" t="str">
        <x:f>IF(AND(P265="IGEN",O265&gt;0),IF(AF265&gt;Anyag_Beallitasok!$B$10,"0%-OS SZÁMLA + ÖNADÓZÁS; FELÁR SZÜKSÉGES","0%-OS SZÁMLA + ÖNADÓZÁS"),IF(AF265&gt;Anyag_Beallitasok!$B$10,"FELÁR SZÜKSÉGES A 35%-HOZ",IF(AC265&lt;Anyag_Beallitasok!$B$3,"PIACI ÁRON NEM TARTHATÓ A 35%","OK")))</x:f>
        <x:v>FELÁR SZÜKSÉGES A 35%-HOZ</x:v>
      </x:c>
      <x:c r="AH265" s="207" t="n">
        <x:v>3</x:v>
      </x:c>
      <x:c r="AI265" s="207" t="n">
        <x:v>3</x:v>
      </x:c>
      <x:c r="AJ265" s="207" t="n">
        <x:v>3</x:v>
      </x:c>
      <x:c r="AK265" s="208"/>
      <x:c r="AL265" s="203" t="str">
        <x:f>IF(AK265="","",V265*AK265)</x:f>
      </x:c>
      <x:c r="AM265" s="203" t="str">
        <x:f>IF(AK265="","",AB265*AK265)</x:f>
      </x:c>
      <x:c r="AN265" s="204" t="str">
        <x:f>IFERROR(1-AL265/AM265,"")</x:f>
      </x:c>
      <x:c r="AO265" s="19" t="str">
        <x:v>https://www.gladiator-gepkolcsonzo.hu/</x:v>
      </x:c>
      <x:c r="AP265" s="19" t="str">
        <x:v>Közvetlen webár</x:v>
      </x:c>
      <x:c r="AQ265" s="19" t="str"/>
    </x:row>
    <x:row r="266">
      <x:c r="A266" s="19" t="str">
        <x:v>ANY-0265</x:v>
      </x:c>
      <x:c r="B266" s="19" t="str">
        <x:v>16 Gép, logisztika, hulladék</x:v>
      </x:c>
      <x:c r="C266" s="19" t="str">
        <x:v>Bérlet, szállítás, konténer, mobil WC</x:v>
      </x:c>
      <x:c r="D266" s="19" t="str">
        <x:v>Mindegyik</x:v>
      </x:c>
      <x:c r="E266" s="19" t="str">
        <x:v>Falhoronymaró bérlet</x:v>
      </x:c>
      <x:c r="F266" s="19" t="str">
        <x:v>napi díj</x:v>
      </x:c>
      <x:c r="G266" s="19" t="str">
        <x:v>nap</x:v>
      </x:c>
      <x:c r="H266" s="203" t="n">
        <x:v>9000</x:v>
      </x:c>
      <x:c r="I266" s="204" t="n">
        <x:v>0.27</x:v>
      </x:c>
      <x:c r="J266" s="203" t="n">
        <x:f>IFERROR(H266/(1+I266),"")</x:f>
        <x:v>7086.614173228347</x:v>
      </x:c>
      <x:c r="K266" s="205" t="n">
        <x:v>0.1</x:v>
      </x:c>
      <x:c r="L266" s="203" t="n">
        <x:f>IFERROR(J266*(1-K266),"")</x:f>
        <x:v>6377.952755905512</x:v>
      </x:c>
      <x:c r="M266" s="19" t="str">
        <x:v>27% normál belföldi</x:v>
      </x:c>
      <x:c r="N266" s="204" t="n">
        <x:v>0.27</x:v>
      </x:c>
      <x:c r="O266" s="204" t="n">
        <x:v>0</x:v>
      </x:c>
      <x:c r="P266" s="19" t="str">
        <x:v>NEM</x:v>
      </x:c>
      <x:c r="Q266" s="203" t="n">
        <x:f>IFERROR(L266*(1+N266),"")</x:f>
        <x:v>8100.000000000001</x:v>
      </x:c>
      <x:c r="R266" s="205" t="n">
        <x:v>0</x:v>
      </x:c>
      <x:c r="S266" s="203" t="n">
        <x:f>IFERROR(Q266*(1+R266),"")</x:f>
        <x:v>8100.000000000001</x:v>
      </x:c>
      <x:c r="T266" s="206" t="n">
        <x:v>800</x:v>
      </x:c>
      <x:c r="U266" s="206" t="n">
        <x:v>0</x:v>
      </x:c>
      <x:c r="V266" s="203" t="n">
        <x:f>IFERROR(S266+T266+U266,"")</x:f>
        <x:v>8900</x:v>
      </x:c>
      <x:c r="W266" s="203" t="n">
        <x:f>IFERROR(H266/(1+Anyag_Beallitasok!$B$2)*Anyag_Beallitasok!$B$9,"")</x:f>
        <x:v>8571.42857142857</x:v>
      </x:c>
      <x:c r="X266" s="203" t="n">
        <x:f>IFERROR(V266/((1-Anyag_Beallitasok!$B$3)*(1+Anyag_Beallitasok!$B$2)),"")</x:f>
        <x:v>13040.293040293038</x:v>
      </x:c>
      <x:c r="Y266" s="203" t="n">
        <x:f>IFERROR(V266/((1-Anyag_Beallitasok!$B$4)*(1+Anyag_Beallitasok!$B$2)),"")</x:f>
        <x:v>16952.38095238095</x:v>
      </x:c>
      <x:c r="Z266" s="203" t="n">
        <x:f>IFERROR(ROUNDUP(MAX(W266,X266)/Anyag_Beallitasok!$B$6,0)*Anyag_Beallitasok!$B$6,"")</x:f>
        <x:v>13050</x:v>
      </x:c>
      <x:c r="AA266" s="204" t="n">
        <x:f>Anyag_Beallitasok!$B$2</x:f>
        <x:v>0.05</x:v>
      </x:c>
      <x:c r="AB266" s="203" t="n">
        <x:f>IFERROR(Z266*(1+AA266),"")</x:f>
        <x:v>13702.5</x:v>
      </x:c>
      <x:c r="AC266" s="204" t="n">
        <x:f>IFERROR(1-V266/H266,"")</x:f>
        <x:v>0.011111111111111072</x:v>
      </x:c>
      <x:c r="AD266" s="204" t="n">
        <x:f>IFERROR(1-V266/AB266,"")</x:f>
        <x:v>0.3504834884145229</x:v>
      </x:c>
      <x:c r="AE266" s="19" t="str">
        <x:f>IF(AC266&lt;Anyag_Beallitasok!$B$3,"NEM ÉRI EL A 35%-OT",IF(AC266&lt;Anyag_Beallitasok!$B$4,"MINIMUM 35–49,9%",IF(AC266&lt;Anyag_Beallitasok!$B$5,"IDEÁLIS 50–59,9%","KIEMELKEDŐ ≥60%")))</x:f>
        <x:v>NEM ÉRI EL A 35%-OT</x:v>
      </x:c>
      <x:c r="AF266" s="204" t="n">
        <x:f>IFERROR(AB266/H266-1,"")</x:f>
        <x:v>0.5225</x:v>
      </x:c>
      <x:c r="AG266" s="19" t="str">
        <x:f>IF(AND(P266="IGEN",O266&gt;0),IF(AF266&gt;Anyag_Beallitasok!$B$10,"0%-OS SZÁMLA + ÖNADÓZÁS; FELÁR SZÜKSÉGES","0%-OS SZÁMLA + ÖNADÓZÁS"),IF(AF266&gt;Anyag_Beallitasok!$B$10,"FELÁR SZÜKSÉGES A 35%-HOZ",IF(AC266&lt;Anyag_Beallitasok!$B$3,"PIACI ÁRON NEM TARTHATÓ A 35%","OK")))</x:f>
        <x:v>FELÁR SZÜKSÉGES A 35%-HOZ</x:v>
      </x:c>
      <x:c r="AH266" s="207" t="n">
        <x:v>5</x:v>
      </x:c>
      <x:c r="AI266" s="207" t="n">
        <x:v>5</x:v>
      </x:c>
      <x:c r="AJ266" s="207" t="n">
        <x:v>5</x:v>
      </x:c>
      <x:c r="AK266" s="208"/>
      <x:c r="AL266" s="203" t="str">
        <x:f>IF(AK266="","",V266*AK266)</x:f>
      </x:c>
      <x:c r="AM266" s="203" t="str">
        <x:f>IF(AK266="","",AB266*AK266)</x:f>
      </x:c>
      <x:c r="AN266" s="204" t="str">
        <x:f>IFERROR(1-AL266/AM266,"")</x:f>
      </x:c>
      <x:c r="AO266" s="19" t="str">
        <x:v>https://www.gladiator-gepkolcsonzo.hu/</x:v>
      </x:c>
      <x:c r="AP266" s="19" t="str">
        <x:v>Közvetlen 2026 webár</x:v>
      </x:c>
      <x:c r="AQ266" s="19" t="str">
        <x:v>Ipari porszívó külön.</x:v>
      </x:c>
    </x:row>
    <x:row r="267">
      <x:c r="A267" s="19" t="str">
        <x:v>ANY-0266</x:v>
      </x:c>
      <x:c r="B267" s="19" t="str">
        <x:v>16 Gép, logisztika, hulladék</x:v>
      </x:c>
      <x:c r="C267" s="19" t="str">
        <x:v>Bérlet, szállítás, konténer, mobil WC</x:v>
      </x:c>
      <x:c r="D267" s="19" t="str">
        <x:v>Mindegyik</x:v>
      </x:c>
      <x:c r="E267" s="19" t="str">
        <x:v>Ipari porszívó bérlet</x:v>
      </x:c>
      <x:c r="F267" s="19" t="str">
        <x:v>napi díj</x:v>
      </x:c>
      <x:c r="G267" s="19" t="str">
        <x:v>nap</x:v>
      </x:c>
      <x:c r="H267" s="203" t="n">
        <x:v>6000</x:v>
      </x:c>
      <x:c r="I267" s="204" t="n">
        <x:v>0.27</x:v>
      </x:c>
      <x:c r="J267" s="203" t="n">
        <x:f>IFERROR(H267/(1+I267),"")</x:f>
        <x:v>4724.4094488188975</x:v>
      </x:c>
      <x:c r="K267" s="205" t="n">
        <x:v>0.1</x:v>
      </x:c>
      <x:c r="L267" s="203" t="n">
        <x:f>IFERROR(J267*(1-K267),"")</x:f>
        <x:v>4251.968503937008</x:v>
      </x:c>
      <x:c r="M267" s="19" t="str">
        <x:v>27% normál belföldi</x:v>
      </x:c>
      <x:c r="N267" s="204" t="n">
        <x:v>0.27</x:v>
      </x:c>
      <x:c r="O267" s="204" t="n">
        <x:v>0</x:v>
      </x:c>
      <x:c r="P267" s="19" t="str">
        <x:v>NEM</x:v>
      </x:c>
      <x:c r="Q267" s="203" t="n">
        <x:f>IFERROR(L267*(1+N267),"")</x:f>
        <x:v>5400</x:v>
      </x:c>
      <x:c r="R267" s="205" t="n">
        <x:v>0</x:v>
      </x:c>
      <x:c r="S267" s="203" t="n">
        <x:f>IFERROR(Q267*(1+R267),"")</x:f>
        <x:v>5400</x:v>
      </x:c>
      <x:c r="T267" s="206" t="n">
        <x:v>800</x:v>
      </x:c>
      <x:c r="U267" s="206" t="n">
        <x:v>0</x:v>
      </x:c>
      <x:c r="V267" s="203" t="n">
        <x:f>IFERROR(S267+T267+U267,"")</x:f>
        <x:v>6200</x:v>
      </x:c>
      <x:c r="W267" s="203" t="n">
        <x:f>IFERROR(H267/(1+Anyag_Beallitasok!$B$2)*Anyag_Beallitasok!$B$9,"")</x:f>
        <x:v>5714.285714285714</x:v>
      </x:c>
      <x:c r="X267" s="203" t="n">
        <x:f>IFERROR(V267/((1-Anyag_Beallitasok!$B$3)*(1+Anyag_Beallitasok!$B$2)),"")</x:f>
        <x:v>9084.249084249082</x:v>
      </x:c>
      <x:c r="Y267" s="203" t="n">
        <x:f>IFERROR(V267/((1-Anyag_Beallitasok!$B$4)*(1+Anyag_Beallitasok!$B$2)),"")</x:f>
        <x:v>11809.52380952381</x:v>
      </x:c>
      <x:c r="Z267" s="203" t="n">
        <x:f>IFERROR(ROUNDUP(MAX(W267,X267)/Anyag_Beallitasok!$B$6,0)*Anyag_Beallitasok!$B$6,"")</x:f>
        <x:v>9100</x:v>
      </x:c>
      <x:c r="AA267" s="204" t="n">
        <x:f>Anyag_Beallitasok!$B$2</x:f>
        <x:v>0.05</x:v>
      </x:c>
      <x:c r="AB267" s="203" t="n">
        <x:f>IFERROR(Z267*(1+AA267),"")</x:f>
        <x:v>9555</x:v>
      </x:c>
      <x:c r="AC267" s="204" t="n">
        <x:f>IFERROR(1-V267/H267,"")</x:f>
        <x:v>-0.03333333333333344</x:v>
      </x:c>
      <x:c r="AD267" s="204" t="n">
        <x:f>IFERROR(1-V267/AB267,"")</x:f>
        <x:v>0.3511250654107797</x:v>
      </x:c>
      <x:c r="AE267" s="19" t="str">
        <x:f>IF(AC267&lt;Anyag_Beallitasok!$B$3,"NEM ÉRI EL A 35%-OT",IF(AC267&lt;Anyag_Beallitasok!$B$4,"MINIMUM 35–49,9%",IF(AC267&lt;Anyag_Beallitasok!$B$5,"IDEÁLIS 50–59,9%","KIEMELKEDŐ ≥60%")))</x:f>
        <x:v>NEM ÉRI EL A 35%-OT</x:v>
      </x:c>
      <x:c r="AF267" s="204" t="n">
        <x:f>IFERROR(AB267/H267-1,"")</x:f>
        <x:v>0.5925</x:v>
      </x:c>
      <x:c r="AG267" s="19" t="str">
        <x:f>IF(AND(P267="IGEN",O267&gt;0),IF(AF267&gt;Anyag_Beallitasok!$B$10,"0%-OS SZÁMLA + ÖNADÓZÁS; FELÁR SZÜKSÉGES","0%-OS SZÁMLA + ÖNADÓZÁS"),IF(AF267&gt;Anyag_Beallitasok!$B$10,"FELÁR SZÜKSÉGES A 35%-HOZ",IF(AC267&lt;Anyag_Beallitasok!$B$3,"PIACI ÁRON NEM TARTHATÓ A 35%","OK")))</x:f>
        <x:v>FELÁR SZÜKSÉGES A 35%-HOZ</x:v>
      </x:c>
      <x:c r="AH267" s="207" t="n">
        <x:v>8</x:v>
      </x:c>
      <x:c r="AI267" s="207" t="n">
        <x:v>8</x:v>
      </x:c>
      <x:c r="AJ267" s="207" t="n">
        <x:v>8</x:v>
      </x:c>
      <x:c r="AK267" s="208"/>
      <x:c r="AL267" s="203" t="str">
        <x:f>IF(AK267="","",V267*AK267)</x:f>
      </x:c>
      <x:c r="AM267" s="203" t="str">
        <x:f>IF(AK267="","",AB267*AK267)</x:f>
      </x:c>
      <x:c r="AN267" s="204" t="str">
        <x:f>IFERROR(1-AL267/AM267,"")</x:f>
      </x:c>
      <x:c r="AO267" s="19" t="str">
        <x:v>https://www.gladiator-gepkolcsonzo.hu/</x:v>
      </x:c>
      <x:c r="AP267" s="19" t="str">
        <x:v>2026 piaci becslés</x:v>
      </x:c>
      <x:c r="AQ267" s="19" t="str"/>
    </x:row>
    <x:row r="268">
      <x:c r="A268" s="19" t="str">
        <x:v>ANY-0267</x:v>
      </x:c>
      <x:c r="B268" s="19" t="str">
        <x:v>16 Gép, logisztika, hulladék</x:v>
      </x:c>
      <x:c r="C268" s="19" t="str">
        <x:v>Bérlet, szállítás, konténer, mobil WC</x:v>
      </x:c>
      <x:c r="D268" s="19" t="str">
        <x:v>Mindegyik</x:v>
      </x:c>
      <x:c r="E268" s="19" t="str">
        <x:v>Nagy csempevágó bérlet</x:v>
      </x:c>
      <x:c r="F268" s="19" t="str">
        <x:v>napi díj</x:v>
      </x:c>
      <x:c r="G268" s="19" t="str">
        <x:v>nap</x:v>
      </x:c>
      <x:c r="H268" s="203" t="n">
        <x:v>12000</x:v>
      </x:c>
      <x:c r="I268" s="204" t="n">
        <x:v>0.27</x:v>
      </x:c>
      <x:c r="J268" s="203" t="n">
        <x:f>IFERROR(H268/(1+I268),"")</x:f>
        <x:v>9448.818897637795</x:v>
      </x:c>
      <x:c r="K268" s="205" t="n">
        <x:v>0.1</x:v>
      </x:c>
      <x:c r="L268" s="203" t="n">
        <x:f>IFERROR(J268*(1-K268),"")</x:f>
        <x:v>8503.937007874016</x:v>
      </x:c>
      <x:c r="M268" s="19" t="str">
        <x:v>27% normál belföldi</x:v>
      </x:c>
      <x:c r="N268" s="204" t="n">
        <x:v>0.27</x:v>
      </x:c>
      <x:c r="O268" s="204" t="n">
        <x:v>0</x:v>
      </x:c>
      <x:c r="P268" s="19" t="str">
        <x:v>NEM</x:v>
      </x:c>
      <x:c r="Q268" s="203" t="n">
        <x:f>IFERROR(L268*(1+N268),"")</x:f>
        <x:v>10800</x:v>
      </x:c>
      <x:c r="R268" s="205" t="n">
        <x:v>0</x:v>
      </x:c>
      <x:c r="S268" s="203" t="n">
        <x:f>IFERROR(Q268*(1+R268),"")</x:f>
        <x:v>10800</x:v>
      </x:c>
      <x:c r="T268" s="206" t="n">
        <x:v>900</x:v>
      </x:c>
      <x:c r="U268" s="206" t="n">
        <x:v>0</x:v>
      </x:c>
      <x:c r="V268" s="203" t="n">
        <x:f>IFERROR(S268+T268+U268,"")</x:f>
        <x:v>11700</x:v>
      </x:c>
      <x:c r="W268" s="203" t="n">
        <x:f>IFERROR(H268/(1+Anyag_Beallitasok!$B$2)*Anyag_Beallitasok!$B$9,"")</x:f>
        <x:v>11428.571428571428</x:v>
      </x:c>
      <x:c r="X268" s="203" t="n">
        <x:f>IFERROR(V268/((1-Anyag_Beallitasok!$B$3)*(1+Anyag_Beallitasok!$B$2)),"")</x:f>
        <x:v>17142.85714285714</x:v>
      </x:c>
      <x:c r="Y268" s="203" t="n">
        <x:f>IFERROR(V268/((1-Anyag_Beallitasok!$B$4)*(1+Anyag_Beallitasok!$B$2)),"")</x:f>
        <x:v>22285.714285714286</x:v>
      </x:c>
      <x:c r="Z268" s="203" t="n">
        <x:f>IFERROR(ROUNDUP(MAX(W268,X268)/Anyag_Beallitasok!$B$6,0)*Anyag_Beallitasok!$B$6,"")</x:f>
        <x:v>17150</x:v>
      </x:c>
      <x:c r="AA268" s="204" t="n">
        <x:f>Anyag_Beallitasok!$B$2</x:f>
        <x:v>0.05</x:v>
      </x:c>
      <x:c r="AB268" s="203" t="n">
        <x:f>IFERROR(Z268*(1+AA268),"")</x:f>
        <x:v>18007.5</x:v>
      </x:c>
      <x:c r="AC268" s="204" t="n">
        <x:f>IFERROR(1-V268/H268,"")</x:f>
        <x:v>0.025000000000000022</x:v>
      </x:c>
      <x:c r="AD268" s="204" t="n">
        <x:f>IFERROR(1-V268/AB268,"")</x:f>
        <x:v>0.35027072053311126</x:v>
      </x:c>
      <x:c r="AE268" s="19" t="str">
        <x:f>IF(AC268&lt;Anyag_Beallitasok!$B$3,"NEM ÉRI EL A 35%-OT",IF(AC268&lt;Anyag_Beallitasok!$B$4,"MINIMUM 35–49,9%",IF(AC268&lt;Anyag_Beallitasok!$B$5,"IDEÁLIS 50–59,9%","KIEMELKEDŐ ≥60%")))</x:f>
        <x:v>NEM ÉRI EL A 35%-OT</x:v>
      </x:c>
      <x:c r="AF268" s="204" t="n">
        <x:f>IFERROR(AB268/H268-1,"")</x:f>
        <x:v>0.5006250000000001</x:v>
      </x:c>
      <x:c r="AG268" s="19" t="str">
        <x:f>IF(AND(P268="IGEN",O268&gt;0),IF(AF268&gt;Anyag_Beallitasok!$B$10,"0%-OS SZÁMLA + ÖNADÓZÁS; FELÁR SZÜKSÉGES","0%-OS SZÁMLA + ÖNADÓZÁS"),IF(AF268&gt;Anyag_Beallitasok!$B$10,"FELÁR SZÜKSÉGES A 35%-HOZ",IF(AC268&lt;Anyag_Beallitasok!$B$3,"PIACI ÁRON NEM TARTHATÓ A 35%","OK")))</x:f>
        <x:v>FELÁR SZÜKSÉGES A 35%-HOZ</x:v>
      </x:c>
      <x:c r="AH268" s="207" t="n">
        <x:v>5</x:v>
      </x:c>
      <x:c r="AI268" s="207" t="n">
        <x:v>5</x:v>
      </x:c>
      <x:c r="AJ268" s="207" t="n">
        <x:v>5</x:v>
      </x:c>
      <x:c r="AK268" s="208"/>
      <x:c r="AL268" s="203" t="str">
        <x:f>IF(AK268="","",V268*AK268)</x:f>
      </x:c>
      <x:c r="AM268" s="203" t="str">
        <x:f>IF(AK268="","",AB268*AK268)</x:f>
      </x:c>
      <x:c r="AN268" s="204" t="str">
        <x:f>IFERROR(1-AL268/AM268,"")</x:f>
      </x:c>
      <x:c r="AO268" s="19" t="str">
        <x:v>https://www.gladiator-gepkolcsonzo.hu/</x:v>
      </x:c>
      <x:c r="AP268" s="19" t="str">
        <x:v>2026 piaci becslés</x:v>
      </x:c>
      <x:c r="AQ268" s="19" t="str"/>
    </x:row>
    <x:row r="269">
      <x:c r="A269" s="19" t="str">
        <x:v>ANY-0268</x:v>
      </x:c>
      <x:c r="B269" s="19" t="str">
        <x:v>16 Gép, logisztika, hulladék</x:v>
      </x:c>
      <x:c r="C269" s="19" t="str">
        <x:v>Bérlet, szállítás, konténer, mobil WC</x:v>
      </x:c>
      <x:c r="D269" s="19" t="str">
        <x:v>Mindegyik</x:v>
      </x:c>
      <x:c r="E269" s="19" t="str">
        <x:v>Vakológép bérlet</x:v>
      </x:c>
      <x:c r="F269" s="19" t="str">
        <x:v>napi díj</x:v>
      </x:c>
      <x:c r="G269" s="19" t="str">
        <x:v>nap</x:v>
      </x:c>
      <x:c r="H269" s="203" t="n">
        <x:v>45000</x:v>
      </x:c>
      <x:c r="I269" s="204" t="n">
        <x:v>0.27</x:v>
      </x:c>
      <x:c r="J269" s="203" t="n">
        <x:f>IFERROR(H269/(1+I269),"")</x:f>
        <x:v>35433.07086614173</x:v>
      </x:c>
      <x:c r="K269" s="205" t="n">
        <x:v>0.12</x:v>
      </x:c>
      <x:c r="L269" s="203" t="n">
        <x:f>IFERROR(J269*(1-K269),"")</x:f>
        <x:v>31181.10236220472</x:v>
      </x:c>
      <x:c r="M269" s="19" t="str">
        <x:v>27% normál belföldi</x:v>
      </x:c>
      <x:c r="N269" s="204" t="n">
        <x:v>0.27</x:v>
      </x:c>
      <x:c r="O269" s="204" t="n">
        <x:v>0</x:v>
      </x:c>
      <x:c r="P269" s="19" t="str">
        <x:v>NEM</x:v>
      </x:c>
      <x:c r="Q269" s="203" t="n">
        <x:f>IFERROR(L269*(1+N269),"")</x:f>
        <x:v>39600</x:v>
      </x:c>
      <x:c r="R269" s="205" t="n">
        <x:v>0</x:v>
      </x:c>
      <x:c r="S269" s="203" t="n">
        <x:f>IFERROR(Q269*(1+R269),"")</x:f>
        <x:v>39600</x:v>
      </x:c>
      <x:c r="T269" s="206" t="n">
        <x:v>4000</x:v>
      </x:c>
      <x:c r="U269" s="206" t="n">
        <x:v>0</x:v>
      </x:c>
      <x:c r="V269" s="203" t="n">
        <x:f>IFERROR(S269+T269+U269,"")</x:f>
        <x:v>43600</x:v>
      </x:c>
      <x:c r="W269" s="203" t="n">
        <x:f>IFERROR(H269/(1+Anyag_Beallitasok!$B$2)*Anyag_Beallitasok!$B$9,"")</x:f>
        <x:v>42857.142857142855</x:v>
      </x:c>
      <x:c r="X269" s="203" t="n">
        <x:f>IFERROR(V269/((1-Anyag_Beallitasok!$B$3)*(1+Anyag_Beallitasok!$B$2)),"")</x:f>
        <x:v>63882.78388278387</x:v>
      </x:c>
      <x:c r="Y269" s="203" t="n">
        <x:f>IFERROR(V269/((1-Anyag_Beallitasok!$B$4)*(1+Anyag_Beallitasok!$B$2)),"")</x:f>
        <x:v>83047.61904761904</x:v>
      </x:c>
      <x:c r="Z269" s="203" t="n">
        <x:f>IFERROR(ROUNDUP(MAX(W269,X269)/Anyag_Beallitasok!$B$6,0)*Anyag_Beallitasok!$B$6,"")</x:f>
        <x:v>63900</x:v>
      </x:c>
      <x:c r="AA269" s="204" t="n">
        <x:f>Anyag_Beallitasok!$B$2</x:f>
        <x:v>0.05</x:v>
      </x:c>
      <x:c r="AB269" s="203" t="n">
        <x:f>IFERROR(Z269*(1+AA269),"")</x:f>
        <x:v>67095</x:v>
      </x:c>
      <x:c r="AC269" s="204" t="n">
        <x:f>IFERROR(1-V269/H269,"")</x:f>
        <x:v>0.03111111111111109</x:v>
      </x:c>
      <x:c r="AD269" s="204" t="n">
        <x:f>IFERROR(1-V269/AB269,"")</x:f>
        <x:v>0.35017512482301216</x:v>
      </x:c>
      <x:c r="AE269" s="19" t="str">
        <x:f>IF(AC269&lt;Anyag_Beallitasok!$B$3,"NEM ÉRI EL A 35%-OT",IF(AC269&lt;Anyag_Beallitasok!$B$4,"MINIMUM 35–49,9%",IF(AC269&lt;Anyag_Beallitasok!$B$5,"IDEÁLIS 50–59,9%","KIEMELKEDŐ ≥60%")))</x:f>
        <x:v>NEM ÉRI EL A 35%-OT</x:v>
      </x:c>
      <x:c r="AF269" s="204" t="n">
        <x:f>IFERROR(AB269/H269-1,"")</x:f>
        <x:v>0.4910000000000001</x:v>
      </x:c>
      <x:c r="AG269" s="19" t="str">
        <x:f>IF(AND(P269="IGEN",O269&gt;0),IF(AF269&gt;Anyag_Beallitasok!$B$10,"0%-OS SZÁMLA + ÖNADÓZÁS; FELÁR SZÜKSÉGES","0%-OS SZÁMLA + ÖNADÓZÁS"),IF(AF269&gt;Anyag_Beallitasok!$B$10,"FELÁR SZÜKSÉGES A 35%-HOZ",IF(AC269&lt;Anyag_Beallitasok!$B$3,"PIACI ÁRON NEM TARTHATÓ A 35%","OK")))</x:f>
        <x:v>FELÁR SZÜKSÉGES A 35%-HOZ</x:v>
      </x:c>
      <x:c r="AH269" s="207" t="n">
        <x:v>8</x:v>
      </x:c>
      <x:c r="AI269" s="207" t="n">
        <x:v>0</x:v>
      </x:c>
      <x:c r="AJ269" s="207" t="n">
        <x:v>6</x:v>
      </x:c>
      <x:c r="AK269" s="208"/>
      <x:c r="AL269" s="203" t="str">
        <x:f>IF(AK269="","",V269*AK269)</x:f>
      </x:c>
      <x:c r="AM269" s="203" t="str">
        <x:f>IF(AK269="","",AB269*AK269)</x:f>
      </x:c>
      <x:c r="AN269" s="204" t="str">
        <x:f>IFERROR(1-AL269/AM269,"")</x:f>
      </x:c>
      <x:c r="AO269" s="19" t="str">
        <x:v>https://www.gladiator-gepkolcsonzo.hu/</x:v>
      </x:c>
      <x:c r="AP269" s="19" t="str">
        <x:v>Projektfüggő piaci becslés</x:v>
      </x:c>
      <x:c r="AQ269" s="19" t="str">
        <x:v>Kopóalkatrész és tisztítás külön.</x:v>
      </x:c>
    </x:row>
    <x:row r="270">
      <x:c r="A270" s="19" t="str">
        <x:v>ANY-0269</x:v>
      </x:c>
      <x:c r="B270" s="19" t="str">
        <x:v>16 Gép, logisztika, hulladék</x:v>
      </x:c>
      <x:c r="C270" s="19" t="str">
        <x:v>Bérlet, szállítás, konténer, mobil WC</x:v>
      </x:c>
      <x:c r="D270" s="19" t="str">
        <x:v>Mindegyik</x:v>
      </x:c>
      <x:c r="E270" s="19" t="str">
        <x:v>Esztrichgép bérlet</x:v>
      </x:c>
      <x:c r="F270" s="19" t="str">
        <x:v>napi díj</x:v>
      </x:c>
      <x:c r="G270" s="19" t="str">
        <x:v>nap</x:v>
      </x:c>
      <x:c r="H270" s="203" t="n">
        <x:v>55000</x:v>
      </x:c>
      <x:c r="I270" s="204" t="n">
        <x:v>0.27</x:v>
      </x:c>
      <x:c r="J270" s="203" t="n">
        <x:f>IFERROR(H270/(1+I270),"")</x:f>
        <x:v>43307.086614173226</x:v>
      </x:c>
      <x:c r="K270" s="205" t="n">
        <x:v>0.12</x:v>
      </x:c>
      <x:c r="L270" s="203" t="n">
        <x:f>IFERROR(J270*(1-K270),"")</x:f>
        <x:v>38110.23622047244</x:v>
      </x:c>
      <x:c r="M270" s="19" t="str">
        <x:v>27% normál belföldi</x:v>
      </x:c>
      <x:c r="N270" s="204" t="n">
        <x:v>0.27</x:v>
      </x:c>
      <x:c r="O270" s="204" t="n">
        <x:v>0</x:v>
      </x:c>
      <x:c r="P270" s="19" t="str">
        <x:v>NEM</x:v>
      </x:c>
      <x:c r="Q270" s="203" t="n">
        <x:f>IFERROR(L270*(1+N270),"")</x:f>
        <x:v>48400</x:v>
      </x:c>
      <x:c r="R270" s="205" t="n">
        <x:v>0</x:v>
      </x:c>
      <x:c r="S270" s="203" t="n">
        <x:f>IFERROR(Q270*(1+R270),"")</x:f>
        <x:v>48400</x:v>
      </x:c>
      <x:c r="T270" s="206" t="n">
        <x:v>5000</x:v>
      </x:c>
      <x:c r="U270" s="206" t="n">
        <x:v>0</x:v>
      </x:c>
      <x:c r="V270" s="203" t="n">
        <x:f>IFERROR(S270+T270+U270,"")</x:f>
        <x:v>53400</x:v>
      </x:c>
      <x:c r="W270" s="203" t="n">
        <x:f>IFERROR(H270/(1+Anyag_Beallitasok!$B$2)*Anyag_Beallitasok!$B$9,"")</x:f>
        <x:v>52380.95238095238</x:v>
      </x:c>
      <x:c r="X270" s="203" t="n">
        <x:f>IFERROR(V270/((1-Anyag_Beallitasok!$B$3)*(1+Anyag_Beallitasok!$B$2)),"")</x:f>
        <x:v>78241.75824175823</x:v>
      </x:c>
      <x:c r="Y270" s="203" t="n">
        <x:f>IFERROR(V270/((1-Anyag_Beallitasok!$B$4)*(1+Anyag_Beallitasok!$B$2)),"")</x:f>
        <x:v>101714.28571428571</x:v>
      </x:c>
      <x:c r="Z270" s="203" t="n">
        <x:f>IFERROR(ROUNDUP(MAX(W270,X270)/Anyag_Beallitasok!$B$6,0)*Anyag_Beallitasok!$B$6,"")</x:f>
        <x:v>78250</x:v>
      </x:c>
      <x:c r="AA270" s="204" t="n">
        <x:f>Anyag_Beallitasok!$B$2</x:f>
        <x:v>0.05</x:v>
      </x:c>
      <x:c r="AB270" s="203" t="n">
        <x:f>IFERROR(Z270*(1+AA270),"")</x:f>
        <x:v>82162.5</x:v>
      </x:c>
      <x:c r="AC270" s="204" t="n">
        <x:f>IFERROR(1-V270/H270,"")</x:f>
        <x:v>0.029090909090909056</x:v>
      </x:c>
      <x:c r="AD270" s="204" t="n">
        <x:f>IFERROR(1-V270/AB270,"")</x:f>
        <x:v>0.3500684618895481</x:v>
      </x:c>
      <x:c r="AE270" s="19" t="str">
        <x:f>IF(AC270&lt;Anyag_Beallitasok!$B$3,"NEM ÉRI EL A 35%-OT",IF(AC270&lt;Anyag_Beallitasok!$B$4,"MINIMUM 35–49,9%",IF(AC270&lt;Anyag_Beallitasok!$B$5,"IDEÁLIS 50–59,9%","KIEMELKEDŐ ≥60%")))</x:f>
        <x:v>NEM ÉRI EL A 35%-OT</x:v>
      </x:c>
      <x:c r="AF270" s="204" t="n">
        <x:f>IFERROR(AB270/H270-1,"")</x:f>
        <x:v>0.4938636363636364</x:v>
      </x:c>
      <x:c r="AG270" s="19" t="str">
        <x:f>IF(AND(P270="IGEN",O270&gt;0),IF(AF270&gt;Anyag_Beallitasok!$B$10,"0%-OS SZÁMLA + ÖNADÓZÁS; FELÁR SZÜKSÉGES","0%-OS SZÁMLA + ÖNADÓZÁS"),IF(AF270&gt;Anyag_Beallitasok!$B$10,"FELÁR SZÜKSÉGES A 35%-HOZ",IF(AC270&lt;Anyag_Beallitasok!$B$3,"PIACI ÁRON NEM TARTHATÓ A 35%","OK")))</x:f>
        <x:v>FELÁR SZÜKSÉGES A 35%-HOZ</x:v>
      </x:c>
      <x:c r="AH270" s="207" t="n">
        <x:v>4</x:v>
      </x:c>
      <x:c r="AI270" s="207" t="n">
        <x:v>4</x:v>
      </x:c>
      <x:c r="AJ270" s="207" t="n">
        <x:v>4</x:v>
      </x:c>
      <x:c r="AK270" s="208"/>
      <x:c r="AL270" s="203" t="str">
        <x:f>IF(AK270="","",V270*AK270)</x:f>
      </x:c>
      <x:c r="AM270" s="203" t="str">
        <x:f>IF(AK270="","",AB270*AK270)</x:f>
      </x:c>
      <x:c r="AN270" s="204" t="str">
        <x:f>IFERROR(1-AL270/AM270,"")</x:f>
      </x:c>
      <x:c r="AO270" s="19" t="str">
        <x:v>https://www.gladiator-gepkolcsonzo.hu/</x:v>
      </x:c>
      <x:c r="AP270" s="19" t="str">
        <x:v>Projektfüggő piaci becslés</x:v>
      </x:c>
      <x:c r="AQ270" s="19" t="str">
        <x:v>Kezelő és üzemanyag külön.</x:v>
      </x:c>
    </x:row>
    <x:row r="271">
      <x:c r="A271" s="19" t="str">
        <x:v>ANY-0270</x:v>
      </x:c>
      <x:c r="B271" s="19" t="str">
        <x:v>16 Gép, logisztika, hulladék</x:v>
      </x:c>
      <x:c r="C271" s="19" t="str">
        <x:v>Bérlet, szállítás, konténer, mobil WC</x:v>
      </x:c>
      <x:c r="D271" s="19" t="str">
        <x:v>Mindegyik</x:v>
      </x:c>
      <x:c r="E271" s="19" t="str">
        <x:v>Homlokzati állvány bérlet</x:v>
      </x:c>
      <x:c r="F271" s="19" t="str">
        <x:v>átlag 30 nap</x:v>
      </x:c>
      <x:c r="G271" s="19" t="str">
        <x:v>m²/nap</x:v>
      </x:c>
      <x:c r="H271" s="203" t="n">
        <x:v>35</x:v>
      </x:c>
      <x:c r="I271" s="204" t="n">
        <x:v>0.27</x:v>
      </x:c>
      <x:c r="J271" s="203" t="n">
        <x:f>IFERROR(H271/(1+I271),"")</x:f>
        <x:v>27.559055118110237</x:v>
      </x:c>
      <x:c r="K271" s="205" t="n">
        <x:v>0.1</x:v>
      </x:c>
      <x:c r="L271" s="203" t="n">
        <x:f>IFERROR(J271*(1-K271),"")</x:f>
        <x:v>24.803149606299215</x:v>
      </x:c>
      <x:c r="M271" s="19" t="str">
        <x:v>27% normál belföldi</x:v>
      </x:c>
      <x:c r="N271" s="204" t="n">
        <x:v>0.27</x:v>
      </x:c>
      <x:c r="O271" s="204" t="n">
        <x:v>0</x:v>
      </x:c>
      <x:c r="P271" s="19" t="str">
        <x:v>NEM</x:v>
      </x:c>
      <x:c r="Q271" s="203" t="n">
        <x:f>IFERROR(L271*(1+N271),"")</x:f>
        <x:v>31.500000000000004</x:v>
      </x:c>
      <x:c r="R271" s="205" t="n">
        <x:v>0</x:v>
      </x:c>
      <x:c r="S271" s="203" t="n">
        <x:f>IFERROR(Q271*(1+R271),"")</x:f>
        <x:v>31.500000000000004</x:v>
      </x:c>
      <x:c r="T271" s="206" t="n">
        <x:v>3</x:v>
      </x:c>
      <x:c r="U271" s="206" t="n">
        <x:v>0</x:v>
      </x:c>
      <x:c r="V271" s="203" t="n">
        <x:f>IFERROR(S271+T271+U271,"")</x:f>
        <x:v>34.5</x:v>
      </x:c>
      <x:c r="W271" s="203" t="n">
        <x:f>IFERROR(H271/(1+Anyag_Beallitasok!$B$2)*Anyag_Beallitasok!$B$9,"")</x:f>
        <x:v>33.33333333333333</x:v>
      </x:c>
      <x:c r="X271" s="203" t="n">
        <x:f>IFERROR(V271/((1-Anyag_Beallitasok!$B$3)*(1+Anyag_Beallitasok!$B$2)),"")</x:f>
        <x:v>50.54945054945054</x:v>
      </x:c>
      <x:c r="Y271" s="203" t="n">
        <x:f>IFERROR(V271/((1-Anyag_Beallitasok!$B$4)*(1+Anyag_Beallitasok!$B$2)),"")</x:f>
        <x:v>65.71428571428571</x:v>
      </x:c>
      <x:c r="Z271" s="203" t="n">
        <x:f>IFERROR(ROUNDUP(MAX(W271,X271)/Anyag_Beallitasok!$B$6,0)*Anyag_Beallitasok!$B$6,"")</x:f>
        <x:v>100</x:v>
      </x:c>
      <x:c r="AA271" s="204" t="n">
        <x:f>Anyag_Beallitasok!$B$2</x:f>
        <x:v>0.05</x:v>
      </x:c>
      <x:c r="AB271" s="203" t="n">
        <x:f>IFERROR(Z271*(1+AA271),"")</x:f>
        <x:v>105</x:v>
      </x:c>
      <x:c r="AC271" s="204" t="n">
        <x:f>IFERROR(1-V271/H271,"")</x:f>
        <x:v>0.014285714285714235</x:v>
      </x:c>
      <x:c r="AD271" s="204" t="n">
        <x:f>IFERROR(1-V271/AB271,"")</x:f>
        <x:v>0.6714285714285715</x:v>
      </x:c>
      <x:c r="AE271" s="19" t="str">
        <x:f>IF(AC271&lt;Anyag_Beallitasok!$B$3,"NEM ÉRI EL A 35%-OT",IF(AC271&lt;Anyag_Beallitasok!$B$4,"MINIMUM 35–49,9%",IF(AC271&lt;Anyag_Beallitasok!$B$5,"IDEÁLIS 50–59,9%","KIEMELKEDŐ ≥60%")))</x:f>
        <x:v>NEM ÉRI EL A 35%-OT</x:v>
      </x:c>
      <x:c r="AF271" s="204" t="n">
        <x:f>IFERROR(AB271/H271-1,"")</x:f>
        <x:v>2</x:v>
      </x:c>
      <x:c r="AG271" s="19" t="str">
        <x:f>IF(AND(P271="IGEN",O271&gt;0),IF(AF271&gt;Anyag_Beallitasok!$B$10,"0%-OS SZÁMLA + ÖNADÓZÁS; FELÁR SZÜKSÉGES","0%-OS SZÁMLA + ÖNADÓZÁS"),IF(AF271&gt;Anyag_Beallitasok!$B$10,"FELÁR SZÜKSÉGES A 35%-HOZ",IF(AC271&lt;Anyag_Beallitasok!$B$3,"PIACI ÁRON NEM TARTHATÓ A 35%","OK")))</x:f>
        <x:v>FELÁR SZÜKSÉGES A 35%-HOZ</x:v>
      </x:c>
      <x:c r="AH271" s="207" t="n">
        <x:v>6600</x:v>
      </x:c>
      <x:c r="AI271" s="207" t="n">
        <x:v>6600</x:v>
      </x:c>
      <x:c r="AJ271" s="207" t="n">
        <x:v>6600</x:v>
      </x:c>
      <x:c r="AK271" s="208"/>
      <x:c r="AL271" s="203" t="str">
        <x:f>IF(AK271="","",V271*AK271)</x:f>
      </x:c>
      <x:c r="AM271" s="203" t="str">
        <x:f>IF(AK271="","",AB271*AK271)</x:f>
      </x:c>
      <x:c r="AN271" s="204" t="str">
        <x:f>IFERROR(1-AL271/AM271,"")</x:f>
      </x:c>
      <x:c r="AO271" s="19" t="str">
        <x:v>https://allvanyaruhaz.hu/allvany-berles-ar-mennyibe-kerul-es-mitol-fugg-a-vegosszeg-2026-ban</x:v>
      </x:c>
      <x:c r="AP271" s="19" t="str">
        <x:v>Közvetlen 2026 ársáv</x:v>
      </x:c>
      <x:c r="AQ271" s="19" t="str">
        <x:v>Építés/bontás munkadíja külön.</x:v>
      </x:c>
    </x:row>
    <x:row r="272">
      <x:c r="A272" s="19" t="str">
        <x:v>ANY-0271</x:v>
      </x:c>
      <x:c r="B272" s="19" t="str">
        <x:v>16 Gép, logisztika, hulladék</x:v>
      </x:c>
      <x:c r="C272" s="19" t="str">
        <x:v>Bérlet, szállítás, konténer, mobil WC</x:v>
      </x:c>
      <x:c r="D272" s="19" t="str">
        <x:v>Mindegyik</x:v>
      </x:c>
      <x:c r="E272" s="19" t="str">
        <x:v>Zsalurendszer bérlet</x:v>
      </x:c>
      <x:c r="F272" s="19" t="str">
        <x:v>födém/fal átlag</x:v>
      </x:c>
      <x:c r="G272" s="19" t="str">
        <x:v>m²/nap</x:v>
      </x:c>
      <x:c r="H272" s="203" t="n">
        <x:v>95</x:v>
      </x:c>
      <x:c r="I272" s="204" t="n">
        <x:v>0.27</x:v>
      </x:c>
      <x:c r="J272" s="203" t="n">
        <x:f>IFERROR(H272/(1+I272),"")</x:f>
        <x:v>74.80314960629921</x:v>
      </x:c>
      <x:c r="K272" s="205" t="n">
        <x:v>0.1</x:v>
      </x:c>
      <x:c r="L272" s="203" t="n">
        <x:f>IFERROR(J272*(1-K272),"")</x:f>
        <x:v>67.32283464566929</x:v>
      </x:c>
      <x:c r="M272" s="19" t="str">
        <x:v>27% normál belföldi</x:v>
      </x:c>
      <x:c r="N272" s="204" t="n">
        <x:v>0.27</x:v>
      </x:c>
      <x:c r="O272" s="204" t="n">
        <x:v>0</x:v>
      </x:c>
      <x:c r="P272" s="19" t="str">
        <x:v>NEM</x:v>
      </x:c>
      <x:c r="Q272" s="203" t="n">
        <x:f>IFERROR(L272*(1+N272),"")</x:f>
        <x:v>85.5</x:v>
      </x:c>
      <x:c r="R272" s="205" t="n">
        <x:v>0</x:v>
      </x:c>
      <x:c r="S272" s="203" t="n">
        <x:f>IFERROR(Q272*(1+R272),"")</x:f>
        <x:v>85.5</x:v>
      </x:c>
      <x:c r="T272" s="206" t="n">
        <x:v>5</x:v>
      </x:c>
      <x:c r="U272" s="206" t="n">
        <x:v>0</x:v>
      </x:c>
      <x:c r="V272" s="203" t="n">
        <x:f>IFERROR(S272+T272+U272,"")</x:f>
        <x:v>90.5</x:v>
      </x:c>
      <x:c r="W272" s="203" t="n">
        <x:f>IFERROR(H272/(1+Anyag_Beallitasok!$B$2)*Anyag_Beallitasok!$B$9,"")</x:f>
        <x:v>90.47619047619047</x:v>
      </x:c>
      <x:c r="X272" s="203" t="n">
        <x:f>IFERROR(V272/((1-Anyag_Beallitasok!$B$3)*(1+Anyag_Beallitasok!$B$2)),"")</x:f>
        <x:v>132.60073260073258</x:v>
      </x:c>
      <x:c r="Y272" s="203" t="n">
        <x:f>IFERROR(V272/((1-Anyag_Beallitasok!$B$4)*(1+Anyag_Beallitasok!$B$2)),"")</x:f>
        <x:v>172.38095238095238</x:v>
      </x:c>
      <x:c r="Z272" s="203" t="n">
        <x:f>IFERROR(ROUNDUP(MAX(W272,X272)/Anyag_Beallitasok!$B$6,0)*Anyag_Beallitasok!$B$6,"")</x:f>
        <x:v>150</x:v>
      </x:c>
      <x:c r="AA272" s="204" t="n">
        <x:f>Anyag_Beallitasok!$B$2</x:f>
        <x:v>0.05</x:v>
      </x:c>
      <x:c r="AB272" s="203" t="n">
        <x:f>IFERROR(Z272*(1+AA272),"")</x:f>
        <x:v>157.5</x:v>
      </x:c>
      <x:c r="AC272" s="204" t="n">
        <x:f>IFERROR(1-V272/H272,"")</x:f>
        <x:v>0.047368421052631615</x:v>
      </x:c>
      <x:c r="AD272" s="204" t="n">
        <x:f>IFERROR(1-V272/AB272,"")</x:f>
        <x:v>0.42539682539682544</x:v>
      </x:c>
      <x:c r="AE272" s="19" t="str">
        <x:f>IF(AC272&lt;Anyag_Beallitasok!$B$3,"NEM ÉRI EL A 35%-OT",IF(AC272&lt;Anyag_Beallitasok!$B$4,"MINIMUM 35–49,9%",IF(AC272&lt;Anyag_Beallitasok!$B$5,"IDEÁLIS 50–59,9%","KIEMELKEDŐ ≥60%")))</x:f>
        <x:v>NEM ÉRI EL A 35%-OT</x:v>
      </x:c>
      <x:c r="AF272" s="204" t="n">
        <x:f>IFERROR(AB272/H272-1,"")</x:f>
        <x:v>0.6578947368421053</x:v>
      </x:c>
      <x:c r="AG272" s="19" t="str">
        <x:f>IF(AND(P272="IGEN",O272&gt;0),IF(AF272&gt;Anyag_Beallitasok!$B$10,"0%-OS SZÁMLA + ÖNADÓZÁS; FELÁR SZÜKSÉGES","0%-OS SZÁMLA + ÖNADÓZÁS"),IF(AF272&gt;Anyag_Beallitasok!$B$10,"FELÁR SZÜKSÉGES A 35%-HOZ",IF(AC272&lt;Anyag_Beallitasok!$B$3,"PIACI ÁRON NEM TARTHATÓ A 35%","OK")))</x:f>
        <x:v>FELÁR SZÜKSÉGES A 35%-HOZ</x:v>
      </x:c>
      <x:c r="AH272" s="207" t="n">
        <x:v>2400</x:v>
      </x:c>
      <x:c r="AI272" s="207" t="n">
        <x:v>1800</x:v>
      </x:c>
      <x:c r="AJ272" s="207" t="n">
        <x:v>2400</x:v>
      </x:c>
      <x:c r="AK272" s="208"/>
      <x:c r="AL272" s="203" t="str">
        <x:f>IF(AK272="","",V272*AK272)</x:f>
      </x:c>
      <x:c r="AM272" s="203" t="str">
        <x:f>IF(AK272="","",AB272*AK272)</x:f>
      </x:c>
      <x:c r="AN272" s="204" t="str">
        <x:f>IFERROR(1-AL272/AM272,"")</x:f>
      </x:c>
      <x:c r="AO272" s="19" t="str">
        <x:v>https://www.gladiator-gepkolcsonzo.hu/</x:v>
      </x:c>
      <x:c r="AP272" s="19" t="str">
        <x:v>Mérnöki piaci becslés</x:v>
      </x:c>
      <x:c r="AQ272" s="19" t="str">
        <x:v>Kaució és tisztítás külön.</x:v>
      </x:c>
    </x:row>
    <x:row r="273">
      <x:c r="A273" s="19" t="str">
        <x:v>ANY-0272</x:v>
      </x:c>
      <x:c r="B273" s="19" t="str">
        <x:v>16 Gép, logisztika, hulladék</x:v>
      </x:c>
      <x:c r="C273" s="19" t="str">
        <x:v>Bérlet, szállítás, konténer, mobil WC</x:v>
      </x:c>
      <x:c r="D273" s="19" t="str">
        <x:v>Mindegyik</x:v>
      </x:c>
      <x:c r="E273" s="19" t="str">
        <x:v>Betonpumpa 24–28 m</x:v>
      </x:c>
      <x:c r="F273" s="19" t="str">
        <x:v>min. 4 óra</x:v>
      </x:c>
      <x:c r="G273" s="19" t="str">
        <x:v>óra</x:v>
      </x:c>
      <x:c r="H273" s="203" t="n">
        <x:v>28575</x:v>
      </x:c>
      <x:c r="I273" s="204" t="n">
        <x:v>0.27</x:v>
      </x:c>
      <x:c r="J273" s="203" t="n">
        <x:f>IFERROR(H273/(1+I273),"")</x:f>
        <x:v>22500</x:v>
      </x:c>
      <x:c r="K273" s="205" t="n">
        <x:v>0.08</x:v>
      </x:c>
      <x:c r="L273" s="203" t="n">
        <x:f>IFERROR(J273*(1-K273),"")</x:f>
        <x:v>20700</x:v>
      </x:c>
      <x:c r="M273" s="19" t="str">
        <x:v>27% normál belföldi</x:v>
      </x:c>
      <x:c r="N273" s="204" t="n">
        <x:v>0.27</x:v>
      </x:c>
      <x:c r="O273" s="204" t="n">
        <x:v>0</x:v>
      </x:c>
      <x:c r="P273" s="19" t="str">
        <x:v>NEM</x:v>
      </x:c>
      <x:c r="Q273" s="203" t="n">
        <x:f>IFERROR(L273*(1+N273),"")</x:f>
        <x:v>26289</x:v>
      </x:c>
      <x:c r="R273" s="205" t="n">
        <x:v>0</x:v>
      </x:c>
      <x:c r="S273" s="203" t="n">
        <x:f>IFERROR(Q273*(1+R273),"")</x:f>
        <x:v>26289</x:v>
      </x:c>
      <x:c r="T273" s="206" t="n">
        <x:v>0</x:v>
      </x:c>
      <x:c r="U273" s="206" t="n">
        <x:v>0</x:v>
      </x:c>
      <x:c r="V273" s="203" t="n">
        <x:f>IFERROR(S273+T273+U273,"")</x:f>
        <x:v>26289</x:v>
      </x:c>
      <x:c r="W273" s="203" t="n">
        <x:f>IFERROR(H273/(1+Anyag_Beallitasok!$B$2)*Anyag_Beallitasok!$B$9,"")</x:f>
        <x:v>27214.285714285714</x:v>
      </x:c>
      <x:c r="X273" s="203" t="n">
        <x:f>IFERROR(V273/((1-Anyag_Beallitasok!$B$3)*(1+Anyag_Beallitasok!$B$2)),"")</x:f>
        <x:v>38518.681318681316</x:v>
      </x:c>
      <x:c r="Y273" s="203" t="n">
        <x:f>IFERROR(V273/((1-Anyag_Beallitasok!$B$4)*(1+Anyag_Beallitasok!$B$2)),"")</x:f>
        <x:v>50074.28571428571</x:v>
      </x:c>
      <x:c r="Z273" s="203" t="n">
        <x:f>IFERROR(ROUNDUP(MAX(W273,X273)/Anyag_Beallitasok!$B$6,0)*Anyag_Beallitasok!$B$6,"")</x:f>
        <x:v>38550</x:v>
      </x:c>
      <x:c r="AA273" s="204" t="n">
        <x:f>Anyag_Beallitasok!$B$2</x:f>
        <x:v>0.05</x:v>
      </x:c>
      <x:c r="AB273" s="203" t="n">
        <x:f>IFERROR(Z273*(1+AA273),"")</x:f>
        <x:v>40477.5</x:v>
      </x:c>
      <x:c r="AC273" s="204" t="n">
        <x:f>IFERROR(1-V273/H273,"")</x:f>
        <x:v>0.07999999999999996</x:v>
      </x:c>
      <x:c r="AD273" s="204" t="n">
        <x:f>IFERROR(1-V273/AB273,"")</x:f>
        <x:v>0.3505280711506392</x:v>
      </x:c>
      <x:c r="AE273" s="19" t="str">
        <x:f>IF(AC273&lt;Anyag_Beallitasok!$B$3,"NEM ÉRI EL A 35%-OT",IF(AC273&lt;Anyag_Beallitasok!$B$4,"MINIMUM 35–49,9%",IF(AC273&lt;Anyag_Beallitasok!$B$5,"IDEÁLIS 50–59,9%","KIEMELKEDŐ ≥60%")))</x:f>
        <x:v>NEM ÉRI EL A 35%-OT</x:v>
      </x:c>
      <x:c r="AF273" s="204" t="n">
        <x:f>IFERROR(AB273/H273-1,"")</x:f>
        <x:v>0.41653543307086616</x:v>
      </x:c>
      <x:c r="AG273" s="19" t="str">
        <x:f>IF(AND(P273="IGEN",O273&gt;0),IF(AF273&gt;Anyag_Beallitasok!$B$10,"0%-OS SZÁMLA + ÖNADÓZÁS; FELÁR SZÜKSÉGES","0%-OS SZÁMLA + ÖNADÓZÁS"),IF(AF273&gt;Anyag_Beallitasok!$B$10,"FELÁR SZÜKSÉGES A 35%-HOZ",IF(AC273&lt;Anyag_Beallitasok!$B$3,"PIACI ÁRON NEM TARTHATÓ A 35%","OK")))</x:f>
        <x:v>FELÁR SZÜKSÉGES A 35%-HOZ</x:v>
      </x:c>
      <x:c r="AH273" s="207" t="n">
        <x:v>12</x:v>
      </x:c>
      <x:c r="AI273" s="207" t="n">
        <x:v>12</x:v>
      </x:c>
      <x:c r="AJ273" s="207" t="n">
        <x:v>12</x:v>
      </x:c>
      <x:c r="AK273" s="208"/>
      <x:c r="AL273" s="203" t="str">
        <x:f>IF(AK273="","",V273*AK273)</x:f>
      </x:c>
      <x:c r="AM273" s="203" t="str">
        <x:f>IF(AK273="","",AB273*AK273)</x:f>
      </x:c>
      <x:c r="AN273" s="204" t="str">
        <x:f>IFERROR(1-AL273/AM273,"")</x:f>
      </x:c>
      <x:c r="AO273" s="19" t="str">
        <x:v>https://www.gammabeton.hu/beton-arak</x:v>
      </x:c>
      <x:c r="AP273" s="19" t="str">
        <x:v>Közvetlen 2026 árlista</x:v>
      </x:c>
      <x:c r="AQ273" s="19" t="str">
        <x:v>Kiállás/beállás minimum elszámolás.</x:v>
      </x:c>
    </x:row>
    <x:row r="274">
      <x:c r="A274" s="19" t="str">
        <x:v>ANY-0273</x:v>
      </x:c>
      <x:c r="B274" s="19" t="str">
        <x:v>16 Gép, logisztika, hulladék</x:v>
      </x:c>
      <x:c r="C274" s="19" t="str">
        <x:v>Bérlet, szállítás, konténer, mobil WC</x:v>
      </x:c>
      <x:c r="D274" s="19" t="str">
        <x:v>Mindegyik</x:v>
      </x:c>
      <x:c r="E274" s="19" t="str">
        <x:v>Betonpumpa 36 m</x:v>
      </x:c>
      <x:c r="F274" s="19" t="str">
        <x:v>min. 4 óra</x:v>
      </x:c>
      <x:c r="G274" s="19" t="str">
        <x:v>óra</x:v>
      </x:c>
      <x:c r="H274" s="203" t="n">
        <x:v>33655</x:v>
      </x:c>
      <x:c r="I274" s="204" t="n">
        <x:v>0.27</x:v>
      </x:c>
      <x:c r="J274" s="203" t="n">
        <x:f>IFERROR(H274/(1+I274),"")</x:f>
        <x:v>26500</x:v>
      </x:c>
      <x:c r="K274" s="205" t="n">
        <x:v>0.08</x:v>
      </x:c>
      <x:c r="L274" s="203" t="n">
        <x:f>IFERROR(J274*(1-K274),"")</x:f>
        <x:v>24380</x:v>
      </x:c>
      <x:c r="M274" s="19" t="str">
        <x:v>27% normál belföldi</x:v>
      </x:c>
      <x:c r="N274" s="204" t="n">
        <x:v>0.27</x:v>
      </x:c>
      <x:c r="O274" s="204" t="n">
        <x:v>0</x:v>
      </x:c>
      <x:c r="P274" s="19" t="str">
        <x:v>NEM</x:v>
      </x:c>
      <x:c r="Q274" s="203" t="n">
        <x:f>IFERROR(L274*(1+N274),"")</x:f>
        <x:v>30962.600000000002</x:v>
      </x:c>
      <x:c r="R274" s="205" t="n">
        <x:v>0</x:v>
      </x:c>
      <x:c r="S274" s="203" t="n">
        <x:f>IFERROR(Q274*(1+R274),"")</x:f>
        <x:v>30962.600000000002</x:v>
      </x:c>
      <x:c r="T274" s="206" t="n">
        <x:v>0</x:v>
      </x:c>
      <x:c r="U274" s="206" t="n">
        <x:v>0</x:v>
      </x:c>
      <x:c r="V274" s="203" t="n">
        <x:f>IFERROR(S274+T274+U274,"")</x:f>
        <x:v>30962.600000000002</x:v>
      </x:c>
      <x:c r="W274" s="203" t="n">
        <x:f>IFERROR(H274/(1+Anyag_Beallitasok!$B$2)*Anyag_Beallitasok!$B$9,"")</x:f>
        <x:v>32052.38095238095</x:v>
      </x:c>
      <x:c r="X274" s="203" t="n">
        <x:f>IFERROR(V274/((1-Anyag_Beallitasok!$B$3)*(1+Anyag_Beallitasok!$B$2)),"")</x:f>
        <x:v>45366.44688644688</x:v>
      </x:c>
      <x:c r="Y274" s="203" t="n">
        <x:f>IFERROR(V274/((1-Anyag_Beallitasok!$B$4)*(1+Anyag_Beallitasok!$B$2)),"")</x:f>
        <x:v>58976.380952380954</x:v>
      </x:c>
      <x:c r="Z274" s="203" t="n">
        <x:f>IFERROR(ROUNDUP(MAX(W274,X274)/Anyag_Beallitasok!$B$6,0)*Anyag_Beallitasok!$B$6,"")</x:f>
        <x:v>45400</x:v>
      </x:c>
      <x:c r="AA274" s="204" t="n">
        <x:f>Anyag_Beallitasok!$B$2</x:f>
        <x:v>0.05</x:v>
      </x:c>
      <x:c r="AB274" s="203" t="n">
        <x:f>IFERROR(Z274*(1+AA274),"")</x:f>
        <x:v>47670</x:v>
      </x:c>
      <x:c r="AC274" s="204" t="n">
        <x:f>IFERROR(1-V274/H274,"")</x:f>
        <x:v>0.07999999999999996</x:v>
      </x:c>
      <x:c r="AD274" s="204" t="n">
        <x:f>IFERROR(1-V274/AB274,"")</x:f>
        <x:v>0.3504803859869938</x:v>
      </x:c>
      <x:c r="AE274" s="19" t="str">
        <x:f>IF(AC274&lt;Anyag_Beallitasok!$B$3,"NEM ÉRI EL A 35%-OT",IF(AC274&lt;Anyag_Beallitasok!$B$4,"MINIMUM 35–49,9%",IF(AC274&lt;Anyag_Beallitasok!$B$5,"IDEÁLIS 50–59,9%","KIEMELKEDŐ ≥60%")))</x:f>
        <x:v>NEM ÉRI EL A 35%-OT</x:v>
      </x:c>
      <x:c r="AF274" s="204" t="n">
        <x:f>IFERROR(AB274/H274-1,"")</x:f>
        <x:v>0.4164314366364581</x:v>
      </x:c>
      <x:c r="AG274" s="19" t="str">
        <x:f>IF(AND(P274="IGEN",O274&gt;0),IF(AF274&gt;Anyag_Beallitasok!$B$10,"0%-OS SZÁMLA + ÖNADÓZÁS; FELÁR SZÜKSÉGES","0%-OS SZÁMLA + ÖNADÓZÁS"),IF(AF274&gt;Anyag_Beallitasok!$B$10,"FELÁR SZÜKSÉGES A 35%-HOZ",IF(AC274&lt;Anyag_Beallitasok!$B$3,"PIACI ÁRON NEM TARTHATÓ A 35%","OK")))</x:f>
        <x:v>FELÁR SZÜKSÉGES A 35%-HOZ</x:v>
      </x:c>
      <x:c r="AH274" s="207" t="n">
        <x:v>0</x:v>
      </x:c>
      <x:c r="AI274" s="207" t="n">
        <x:v>0</x:v>
      </x:c>
      <x:c r="AJ274" s="207" t="n">
        <x:v>0</x:v>
      </x:c>
      <x:c r="AK274" s="208"/>
      <x:c r="AL274" s="203" t="str">
        <x:f>IF(AK274="","",V274*AK274)</x:f>
      </x:c>
      <x:c r="AM274" s="203" t="str">
        <x:f>IF(AK274="","",AB274*AK274)</x:f>
      </x:c>
      <x:c r="AN274" s="204" t="str">
        <x:f>IFERROR(1-AL274/AM274,"")</x:f>
      </x:c>
      <x:c r="AO274" s="19" t="str">
        <x:v>https://www.gammabeton.hu/beton-arak</x:v>
      </x:c>
      <x:c r="AP274" s="19" t="str">
        <x:v>Közvetlen 2026 árlista</x:v>
      </x:c>
      <x:c r="AQ274" s="19" t="str"/>
    </x:row>
    <x:row r="275">
      <x:c r="A275" s="19" t="str">
        <x:v>ANY-0274</x:v>
      </x:c>
      <x:c r="B275" s="19" t="str">
        <x:v>16 Gép, logisztika, hulladék</x:v>
      </x:c>
      <x:c r="C275" s="19" t="str">
        <x:v>Bérlet, szállítás, konténer, mobil WC</x:v>
      </x:c>
      <x:c r="D275" s="19" t="str">
        <x:v>Mindegyik</x:v>
      </x:c>
      <x:c r="E275" s="19" t="str">
        <x:v>Autódaru 40–55 t</x:v>
      </x:c>
      <x:c r="F275" s="19" t="str">
        <x:v>kezelővel</x:v>
      </x:c>
      <x:c r="G275" s="19" t="str">
        <x:v>óra</x:v>
      </x:c>
      <x:c r="H275" s="203" t="n">
        <x:v>45000</x:v>
      </x:c>
      <x:c r="I275" s="204" t="n">
        <x:v>0.27</x:v>
      </x:c>
      <x:c r="J275" s="203" t="n">
        <x:f>IFERROR(H275/(1+I275),"")</x:f>
        <x:v>35433.07086614173</x:v>
      </x:c>
      <x:c r="K275" s="205" t="n">
        <x:v>0.08</x:v>
      </x:c>
      <x:c r="L275" s="203" t="n">
        <x:f>IFERROR(J275*(1-K275),"")</x:f>
        <x:v>32598.425196850392</x:v>
      </x:c>
      <x:c r="M275" s="19" t="str">
        <x:v>27% normál belföldi</x:v>
      </x:c>
      <x:c r="N275" s="204" t="n">
        <x:v>0.27</x:v>
      </x:c>
      <x:c r="O275" s="204" t="n">
        <x:v>0</x:v>
      </x:c>
      <x:c r="P275" s="19" t="str">
        <x:v>NEM</x:v>
      </x:c>
      <x:c r="Q275" s="203" t="n">
        <x:f>IFERROR(L275*(1+N275),"")</x:f>
        <x:v>41400</x:v>
      </x:c>
      <x:c r="R275" s="205" t="n">
        <x:v>0</x:v>
      </x:c>
      <x:c r="S275" s="203" t="n">
        <x:f>IFERROR(Q275*(1+R275),"")</x:f>
        <x:v>41400</x:v>
      </x:c>
      <x:c r="T275" s="206" t="n">
        <x:v>0</x:v>
      </x:c>
      <x:c r="U275" s="206" t="n">
        <x:v>0</x:v>
      </x:c>
      <x:c r="V275" s="203" t="n">
        <x:f>IFERROR(S275+T275+U275,"")</x:f>
        <x:v>41400</x:v>
      </x:c>
      <x:c r="W275" s="203" t="n">
        <x:f>IFERROR(H275/(1+Anyag_Beallitasok!$B$2)*Anyag_Beallitasok!$B$9,"")</x:f>
        <x:v>42857.142857142855</x:v>
      </x:c>
      <x:c r="X275" s="203" t="n">
        <x:f>IFERROR(V275/((1-Anyag_Beallitasok!$B$3)*(1+Anyag_Beallitasok!$B$2)),"")</x:f>
        <x:v>60659.34065934065</x:v>
      </x:c>
      <x:c r="Y275" s="203" t="n">
        <x:f>IFERROR(V275/((1-Anyag_Beallitasok!$B$4)*(1+Anyag_Beallitasok!$B$2)),"")</x:f>
        <x:v>78857.14285714286</x:v>
      </x:c>
      <x:c r="Z275" s="203" t="n">
        <x:f>IFERROR(ROUNDUP(MAX(W275,X275)/Anyag_Beallitasok!$B$6,0)*Anyag_Beallitasok!$B$6,"")</x:f>
        <x:v>60700</x:v>
      </x:c>
      <x:c r="AA275" s="204" t="n">
        <x:f>Anyag_Beallitasok!$B$2</x:f>
        <x:v>0.05</x:v>
      </x:c>
      <x:c r="AB275" s="203" t="n">
        <x:f>IFERROR(Z275*(1+AA275),"")</x:f>
        <x:v>63735</x:v>
      </x:c>
      <x:c r="AC275" s="204" t="n">
        <x:f>IFERROR(1-V275/H275,"")</x:f>
        <x:v>0.07999999999999996</x:v>
      </x:c>
      <x:c r="AD275" s="204" t="n">
        <x:f>IFERROR(1-V275/AB275,"")</x:f>
        <x:v>0.35043539656389744</x:v>
      </x:c>
      <x:c r="AE275" s="19" t="str">
        <x:f>IF(AC275&lt;Anyag_Beallitasok!$B$3,"NEM ÉRI EL A 35%-OT",IF(AC275&lt;Anyag_Beallitasok!$B$4,"MINIMUM 35–49,9%",IF(AC275&lt;Anyag_Beallitasok!$B$5,"IDEÁLIS 50–59,9%","KIEMELKEDŐ ≥60%")))</x:f>
        <x:v>NEM ÉRI EL A 35%-OT</x:v>
      </x:c>
      <x:c r="AF275" s="204" t="n">
        <x:f>IFERROR(AB275/H275-1,"")</x:f>
        <x:v>0.41633333333333344</x:v>
      </x:c>
      <x:c r="AG275" s="19" t="str">
        <x:f>IF(AND(P275="IGEN",O275&gt;0),IF(AF275&gt;Anyag_Beallitasok!$B$10,"0%-OS SZÁMLA + ÖNADÓZÁS; FELÁR SZÜKSÉGES","0%-OS SZÁMLA + ÖNADÓZÁS"),IF(AF275&gt;Anyag_Beallitasok!$B$10,"FELÁR SZÜKSÉGES A 35%-HOZ",IF(AC275&lt;Anyag_Beallitasok!$B$3,"PIACI ÁRON NEM TARTHATÓ A 35%","OK")))</x:f>
        <x:v>FELÁR SZÜKSÉGES A 35%-HOZ</x:v>
      </x:c>
      <x:c r="AH275" s="207" t="n">
        <x:v>0</x:v>
      </x:c>
      <x:c r="AI275" s="207" t="n">
        <x:v>0</x:v>
      </x:c>
      <x:c r="AJ275" s="207" t="n">
        <x:v>24</x:v>
      </x:c>
      <x:c r="AK275" s="208"/>
      <x:c r="AL275" s="203" t="str">
        <x:f>IF(AK275="","",V275*AK275)</x:f>
      </x:c>
      <x:c r="AM275" s="203" t="str">
        <x:f>IF(AK275="","",AB275*AK275)</x:f>
      </x:c>
      <x:c r="AN275" s="204" t="str">
        <x:f>IFERROR(1-AL275/AM275,"")</x:f>
      </x:c>
      <x:c r="AO275" s="19" t="str">
        <x:v>https://4uszrt.hu/blog/daru-berles-ara/</x:v>
      </x:c>
      <x:c r="AP275" s="19" t="str">
        <x:v>2026 piaci felső sáv</x:v>
      </x:c>
      <x:c r="AQ275" s="19" t="str">
        <x:v>Kiállás, engedély és túlóra külön.</x:v>
      </x:c>
    </x:row>
    <x:row r="276">
      <x:c r="A276" s="19" t="str">
        <x:v>ANY-0275</x:v>
      </x:c>
      <x:c r="B276" s="19" t="str">
        <x:v>16 Gép, logisztika, hulladék</x:v>
      </x:c>
      <x:c r="C276" s="19" t="str">
        <x:v>Bérlet, szállítás, konténer, mobil WC</x:v>
      </x:c>
      <x:c r="D276" s="19" t="str">
        <x:v>Mindegyik</x:v>
      </x:c>
      <x:c r="E276" s="19" t="str">
        <x:v>Darus teherautó 2,5–5 t</x:v>
      </x:c>
      <x:c r="F276" s="19" t="str">
        <x:v>nettó 6 500 Ft/óra + km, bruttósítva</x:v>
      </x:c>
      <x:c r="G276" s="19" t="str">
        <x:v>óra</x:v>
      </x:c>
      <x:c r="H276" s="203" t="n">
        <x:v>8255</x:v>
      </x:c>
      <x:c r="I276" s="204" t="n">
        <x:v>0.27</x:v>
      </x:c>
      <x:c r="J276" s="203" t="n">
        <x:f>IFERROR(H276/(1+I276),"")</x:f>
        <x:v>6500</x:v>
      </x:c>
      <x:c r="K276" s="205" t="n">
        <x:v>0.08</x:v>
      </x:c>
      <x:c r="L276" s="203" t="n">
        <x:f>IFERROR(J276*(1-K276),"")</x:f>
        <x:v>5980</x:v>
      </x:c>
      <x:c r="M276" s="19" t="str">
        <x:v>27% normál belföldi</x:v>
      </x:c>
      <x:c r="N276" s="204" t="n">
        <x:v>0.27</x:v>
      </x:c>
      <x:c r="O276" s="204" t="n">
        <x:v>0</x:v>
      </x:c>
      <x:c r="P276" s="19" t="str">
        <x:v>NEM</x:v>
      </x:c>
      <x:c r="Q276" s="203" t="n">
        <x:f>IFERROR(L276*(1+N276),"")</x:f>
        <x:v>7594.6</x:v>
      </x:c>
      <x:c r="R276" s="205" t="n">
        <x:v>0</x:v>
      </x:c>
      <x:c r="S276" s="203" t="n">
        <x:f>IFERROR(Q276*(1+R276),"")</x:f>
        <x:v>7594.6</x:v>
      </x:c>
      <x:c r="T276" s="206" t="n">
        <x:v>0</x:v>
      </x:c>
      <x:c r="U276" s="206" t="n">
        <x:v>0</x:v>
      </x:c>
      <x:c r="V276" s="203" t="n">
        <x:f>IFERROR(S276+T276+U276,"")</x:f>
        <x:v>7594.6</x:v>
      </x:c>
      <x:c r="W276" s="203" t="n">
        <x:f>IFERROR(H276/(1+Anyag_Beallitasok!$B$2)*Anyag_Beallitasok!$B$9,"")</x:f>
        <x:v>7861.9047619047615</x:v>
      </x:c>
      <x:c r="X276" s="203" t="n">
        <x:f>IFERROR(V276/((1-Anyag_Beallitasok!$B$3)*(1+Anyag_Beallitasok!$B$2)),"")</x:f>
        <x:v>11127.619047619046</x:v>
      </x:c>
      <x:c r="Y276" s="203" t="n">
        <x:f>IFERROR(V276/((1-Anyag_Beallitasok!$B$4)*(1+Anyag_Beallitasok!$B$2)),"")</x:f>
        <x:v>14465.904761904761</x:v>
      </x:c>
      <x:c r="Z276" s="203" t="n">
        <x:f>IFERROR(ROUNDUP(MAX(W276,X276)/Anyag_Beallitasok!$B$6,0)*Anyag_Beallitasok!$B$6,"")</x:f>
        <x:v>11150</x:v>
      </x:c>
      <x:c r="AA276" s="204" t="n">
        <x:f>Anyag_Beallitasok!$B$2</x:f>
        <x:v>0.05</x:v>
      </x:c>
      <x:c r="AB276" s="203" t="n">
        <x:f>IFERROR(Z276*(1+AA276),"")</x:f>
        <x:v>11707.5</x:v>
      </x:c>
      <x:c r="AC276" s="204" t="n">
        <x:f>IFERROR(1-V276/H276,"")</x:f>
        <x:v>0.07999999999999996</x:v>
      </x:c>
      <x:c r="AD276" s="204" t="n">
        <x:f>IFERROR(1-V276/AB276,"")</x:f>
        <x:v>0.3513047191970958</x:v>
      </x:c>
      <x:c r="AE276" s="19" t="str">
        <x:f>IF(AC276&lt;Anyag_Beallitasok!$B$3,"NEM ÉRI EL A 35%-OT",IF(AC276&lt;Anyag_Beallitasok!$B$4,"MINIMUM 35–49,9%",IF(AC276&lt;Anyag_Beallitasok!$B$5,"IDEÁLIS 50–59,9%","KIEMELKEDŐ ≥60%")))</x:f>
        <x:v>NEM ÉRI EL A 35%-OT</x:v>
      </x:c>
      <x:c r="AF276" s="204" t="n">
        <x:f>IFERROR(AB276/H276-1,"")</x:f>
        <x:v>0.4182313749242883</x:v>
      </x:c>
      <x:c r="AG276" s="19" t="str">
        <x:f>IF(AND(P276="IGEN",O276&gt;0),IF(AF276&gt;Anyag_Beallitasok!$B$10,"0%-OS SZÁMLA + ÖNADÓZÁS; FELÁR SZÜKSÉGES","0%-OS SZÁMLA + ÖNADÓZÁS"),IF(AF276&gt;Anyag_Beallitasok!$B$10,"FELÁR SZÜKSÉGES A 35%-HOZ",IF(AC276&lt;Anyag_Beallitasok!$B$3,"PIACI ÁRON NEM TARTHATÓ A 35%","OK")))</x:f>
        <x:v>FELÁR SZÜKSÉGES A 35%-HOZ</x:v>
      </x:c>
      <x:c r="AH276" s="207" t="n">
        <x:v>20</x:v>
      </x:c>
      <x:c r="AI276" s="207" t="n">
        <x:v>20</x:v>
      </x:c>
      <x:c r="AJ276" s="207" t="n">
        <x:v>20</x:v>
      </x:c>
      <x:c r="AK276" s="208"/>
      <x:c r="AL276" s="203" t="str">
        <x:f>IF(AK276="","",V276*AK276)</x:f>
      </x:c>
      <x:c r="AM276" s="203" t="str">
        <x:f>IF(AK276="","",AB276*AK276)</x:f>
      </x:c>
      <x:c r="AN276" s="204" t="str">
        <x:f>IFERROR(1-AL276/AM276,"")</x:f>
      </x:c>
      <x:c r="AO276" s="19" t="str">
        <x:v>https://intermetal.hu/arlistak/szallitasi-dijak</x:v>
      </x:c>
      <x:c r="AP276" s="19" t="str">
        <x:v>Közvetlen árlista bruttósítva</x:v>
      </x:c>
      <x:c r="AQ276" s="19" t="str">
        <x:v>Kilométerdíj külön sorban.</x:v>
      </x:c>
    </x:row>
    <x:row r="277">
      <x:c r="A277" s="19" t="str">
        <x:v>ANY-0276</x:v>
      </x:c>
      <x:c r="B277" s="19" t="str">
        <x:v>16 Gép, logisztika, hulladék</x:v>
      </x:c>
      <x:c r="C277" s="19" t="str">
        <x:v>Bérlet, szállítás, konténer, mobil WC</x:v>
      </x:c>
      <x:c r="D277" s="19" t="str">
        <x:v>Mindegyik</x:v>
      </x:c>
      <x:c r="E277" s="19" t="str">
        <x:v>Darus teherautó kilométerdíj</x:v>
      </x:c>
      <x:c r="F277" s="19" t="str">
        <x:v>2,5–5 t</x:v>
      </x:c>
      <x:c r="G277" s="19" t="str">
        <x:v>km</x:v>
      </x:c>
      <x:c r="H277" s="203" t="n">
        <x:v>457</x:v>
      </x:c>
      <x:c r="I277" s="204" t="n">
        <x:v>0.27</x:v>
      </x:c>
      <x:c r="J277" s="203" t="n">
        <x:f>IFERROR(H277/(1+I277),"")</x:f>
        <x:v>359.84251968503935</x:v>
      </x:c>
      <x:c r="K277" s="205" t="n">
        <x:v>0.08</x:v>
      </x:c>
      <x:c r="L277" s="203" t="n">
        <x:f>IFERROR(J277*(1-K277),"")</x:f>
        <x:v>331.0551181102362</x:v>
      </x:c>
      <x:c r="M277" s="19" t="str">
        <x:v>27% normál belföldi</x:v>
      </x:c>
      <x:c r="N277" s="204" t="n">
        <x:v>0.27</x:v>
      </x:c>
      <x:c r="O277" s="204" t="n">
        <x:v>0</x:v>
      </x:c>
      <x:c r="P277" s="19" t="str">
        <x:v>NEM</x:v>
      </x:c>
      <x:c r="Q277" s="203" t="n">
        <x:f>IFERROR(L277*(1+N277),"")</x:f>
        <x:v>420.44</x:v>
      </x:c>
      <x:c r="R277" s="205" t="n">
        <x:v>0</x:v>
      </x:c>
      <x:c r="S277" s="203" t="n">
        <x:f>IFERROR(Q277*(1+R277),"")</x:f>
        <x:v>420.44</x:v>
      </x:c>
      <x:c r="T277" s="206" t="n">
        <x:v>0</x:v>
      </x:c>
      <x:c r="U277" s="206" t="n">
        <x:v>0</x:v>
      </x:c>
      <x:c r="V277" s="203" t="n">
        <x:f>IFERROR(S277+T277+U277,"")</x:f>
        <x:v>420.44</x:v>
      </x:c>
      <x:c r="W277" s="203" t="n">
        <x:f>IFERROR(H277/(1+Anyag_Beallitasok!$B$2)*Anyag_Beallitasok!$B$9,"")</x:f>
        <x:v>435.23809523809524</x:v>
      </x:c>
      <x:c r="X277" s="203" t="n">
        <x:f>IFERROR(V277/((1-Anyag_Beallitasok!$B$3)*(1+Anyag_Beallitasok!$B$2)),"")</x:f>
        <x:v>616.029304029304</x:v>
      </x:c>
      <x:c r="Y277" s="203" t="n">
        <x:f>IFERROR(V277/((1-Anyag_Beallitasok!$B$4)*(1+Anyag_Beallitasok!$B$2)),"")</x:f>
        <x:v>800.8380952380952</x:v>
      </x:c>
      <x:c r="Z277" s="203" t="n">
        <x:f>IFERROR(ROUNDUP(MAX(W277,X277)/Anyag_Beallitasok!$B$6,0)*Anyag_Beallitasok!$B$6,"")</x:f>
        <x:v>650</x:v>
      </x:c>
      <x:c r="AA277" s="204" t="n">
        <x:f>Anyag_Beallitasok!$B$2</x:f>
        <x:v>0.05</x:v>
      </x:c>
      <x:c r="AB277" s="203" t="n">
        <x:f>IFERROR(Z277*(1+AA277),"")</x:f>
        <x:v>682.5</x:v>
      </x:c>
      <x:c r="AC277" s="204" t="n">
        <x:f>IFERROR(1-V277/H277,"")</x:f>
        <x:v>0.07999999999999996</x:v>
      </x:c>
      <x:c r="AD277" s="204" t="n">
        <x:f>IFERROR(1-V277/AB277,"")</x:f>
        <x:v>0.383970695970696</x:v>
      </x:c>
      <x:c r="AE277" s="19" t="str">
        <x:f>IF(AC277&lt;Anyag_Beallitasok!$B$3,"NEM ÉRI EL A 35%-OT",IF(AC277&lt;Anyag_Beallitasok!$B$4,"MINIMUM 35–49,9%",IF(AC277&lt;Anyag_Beallitasok!$B$5,"IDEÁLIS 50–59,9%","KIEMELKEDŐ ≥60%")))</x:f>
        <x:v>NEM ÉRI EL A 35%-OT</x:v>
      </x:c>
      <x:c r="AF277" s="204" t="n">
        <x:f>IFERROR(AB277/H277-1,"")</x:f>
        <x:v>0.4934354485776806</x:v>
      </x:c>
      <x:c r="AG277" s="19" t="str">
        <x:f>IF(AND(P277="IGEN",O277&gt;0),IF(AF277&gt;Anyag_Beallitasok!$B$10,"0%-OS SZÁMLA + ÖNADÓZÁS; FELÁR SZÜKSÉGES","0%-OS SZÁMLA + ÖNADÓZÁS"),IF(AF277&gt;Anyag_Beallitasok!$B$10,"FELÁR SZÜKSÉGES A 35%-HOZ",IF(AC277&lt;Anyag_Beallitasok!$B$3,"PIACI ÁRON NEM TARTHATÓ A 35%","OK")))</x:f>
        <x:v>FELÁR SZÜKSÉGES A 35%-HOZ</x:v>
      </x:c>
      <x:c r="AH277" s="207" t="n">
        <x:v>1000</x:v>
      </x:c>
      <x:c r="AI277" s="207" t="n">
        <x:v>1000</x:v>
      </x:c>
      <x:c r="AJ277" s="207" t="n">
        <x:v>1000</x:v>
      </x:c>
      <x:c r="AK277" s="208"/>
      <x:c r="AL277" s="203" t="str">
        <x:f>IF(AK277="","",V277*AK277)</x:f>
      </x:c>
      <x:c r="AM277" s="203" t="str">
        <x:f>IF(AK277="","",AB277*AK277)</x:f>
      </x:c>
      <x:c r="AN277" s="204" t="str">
        <x:f>IFERROR(1-AL277/AM277,"")</x:f>
      </x:c>
      <x:c r="AO277" s="19" t="str">
        <x:v>https://intermetal.hu/arlistak/szallitasi-dijak</x:v>
      </x:c>
      <x:c r="AP277" s="19" t="str">
        <x:v>Közvetlen árlista bruttósítva</x:v>
      </x:c>
      <x:c r="AQ277" s="19" t="str"/>
    </x:row>
    <x:row r="278">
      <x:c r="A278" s="19" t="str">
        <x:v>ANY-0277</x:v>
      </x:c>
      <x:c r="B278" s="19" t="str">
        <x:v>16 Gép, logisztika, hulladék</x:v>
      </x:c>
      <x:c r="C278" s="19" t="str">
        <x:v>Bérlet, szállítás, konténer, mobil WC</x:v>
      </x:c>
      <x:c r="D278" s="19" t="str">
        <x:v>Mindegyik</x:v>
      </x:c>
      <x:c r="E278" s="19" t="str">
        <x:v>24 t platós teherautó óradíj</x:v>
      </x:c>
      <x:c r="F278" s="19" t="str">
        <x:v>nettó 12 000 Ft/óra + km</x:v>
      </x:c>
      <x:c r="G278" s="19" t="str">
        <x:v>óra</x:v>
      </x:c>
      <x:c r="H278" s="203" t="n">
        <x:v>15240</x:v>
      </x:c>
      <x:c r="I278" s="204" t="n">
        <x:v>0.27</x:v>
      </x:c>
      <x:c r="J278" s="203" t="n">
        <x:f>IFERROR(H278/(1+I278),"")</x:f>
        <x:v>12000</x:v>
      </x:c>
      <x:c r="K278" s="205" t="n">
        <x:v>0.08</x:v>
      </x:c>
      <x:c r="L278" s="203" t="n">
        <x:f>IFERROR(J278*(1-K278),"")</x:f>
        <x:v>11040</x:v>
      </x:c>
      <x:c r="M278" s="19" t="str">
        <x:v>27% normál belföldi</x:v>
      </x:c>
      <x:c r="N278" s="204" t="n">
        <x:v>0.27</x:v>
      </x:c>
      <x:c r="O278" s="204" t="n">
        <x:v>0</x:v>
      </x:c>
      <x:c r="P278" s="19" t="str">
        <x:v>NEM</x:v>
      </x:c>
      <x:c r="Q278" s="203" t="n">
        <x:f>IFERROR(L278*(1+N278),"")</x:f>
        <x:v>14020.800000000001</x:v>
      </x:c>
      <x:c r="R278" s="205" t="n">
        <x:v>0</x:v>
      </x:c>
      <x:c r="S278" s="203" t="n">
        <x:f>IFERROR(Q278*(1+R278),"")</x:f>
        <x:v>14020.800000000001</x:v>
      </x:c>
      <x:c r="T278" s="206" t="n">
        <x:v>0</x:v>
      </x:c>
      <x:c r="U278" s="206" t="n">
        <x:v>0</x:v>
      </x:c>
      <x:c r="V278" s="203" t="n">
        <x:f>IFERROR(S278+T278+U278,"")</x:f>
        <x:v>14020.800000000001</x:v>
      </x:c>
      <x:c r="W278" s="203" t="n">
        <x:f>IFERROR(H278/(1+Anyag_Beallitasok!$B$2)*Anyag_Beallitasok!$B$9,"")</x:f>
        <x:v>14514.285714285714</x:v>
      </x:c>
      <x:c r="X278" s="203" t="n">
        <x:f>IFERROR(V278/((1-Anyag_Beallitasok!$B$3)*(1+Anyag_Beallitasok!$B$2)),"")</x:f>
        <x:v>20543.296703296703</x:v>
      </x:c>
      <x:c r="Y278" s="203" t="n">
        <x:f>IFERROR(V278/((1-Anyag_Beallitasok!$B$4)*(1+Anyag_Beallitasok!$B$2)),"")</x:f>
        <x:v>26706.285714285714</x:v>
      </x:c>
      <x:c r="Z278" s="203" t="n">
        <x:f>IFERROR(ROUNDUP(MAX(W278,X278)/Anyag_Beallitasok!$B$6,0)*Anyag_Beallitasok!$B$6,"")</x:f>
        <x:v>20550</x:v>
      </x:c>
      <x:c r="AA278" s="204" t="n">
        <x:f>Anyag_Beallitasok!$B$2</x:f>
        <x:v>0.05</x:v>
      </x:c>
      <x:c r="AB278" s="203" t="n">
        <x:f>IFERROR(Z278*(1+AA278),"")</x:f>
        <x:v>21577.5</x:v>
      </x:c>
      <x:c r="AC278" s="204" t="n">
        <x:f>IFERROR(1-V278/H278,"")</x:f>
        <x:v>0.07999999999999996</x:v>
      </x:c>
      <x:c r="AD278" s="204" t="n">
        <x:f>IFERROR(1-V278/AB278,"")</x:f>
        <x:v>0.3502120264164059</x:v>
      </x:c>
      <x:c r="AE278" s="19" t="str">
        <x:f>IF(AC278&lt;Anyag_Beallitasok!$B$3,"NEM ÉRI EL A 35%-OT",IF(AC278&lt;Anyag_Beallitasok!$B$4,"MINIMUM 35–49,9%",IF(AC278&lt;Anyag_Beallitasok!$B$5,"IDEÁLIS 50–59,9%","KIEMELKEDŐ ≥60%")))</x:f>
        <x:v>NEM ÉRI EL A 35%-OT</x:v>
      </x:c>
      <x:c r="AF278" s="204" t="n">
        <x:f>IFERROR(AB278/H278-1,"")</x:f>
        <x:v>0.4158464566929134</x:v>
      </x:c>
      <x:c r="AG278" s="19" t="str">
        <x:f>IF(AND(P278="IGEN",O278&gt;0),IF(AF278&gt;Anyag_Beallitasok!$B$10,"0%-OS SZÁMLA + ÖNADÓZÁS; FELÁR SZÜKSÉGES","0%-OS SZÁMLA + ÖNADÓZÁS"),IF(AF278&gt;Anyag_Beallitasok!$B$10,"FELÁR SZÜKSÉGES A 35%-HOZ",IF(AC278&lt;Anyag_Beallitasok!$B$3,"PIACI ÁRON NEM TARTHATÓ A 35%","OK")))</x:f>
        <x:v>FELÁR SZÜKSÉGES A 35%-HOZ</x:v>
      </x:c>
      <x:c r="AH278" s="207" t="n">
        <x:v>15</x:v>
      </x:c>
      <x:c r="AI278" s="207" t="n">
        <x:v>15</x:v>
      </x:c>
      <x:c r="AJ278" s="207" t="n">
        <x:v>15</x:v>
      </x:c>
      <x:c r="AK278" s="208"/>
      <x:c r="AL278" s="203" t="str">
        <x:f>IF(AK278="","",V278*AK278)</x:f>
      </x:c>
      <x:c r="AM278" s="203" t="str">
        <x:f>IF(AK278="","",AB278*AK278)</x:f>
      </x:c>
      <x:c r="AN278" s="204" t="str">
        <x:f>IFERROR(1-AL278/AM278,"")</x:f>
      </x:c>
      <x:c r="AO278" s="19" t="str">
        <x:v>https://intermetal.hu/arlistak/szallitasi-dijak</x:v>
      </x:c>
      <x:c r="AP278" s="19" t="str">
        <x:v>Közvetlen árlista bruttósítva</x:v>
      </x:c>
      <x:c r="AQ278" s="19" t="str"/>
    </x:row>
    <x:row r="279">
      <x:c r="A279" s="19" t="str">
        <x:v>ANY-0278</x:v>
      </x:c>
      <x:c r="B279" s="19" t="str">
        <x:v>16 Gép, logisztika, hulladék</x:v>
      </x:c>
      <x:c r="C279" s="19" t="str">
        <x:v>Bérlet, szállítás, konténer, mobil WC</x:v>
      </x:c>
      <x:c r="D279" s="19" t="str">
        <x:v>Mindegyik</x:v>
      </x:c>
      <x:c r="E279" s="19" t="str">
        <x:v>24 t teherautó kilométerdíj</x:v>
      </x:c>
      <x:c r="F279" s="19" t="str">
        <x:v>platós/multilift</x:v>
      </x:c>
      <x:c r="G279" s="19" t="str">
        <x:v>km</x:v>
      </x:c>
      <x:c r="H279" s="203" t="n">
        <x:v>699</x:v>
      </x:c>
      <x:c r="I279" s="204" t="n">
        <x:v>0.27</x:v>
      </x:c>
      <x:c r="J279" s="203" t="n">
        <x:f>IFERROR(H279/(1+I279),"")</x:f>
        <x:v>550.3937007874016</x:v>
      </x:c>
      <x:c r="K279" s="205" t="n">
        <x:v>0.08</x:v>
      </x:c>
      <x:c r="L279" s="203" t="n">
        <x:f>IFERROR(J279*(1-K279),"")</x:f>
        <x:v>506.3622047244095</x:v>
      </x:c>
      <x:c r="M279" s="19" t="str">
        <x:v>27% normál belföldi</x:v>
      </x:c>
      <x:c r="N279" s="204" t="n">
        <x:v>0.27</x:v>
      </x:c>
      <x:c r="O279" s="204" t="n">
        <x:v>0</x:v>
      </x:c>
      <x:c r="P279" s="19" t="str">
        <x:v>NEM</x:v>
      </x:c>
      <x:c r="Q279" s="203" t="n">
        <x:f>IFERROR(L279*(1+N279),"")</x:f>
        <x:v>643.08</x:v>
      </x:c>
      <x:c r="R279" s="205" t="n">
        <x:v>0</x:v>
      </x:c>
      <x:c r="S279" s="203" t="n">
        <x:f>IFERROR(Q279*(1+R279),"")</x:f>
        <x:v>643.08</x:v>
      </x:c>
      <x:c r="T279" s="206" t="n">
        <x:v>0</x:v>
      </x:c>
      <x:c r="U279" s="206" t="n">
        <x:v>0</x:v>
      </x:c>
      <x:c r="V279" s="203" t="n">
        <x:f>IFERROR(S279+T279+U279,"")</x:f>
        <x:v>643.08</x:v>
      </x:c>
      <x:c r="W279" s="203" t="n">
        <x:f>IFERROR(H279/(1+Anyag_Beallitasok!$B$2)*Anyag_Beallitasok!$B$9,"")</x:f>
        <x:v>665.7142857142857</x:v>
      </x:c>
      <x:c r="X279" s="203" t="n">
        <x:f>IFERROR(V279/((1-Anyag_Beallitasok!$B$3)*(1+Anyag_Beallitasok!$B$2)),"")</x:f>
        <x:v>942.2417582417581</x:v>
      </x:c>
      <x:c r="Y279" s="203" t="n">
        <x:f>IFERROR(V279/((1-Anyag_Beallitasok!$B$4)*(1+Anyag_Beallitasok!$B$2)),"")</x:f>
        <x:v>1224.9142857142858</x:v>
      </x:c>
      <x:c r="Z279" s="203" t="n">
        <x:f>IFERROR(ROUNDUP(MAX(W279,X279)/Anyag_Beallitasok!$B$6,0)*Anyag_Beallitasok!$B$6,"")</x:f>
        <x:v>950</x:v>
      </x:c>
      <x:c r="AA279" s="204" t="n">
        <x:f>Anyag_Beallitasok!$B$2</x:f>
        <x:v>0.05</x:v>
      </x:c>
      <x:c r="AB279" s="203" t="n">
        <x:f>IFERROR(Z279*(1+AA279),"")</x:f>
        <x:v>997.5</x:v>
      </x:c>
      <x:c r="AC279" s="204" t="n">
        <x:f>IFERROR(1-V279/H279,"")</x:f>
        <x:v>0.07999999999999996</x:v>
      </x:c>
      <x:c r="AD279" s="204" t="n">
        <x:f>IFERROR(1-V279/AB279,"")</x:f>
        <x:v>0.3553082706766917</x:v>
      </x:c>
      <x:c r="AE279" s="19" t="str">
        <x:f>IF(AC279&lt;Anyag_Beallitasok!$B$3,"NEM ÉRI EL A 35%-OT",IF(AC279&lt;Anyag_Beallitasok!$B$4,"MINIMUM 35–49,9%",IF(AC279&lt;Anyag_Beallitasok!$B$5,"IDEÁLIS 50–59,9%","KIEMELKEDŐ ≥60%")))</x:f>
        <x:v>NEM ÉRI EL A 35%-OT</x:v>
      </x:c>
      <x:c r="AF279" s="204" t="n">
        <x:f>IFERROR(AB279/H279-1,"")</x:f>
        <x:v>0.42703862660944214</x:v>
      </x:c>
      <x:c r="AG279" s="19" t="str">
        <x:f>IF(AND(P279="IGEN",O279&gt;0),IF(AF279&gt;Anyag_Beallitasok!$B$10,"0%-OS SZÁMLA + ÖNADÓZÁS; FELÁR SZÜKSÉGES","0%-OS SZÁMLA + ÖNADÓZÁS"),IF(AF279&gt;Anyag_Beallitasok!$B$10,"FELÁR SZÜKSÉGES A 35%-HOZ",IF(AC279&lt;Anyag_Beallitasok!$B$3,"PIACI ÁRON NEM TARTHATÓ A 35%","OK")))</x:f>
        <x:v>FELÁR SZÜKSÉGES A 35%-HOZ</x:v>
      </x:c>
      <x:c r="AH279" s="207" t="n">
        <x:v>800</x:v>
      </x:c>
      <x:c r="AI279" s="207" t="n">
        <x:v>800</x:v>
      </x:c>
      <x:c r="AJ279" s="207" t="n">
        <x:v>800</x:v>
      </x:c>
      <x:c r="AK279" s="208"/>
      <x:c r="AL279" s="203" t="str">
        <x:f>IF(AK279="","",V279*AK279)</x:f>
      </x:c>
      <x:c r="AM279" s="203" t="str">
        <x:f>IF(AK279="","",AB279*AK279)</x:f>
      </x:c>
      <x:c r="AN279" s="204" t="str">
        <x:f>IFERROR(1-AL279/AM279,"")</x:f>
      </x:c>
      <x:c r="AO279" s="19" t="str">
        <x:v>https://intermetal.hu/arlistak/szallitasi-dijak</x:v>
      </x:c>
      <x:c r="AP279" s="19" t="str">
        <x:v>Közvetlen árlista bruttósítva</x:v>
      </x:c>
      <x:c r="AQ279" s="19" t="str"/>
    </x:row>
    <x:row r="280">
      <x:c r="A280" s="19" t="str">
        <x:v>ANY-0279</x:v>
      </x:c>
      <x:c r="B280" s="19" t="str">
        <x:v>16 Gép, logisztika, hulladék</x:v>
      </x:c>
      <x:c r="C280" s="19" t="str">
        <x:v>Bérlet, szállítás, konténer, mobil WC</x:v>
      </x:c>
      <x:c r="D280" s="19" t="str">
        <x:v>Mindegyik</x:v>
      </x:c>
      <x:c r="E280" s="19" t="str">
        <x:v>Sitt konténer 4 m³</x:v>
      </x:c>
      <x:c r="F280" s="19" t="str">
        <x:v>tiszta inert hulladék</x:v>
      </x:c>
      <x:c r="G280" s="19" t="str">
        <x:v>db</x:v>
      </x:c>
      <x:c r="H280" s="203" t="n">
        <x:v>82296</x:v>
      </x:c>
      <x:c r="I280" s="204" t="n">
        <x:v>0.27</x:v>
      </x:c>
      <x:c r="J280" s="203" t="n">
        <x:f>IFERROR(H280/(1+I280),"")</x:f>
        <x:v>64800</x:v>
      </x:c>
      <x:c r="K280" s="205" t="n">
        <x:v>0.08</x:v>
      </x:c>
      <x:c r="L280" s="203" t="n">
        <x:f>IFERROR(J280*(1-K280),"")</x:f>
        <x:v>59616</x:v>
      </x:c>
      <x:c r="M280" s="19" t="str">
        <x:v>27% normál belföldi</x:v>
      </x:c>
      <x:c r="N280" s="204" t="n">
        <x:v>0.27</x:v>
      </x:c>
      <x:c r="O280" s="204" t="n">
        <x:v>0</x:v>
      </x:c>
      <x:c r="P280" s="19" t="str">
        <x:v>NEM</x:v>
      </x:c>
      <x:c r="Q280" s="203" t="n">
        <x:f>IFERROR(L280*(1+N280),"")</x:f>
        <x:v>75712.32</x:v>
      </x:c>
      <x:c r="R280" s="205" t="n">
        <x:v>0</x:v>
      </x:c>
      <x:c r="S280" s="203" t="n">
        <x:f>IFERROR(Q280*(1+R280),"")</x:f>
        <x:v>75712.32</x:v>
      </x:c>
      <x:c r="T280" s="206" t="n">
        <x:v>0</x:v>
      </x:c>
      <x:c r="U280" s="206" t="n">
        <x:v>0</x:v>
      </x:c>
      <x:c r="V280" s="203" t="n">
        <x:f>IFERROR(S280+T280+U280,"")</x:f>
        <x:v>75712.32</x:v>
      </x:c>
      <x:c r="W280" s="203" t="n">
        <x:f>IFERROR(H280/(1+Anyag_Beallitasok!$B$2)*Anyag_Beallitasok!$B$9,"")</x:f>
        <x:v>78377.14285714286</x:v>
      </x:c>
      <x:c r="X280" s="203" t="n">
        <x:f>IFERROR(V280/((1-Anyag_Beallitasok!$B$3)*(1+Anyag_Beallitasok!$B$2)),"")</x:f>
        <x:v>110933.80219780219</x:v>
      </x:c>
      <x:c r="Y280" s="203" t="n">
        <x:f>IFERROR(V280/((1-Anyag_Beallitasok!$B$4)*(1+Anyag_Beallitasok!$B$2)),"")</x:f>
        <x:v>144213.94285714286</x:v>
      </x:c>
      <x:c r="Z280" s="203" t="n">
        <x:f>IFERROR(ROUNDUP(MAX(W280,X280)/Anyag_Beallitasok!$B$6,0)*Anyag_Beallitasok!$B$6,"")</x:f>
        <x:v>110950</x:v>
      </x:c>
      <x:c r="AA280" s="204" t="n">
        <x:f>Anyag_Beallitasok!$B$2</x:f>
        <x:v>0.05</x:v>
      </x:c>
      <x:c r="AB280" s="203" t="n">
        <x:f>IFERROR(Z280*(1+AA280),"")</x:f>
        <x:v>116497.5</x:v>
      </x:c>
      <x:c r="AC280" s="204" t="n">
        <x:f>IFERROR(1-V280/H280,"")</x:f>
        <x:v>0.07999999999999996</x:v>
      </x:c>
      <x:c r="AD280" s="204" t="n">
        <x:f>IFERROR(1-V280/AB280,"")</x:f>
        <x:v>0.35009489474023037</x:v>
      </x:c>
      <x:c r="AE280" s="19" t="str">
        <x:f>IF(AC280&lt;Anyag_Beallitasok!$B$3,"NEM ÉRI EL A 35%-OT",IF(AC280&lt;Anyag_Beallitasok!$B$4,"MINIMUM 35–49,9%",IF(AC280&lt;Anyag_Beallitasok!$B$5,"IDEÁLIS 50–59,9%","KIEMELKEDŐ ≥60%")))</x:f>
        <x:v>NEM ÉRI EL A 35%-OT</x:v>
      </x:c>
      <x:c r="AF280" s="204" t="n">
        <x:f>IFERROR(AB280/H280-1,"")</x:f>
        <x:v>0.4155912802566346</x:v>
      </x:c>
      <x:c r="AG280" s="19" t="str">
        <x:f>IF(AND(P280="IGEN",O280&gt;0),IF(AF280&gt;Anyag_Beallitasok!$B$10,"0%-OS SZÁMLA + ÖNADÓZÁS; FELÁR SZÜKSÉGES","0%-OS SZÁMLA + ÖNADÓZÁS"),IF(AF280&gt;Anyag_Beallitasok!$B$10,"FELÁR SZÜKSÉGES A 35%-HOZ",IF(AC280&lt;Anyag_Beallitasok!$B$3,"PIACI ÁRON NEM TARTHATÓ A 35%","OK")))</x:f>
        <x:v>FELÁR SZÜKSÉGES A 35%-HOZ</x:v>
      </x:c>
      <x:c r="AH280" s="207" t="n">
        <x:v>5</x:v>
      </x:c>
      <x:c r="AI280" s="207" t="n">
        <x:v>5</x:v>
      </x:c>
      <x:c r="AJ280" s="207" t="n">
        <x:v>5</x:v>
      </x:c>
      <x:c r="AK280" s="208"/>
      <x:c r="AL280" s="203" t="str">
        <x:f>IF(AK280="","",V280*AK280)</x:f>
      </x:c>
      <x:c r="AM280" s="203" t="str">
        <x:f>IF(AK280="","",AB280*AK280)</x:f>
      </x:c>
      <x:c r="AN280" s="204" t="str">
        <x:f>IFERROR(1-AL280/AM280,"")</x:f>
      </x:c>
      <x:c r="AO280" s="19" t="str">
        <x:v>https://pinterkontener.hu/arlista/</x:v>
      </x:c>
      <x:c r="AP280" s="19" t="str">
        <x:v>Közvetlen 2026.07 árlista</x:v>
      </x:c>
      <x:c r="AQ280" s="19" t="str">
        <x:v>Területfüggő; közterület-használat külön.</x:v>
      </x:c>
    </x:row>
    <x:row r="281">
      <x:c r="A281" s="19" t="str">
        <x:v>ANY-0280</x:v>
      </x:c>
      <x:c r="B281" s="19" t="str">
        <x:v>16 Gép, logisztika, hulladék</x:v>
      </x:c>
      <x:c r="C281" s="19" t="str">
        <x:v>Bérlet, szállítás, konténer, mobil WC</x:v>
      </x:c>
      <x:c r="D281" s="19" t="str">
        <x:v>Mindegyik</x:v>
      </x:c>
      <x:c r="E281" s="19" t="str">
        <x:v>Sitt konténer 8 m³</x:v>
      </x:c>
      <x:c r="F281" s="19" t="str">
        <x:v>tiszta inert hulladék</x:v>
      </x:c>
      <x:c r="G281" s="19" t="str">
        <x:v>db</x:v>
      </x:c>
      <x:c r="H281" s="203" t="n">
        <x:v>105000</x:v>
      </x:c>
      <x:c r="I281" s="204" t="n">
        <x:v>0.27</x:v>
      </x:c>
      <x:c r="J281" s="203" t="n">
        <x:f>IFERROR(H281/(1+I281),"")</x:f>
        <x:v>82677.1653543307</x:v>
      </x:c>
      <x:c r="K281" s="205" t="n">
        <x:v>0.08</x:v>
      </x:c>
      <x:c r="L281" s="203" t="n">
        <x:f>IFERROR(J281*(1-K281),"")</x:f>
        <x:v>76062.99212598425</x:v>
      </x:c>
      <x:c r="M281" s="19" t="str">
        <x:v>27% normál belföldi</x:v>
      </x:c>
      <x:c r="N281" s="204" t="n">
        <x:v>0.27</x:v>
      </x:c>
      <x:c r="O281" s="204" t="n">
        <x:v>0</x:v>
      </x:c>
      <x:c r="P281" s="19" t="str">
        <x:v>NEM</x:v>
      </x:c>
      <x:c r="Q281" s="203" t="n">
        <x:f>IFERROR(L281*(1+N281),"")</x:f>
        <x:v>96600</x:v>
      </x:c>
      <x:c r="R281" s="205" t="n">
        <x:v>0</x:v>
      </x:c>
      <x:c r="S281" s="203" t="n">
        <x:f>IFERROR(Q281*(1+R281),"")</x:f>
        <x:v>96600</x:v>
      </x:c>
      <x:c r="T281" s="206" t="n">
        <x:v>0</x:v>
      </x:c>
      <x:c r="U281" s="206" t="n">
        <x:v>0</x:v>
      </x:c>
      <x:c r="V281" s="203" t="n">
        <x:f>IFERROR(S281+T281+U281,"")</x:f>
        <x:v>96600</x:v>
      </x:c>
      <x:c r="W281" s="203" t="n">
        <x:f>IFERROR(H281/(1+Anyag_Beallitasok!$B$2)*Anyag_Beallitasok!$B$9,"")</x:f>
        <x:v>100000</x:v>
      </x:c>
      <x:c r="X281" s="203" t="n">
        <x:f>IFERROR(V281/((1-Anyag_Beallitasok!$B$3)*(1+Anyag_Beallitasok!$B$2)),"")</x:f>
        <x:v>141538.4615384615</x:v>
      </x:c>
      <x:c r="Y281" s="203" t="n">
        <x:f>IFERROR(V281/((1-Anyag_Beallitasok!$B$4)*(1+Anyag_Beallitasok!$B$2)),"")</x:f>
        <x:v>184000</x:v>
      </x:c>
      <x:c r="Z281" s="203" t="n">
        <x:f>IFERROR(ROUNDUP(MAX(W281,X281)/Anyag_Beallitasok!$B$6,0)*Anyag_Beallitasok!$B$6,"")</x:f>
        <x:v>141550</x:v>
      </x:c>
      <x:c r="AA281" s="204" t="n">
        <x:f>Anyag_Beallitasok!$B$2</x:f>
        <x:v>0.05</x:v>
      </x:c>
      <x:c r="AB281" s="203" t="n">
        <x:f>IFERROR(Z281*(1+AA281),"")</x:f>
        <x:v>148627.5</x:v>
      </x:c>
      <x:c r="AC281" s="204" t="n">
        <x:f>IFERROR(1-V281/H281,"")</x:f>
        <x:v>0.07999999999999996</x:v>
      </x:c>
      <x:c r="AD281" s="204" t="n">
        <x:f>IFERROR(1-V281/AB281,"")</x:f>
        <x:v>0.3500529848110209</x:v>
      </x:c>
      <x:c r="AE281" s="19" t="str">
        <x:f>IF(AC281&lt;Anyag_Beallitasok!$B$3,"NEM ÉRI EL A 35%-OT",IF(AC281&lt;Anyag_Beallitasok!$B$4,"MINIMUM 35–49,9%",IF(AC281&lt;Anyag_Beallitasok!$B$5,"IDEÁLIS 50–59,9%","KIEMELKEDŐ ≥60%")))</x:f>
        <x:v>NEM ÉRI EL A 35%-OT</x:v>
      </x:c>
      <x:c r="AF281" s="204" t="n">
        <x:f>IFERROR(AB281/H281-1,"")</x:f>
        <x:v>0.4155</x:v>
      </x:c>
      <x:c r="AG281" s="19" t="str">
        <x:f>IF(AND(P281="IGEN",O281&gt;0),IF(AF281&gt;Anyag_Beallitasok!$B$10,"0%-OS SZÁMLA + ÖNADÓZÁS; FELÁR SZÜKSÉGES","0%-OS SZÁMLA + ÖNADÓZÁS"),IF(AF281&gt;Anyag_Beallitasok!$B$10,"FELÁR SZÜKSÉGES A 35%-HOZ",IF(AC281&lt;Anyag_Beallitasok!$B$3,"PIACI ÁRON NEM TARTHATÓ A 35%","OK")))</x:f>
        <x:v>FELÁR SZÜKSÉGES A 35%-HOZ</x:v>
      </x:c>
      <x:c r="AH281" s="207" t="n">
        <x:v>0</x:v>
      </x:c>
      <x:c r="AI281" s="207" t="n">
        <x:v>0</x:v>
      </x:c>
      <x:c r="AJ281" s="207" t="n">
        <x:v>0</x:v>
      </x:c>
      <x:c r="AK281" s="208"/>
      <x:c r="AL281" s="203" t="str">
        <x:f>IF(AK281="","",V281*AK281)</x:f>
      </x:c>
      <x:c r="AM281" s="203" t="str">
        <x:f>IF(AK281="","",AB281*AK281)</x:f>
      </x:c>
      <x:c r="AN281" s="204" t="str">
        <x:f>IFERROR(1-AL281/AM281,"")</x:f>
      </x:c>
      <x:c r="AO281" s="19" t="str">
        <x:v>https://kontenert.hu/kontener-arak/</x:v>
      </x:c>
      <x:c r="AP281" s="19" t="str">
        <x:v>2026 budapesti ársáv</x:v>
      </x:c>
      <x:c r="AQ281" s="19" t="str">
        <x:v>Területfüggő.</x:v>
      </x:c>
    </x:row>
    <x:row r="282">
      <x:c r="A282" s="19" t="str">
        <x:v>ANY-0281</x:v>
      </x:c>
      <x:c r="B282" s="19" t="str">
        <x:v>16 Gép, logisztika, hulladék</x:v>
      </x:c>
      <x:c r="C282" s="19" t="str">
        <x:v>Bérlet, szállítás, konténer, mobil WC</x:v>
      </x:c>
      <x:c r="D282" s="19" t="str">
        <x:v>Mindegyik</x:v>
      </x:c>
      <x:c r="E282" s="19" t="str">
        <x:v>Vegyes építési hulladék konténer 8 m³</x:v>
      </x:c>
      <x:c r="F282" s="19" t="str">
        <x:v>fa, fólia, csomagolás vegyesen</x:v>
      </x:c>
      <x:c r="G282" s="19" t="str">
        <x:v>db</x:v>
      </x:c>
      <x:c r="H282" s="203" t="n">
        <x:v>145000</x:v>
      </x:c>
      <x:c r="I282" s="204" t="n">
        <x:v>0.27</x:v>
      </x:c>
      <x:c r="J282" s="203" t="n">
        <x:f>IFERROR(H282/(1+I282),"")</x:f>
        <x:v>114173.22834645669</x:v>
      </x:c>
      <x:c r="K282" s="205" t="n">
        <x:v>0.08</x:v>
      </x:c>
      <x:c r="L282" s="203" t="n">
        <x:f>IFERROR(J282*(1-K282),"")</x:f>
        <x:v>105039.37007874016</x:v>
      </x:c>
      <x:c r="M282" s="19" t="str">
        <x:v>27% normál belföldi</x:v>
      </x:c>
      <x:c r="N282" s="204" t="n">
        <x:v>0.27</x:v>
      </x:c>
      <x:c r="O282" s="204" t="n">
        <x:v>0</x:v>
      </x:c>
      <x:c r="P282" s="19" t="str">
        <x:v>NEM</x:v>
      </x:c>
      <x:c r="Q282" s="203" t="n">
        <x:f>IFERROR(L282*(1+N282),"")</x:f>
        <x:v>133400</x:v>
      </x:c>
      <x:c r="R282" s="205" t="n">
        <x:v>0</x:v>
      </x:c>
      <x:c r="S282" s="203" t="n">
        <x:f>IFERROR(Q282*(1+R282),"")</x:f>
        <x:v>133400</x:v>
      </x:c>
      <x:c r="T282" s="206" t="n">
        <x:v>0</x:v>
      </x:c>
      <x:c r="U282" s="206" t="n">
        <x:v>0</x:v>
      </x:c>
      <x:c r="V282" s="203" t="n">
        <x:f>IFERROR(S282+T282+U282,"")</x:f>
        <x:v>133400</x:v>
      </x:c>
      <x:c r="W282" s="203" t="n">
        <x:f>IFERROR(H282/(1+Anyag_Beallitasok!$B$2)*Anyag_Beallitasok!$B$9,"")</x:f>
        <x:v>138095.23809523808</x:v>
      </x:c>
      <x:c r="X282" s="203" t="n">
        <x:f>IFERROR(V282/((1-Anyag_Beallitasok!$B$3)*(1+Anyag_Beallitasok!$B$2)),"")</x:f>
        <x:v>195457.87545787543</x:v>
      </x:c>
      <x:c r="Y282" s="203" t="n">
        <x:f>IFERROR(V282/((1-Anyag_Beallitasok!$B$4)*(1+Anyag_Beallitasok!$B$2)),"")</x:f>
        <x:v>254095.23809523808</x:v>
      </x:c>
      <x:c r="Z282" s="203" t="n">
        <x:f>IFERROR(ROUNDUP(MAX(W282,X282)/Anyag_Beallitasok!$B$6,0)*Anyag_Beallitasok!$B$6,"")</x:f>
        <x:v>195500</x:v>
      </x:c>
      <x:c r="AA282" s="204" t="n">
        <x:f>Anyag_Beallitasok!$B$2</x:f>
        <x:v>0.05</x:v>
      </x:c>
      <x:c r="AB282" s="203" t="n">
        <x:f>IFERROR(Z282*(1+AA282),"")</x:f>
        <x:v>205275</x:v>
      </x:c>
      <x:c r="AC282" s="204" t="n">
        <x:f>IFERROR(1-V282/H282,"")</x:f>
        <x:v>0.07999999999999996</x:v>
      </x:c>
      <x:c r="AD282" s="204" t="n">
        <x:f>IFERROR(1-V282/AB282,"")</x:f>
        <x:v>0.35014005602240894</x:v>
      </x:c>
      <x:c r="AE282" s="19" t="str">
        <x:f>IF(AC282&lt;Anyag_Beallitasok!$B$3,"NEM ÉRI EL A 35%-OT",IF(AC282&lt;Anyag_Beallitasok!$B$4,"MINIMUM 35–49,9%",IF(AC282&lt;Anyag_Beallitasok!$B$5,"IDEÁLIS 50–59,9%","KIEMELKEDŐ ≥60%")))</x:f>
        <x:v>NEM ÉRI EL A 35%-OT</x:v>
      </x:c>
      <x:c r="AF282" s="204" t="n">
        <x:f>IFERROR(AB282/H282-1,"")</x:f>
        <x:v>0.41568965517241385</x:v>
      </x:c>
      <x:c r="AG282" s="19" t="str">
        <x:f>IF(AND(P282="IGEN",O282&gt;0),IF(AF282&gt;Anyag_Beallitasok!$B$10,"0%-OS SZÁMLA + ÖNADÓZÁS; FELÁR SZÜKSÉGES","0%-OS SZÁMLA + ÖNADÓZÁS"),IF(AF282&gt;Anyag_Beallitasok!$B$10,"FELÁR SZÜKSÉGES A 35%-HOZ",IF(AC282&lt;Anyag_Beallitasok!$B$3,"PIACI ÁRON NEM TARTHATÓ A 35%","OK")))</x:f>
        <x:v>FELÁR SZÜKSÉGES A 35%-HOZ</x:v>
      </x:c>
      <x:c r="AH282" s="207" t="n">
        <x:v>4</x:v>
      </x:c>
      <x:c r="AI282" s="207" t="n">
        <x:v>4</x:v>
      </x:c>
      <x:c r="AJ282" s="207" t="n">
        <x:v>4</x:v>
      </x:c>
      <x:c r="AK282" s="208"/>
      <x:c r="AL282" s="203" t="str">
        <x:f>IF(AK282="","",V282*AK282)</x:f>
      </x:c>
      <x:c r="AM282" s="203" t="str">
        <x:f>IF(AK282="","",AB282*AK282)</x:f>
      </x:c>
      <x:c r="AN282" s="204" t="str">
        <x:f>IFERROR(1-AL282/AM282,"")</x:f>
      </x:c>
      <x:c r="AO282" s="19" t="str">
        <x:v>https://kontenert.hu/kontener-arak/</x:v>
      </x:c>
      <x:c r="AP282" s="19" t="str">
        <x:v>2026 piaci becslés</x:v>
      </x:c>
      <x:c r="AQ282" s="19" t="str">
        <x:v>Veszélyes hulladék nem lehet benne.</x:v>
      </x:c>
    </x:row>
    <x:row r="283">
      <x:c r="A283" s="19" t="str">
        <x:v>ANY-0282</x:v>
      </x:c>
      <x:c r="B283" s="19" t="str">
        <x:v>16 Gép, logisztika, hulladék</x:v>
      </x:c>
      <x:c r="C283" s="19" t="str">
        <x:v>Bérlet, szállítás, konténer, mobil WC</x:v>
      </x:c>
      <x:c r="D283" s="19" t="str">
        <x:v>Mindegyik</x:v>
      </x:c>
      <x:c r="E283" s="19" t="str">
        <x:v>Raklap visszaszállítás</x:v>
      </x:c>
      <x:c r="F283" s="19" t="str">
        <x:v>építőanyag raklap</x:v>
      </x:c>
      <x:c r="G283" s="19" t="str">
        <x:v>raklap</x:v>
      </x:c>
      <x:c r="H283" s="203" t="n">
        <x:v>1800</x:v>
      </x:c>
      <x:c r="I283" s="204" t="n">
        <x:v>0.27</x:v>
      </x:c>
      <x:c r="J283" s="203" t="n">
        <x:f>IFERROR(H283/(1+I283),"")</x:f>
        <x:v>1417.3228346456692</x:v>
      </x:c>
      <x:c r="K283" s="205" t="n">
        <x:v>0.1</x:v>
      </x:c>
      <x:c r="L283" s="203" t="n">
        <x:f>IFERROR(J283*(1-K283),"")</x:f>
        <x:v>1275.5905511811022</x:v>
      </x:c>
      <x:c r="M283" s="19" t="str">
        <x:v>27% normál belföldi</x:v>
      </x:c>
      <x:c r="N283" s="204" t="n">
        <x:v>0.27</x:v>
      </x:c>
      <x:c r="O283" s="204" t="n">
        <x:v>0</x:v>
      </x:c>
      <x:c r="P283" s="19" t="str">
        <x:v>NEM</x:v>
      </x:c>
      <x:c r="Q283" s="203" t="n">
        <x:f>IFERROR(L283*(1+N283),"")</x:f>
        <x:v>1619.9999999999998</x:v>
      </x:c>
      <x:c r="R283" s="205" t="n">
        <x:v>0</x:v>
      </x:c>
      <x:c r="S283" s="203" t="n">
        <x:f>IFERROR(Q283*(1+R283),"")</x:f>
        <x:v>1619.9999999999998</x:v>
      </x:c>
      <x:c r="T283" s="206" t="n">
        <x:v>0</x:v>
      </x:c>
      <x:c r="U283" s="206" t="n">
        <x:v>0</x:v>
      </x:c>
      <x:c r="V283" s="203" t="n">
        <x:f>IFERROR(S283+T283+U283,"")</x:f>
        <x:v>1619.9999999999998</x:v>
      </x:c>
      <x:c r="W283" s="203" t="n">
        <x:f>IFERROR(H283/(1+Anyag_Beallitasok!$B$2)*Anyag_Beallitasok!$B$9,"")</x:f>
        <x:v>1714.2857142857142</x:v>
      </x:c>
      <x:c r="X283" s="203" t="n">
        <x:f>IFERROR(V283/((1-Anyag_Beallitasok!$B$3)*(1+Anyag_Beallitasok!$B$2)),"")</x:f>
        <x:v>2373.6263736263727</x:v>
      </x:c>
      <x:c r="Y283" s="203" t="n">
        <x:f>IFERROR(V283/((1-Anyag_Beallitasok!$B$4)*(1+Anyag_Beallitasok!$B$2)),"")</x:f>
        <x:v>3085.7142857142853</x:v>
      </x:c>
      <x:c r="Z283" s="203" t="n">
        <x:f>IFERROR(ROUNDUP(MAX(W283,X283)/Anyag_Beallitasok!$B$6,0)*Anyag_Beallitasok!$B$6,"")</x:f>
        <x:v>2400</x:v>
      </x:c>
      <x:c r="AA283" s="204" t="n">
        <x:f>Anyag_Beallitasok!$B$2</x:f>
        <x:v>0.05</x:v>
      </x:c>
      <x:c r="AB283" s="203" t="n">
        <x:f>IFERROR(Z283*(1+AA283),"")</x:f>
        <x:v>2520</x:v>
      </x:c>
      <x:c r="AC283" s="204" t="n">
        <x:f>IFERROR(1-V283/H283,"")</x:f>
        <x:v>0.10000000000000009</x:v>
      </x:c>
      <x:c r="AD283" s="204" t="n">
        <x:f>IFERROR(1-V283/AB283,"")</x:f>
        <x:v>0.3571428571428572</x:v>
      </x:c>
      <x:c r="AE283" s="19" t="str">
        <x:f>IF(AC283&lt;Anyag_Beallitasok!$B$3,"NEM ÉRI EL A 35%-OT",IF(AC283&lt;Anyag_Beallitasok!$B$4,"MINIMUM 35–49,9%",IF(AC283&lt;Anyag_Beallitasok!$B$5,"IDEÁLIS 50–59,9%","KIEMELKEDŐ ≥60%")))</x:f>
        <x:v>NEM ÉRI EL A 35%-OT</x:v>
      </x:c>
      <x:c r="AF283" s="204" t="n">
        <x:f>IFERROR(AB283/H283-1,"")</x:f>
        <x:v>0.3999999999999999</x:v>
      </x:c>
      <x:c r="AG283" s="19" t="str">
        <x:f>IF(AND(P283="IGEN",O283&gt;0),IF(AF283&gt;Anyag_Beallitasok!$B$10,"0%-OS SZÁMLA + ÖNADÓZÁS; FELÁR SZÜKSÉGES","0%-OS SZÁMLA + ÖNADÓZÁS"),IF(AF283&gt;Anyag_Beallitasok!$B$10,"FELÁR SZÜKSÉGES A 35%-HOZ",IF(AC283&lt;Anyag_Beallitasok!$B$3,"PIACI ÁRON NEM TARTHATÓ A 35%","OK")))</x:f>
        <x:v>FELÁR SZÜKSÉGES A 35%-HOZ</x:v>
      </x:c>
      <x:c r="AH283" s="207" t="n">
        <x:v>35</x:v>
      </x:c>
      <x:c r="AI283" s="207" t="n">
        <x:v>35</x:v>
      </x:c>
      <x:c r="AJ283" s="207" t="n">
        <x:v>35</x:v>
      </x:c>
      <x:c r="AK283" s="208"/>
      <x:c r="AL283" s="203" t="str">
        <x:f>IF(AK283="","",V283*AK283)</x:f>
      </x:c>
      <x:c r="AM283" s="203" t="str">
        <x:f>IF(AK283="","",AB283*AK283)</x:f>
      </x:c>
      <x:c r="AN283" s="204" t="str">
        <x:f>IFERROR(1-AL283/AM283,"")</x:f>
      </x:c>
      <x:c r="AO283" s="19" t="str">
        <x:v>https://www.bmigroup.com/hu/szolgaltatasok/hasznos-informaciok/raklap-es-logisztikai-informaciok/logisztikai-d%C3%ADjak/</x:v>
      </x:c>
      <x:c r="AP283" s="19" t="str">
        <x:v>2026 logisztikai díjból</x:v>
      </x:c>
      <x:c r="AQ283" s="19" t="str">
        <x:v>Visszaváltási bevétel külön kezelendő.</x:v>
      </x:c>
    </x:row>
    <x:row r="284">
      <x:c r="A284" s="19" t="str">
        <x:v>ANY-0283</x:v>
      </x:c>
      <x:c r="B284" s="19" t="str">
        <x:v>16 Gép, logisztika, hulladék</x:v>
      </x:c>
      <x:c r="C284" s="19" t="str">
        <x:v>Bérlet, szállítás, konténer, mobil WC</x:v>
      </x:c>
      <x:c r="D284" s="19" t="str">
        <x:v>Mindegyik</x:v>
      </x:c>
      <x:c r="E284" s="19" t="str">
        <x:v>Közterület-használati díj konténerhez</x:v>
      </x:c>
      <x:c r="F284" s="19" t="str">
        <x:v>helyi önkormányzati engedély</x:v>
      </x:c>
      <x:c r="G284" s="19" t="str">
        <x:v>nap</x:v>
      </x:c>
      <x:c r="H284" s="203" t="n">
        <x:v>2500</x:v>
      </x:c>
      <x:c r="I284" s="204" t="n">
        <x:v>0</x:v>
      </x:c>
      <x:c r="J284" s="203" t="n">
        <x:f>IFERROR(H284/(1+I284),"")</x:f>
        <x:v>2500</x:v>
      </x:c>
      <x:c r="K284" s="205" t="n">
        <x:v>0</x:v>
      </x:c>
      <x:c r="L284" s="203" t="n">
        <x:f>IFERROR(J284*(1-K284),"")</x:f>
        <x:v>2500</x:v>
      </x:c>
      <x:c r="M284" s="19" t="str">
        <x:v>Ténylegesen áfamentes / nincs áfa</x:v>
      </x:c>
      <x:c r="N284" s="204" t="n">
        <x:v>0</x:v>
      </x:c>
      <x:c r="O284" s="204" t="n">
        <x:v>0</x:v>
      </x:c>
      <x:c r="P284" s="19" t="str">
        <x:v>IGEN</x:v>
      </x:c>
      <x:c r="Q284" s="203" t="n">
        <x:f>IFERROR(L284*(1+N284),"")</x:f>
        <x:v>2500</x:v>
      </x:c>
      <x:c r="R284" s="205" t="n">
        <x:v>0</x:v>
      </x:c>
      <x:c r="S284" s="203" t="n">
        <x:f>IFERROR(Q284*(1+R284),"")</x:f>
        <x:v>2500</x:v>
      </x:c>
      <x:c r="T284" s="206" t="n">
        <x:v>0</x:v>
      </x:c>
      <x:c r="U284" s="206" t="n">
        <x:v>0</x:v>
      </x:c>
      <x:c r="V284" s="203" t="n">
        <x:f>IFERROR(S284+T284+U284,"")</x:f>
        <x:v>2500</x:v>
      </x:c>
      <x:c r="W284" s="203" t="n">
        <x:f>IFERROR(H284/(1+Anyag_Beallitasok!$B$2)*Anyag_Beallitasok!$B$9,"")</x:f>
        <x:v>2380.9523809523807</x:v>
      </x:c>
      <x:c r="X284" s="203" t="n">
        <x:f>IFERROR(V284/((1-Anyag_Beallitasok!$B$3)*(1+Anyag_Beallitasok!$B$2)),"")</x:f>
        <x:v>3663.0036630036625</x:v>
      </x:c>
      <x:c r="Y284" s="203" t="n">
        <x:f>IFERROR(V284/((1-Anyag_Beallitasok!$B$4)*(1+Anyag_Beallitasok!$B$2)),"")</x:f>
        <x:v>4761.9047619047615</x:v>
      </x:c>
      <x:c r="Z284" s="203" t="n">
        <x:f>IFERROR(ROUNDUP(MAX(W284,X284)/Anyag_Beallitasok!$B$6,0)*Anyag_Beallitasok!$B$6,"")</x:f>
        <x:v>3700</x:v>
      </x:c>
      <x:c r="AA284" s="204" t="n">
        <x:f>Anyag_Beallitasok!$B$2</x:f>
        <x:v>0.05</x:v>
      </x:c>
      <x:c r="AB284" s="203" t="n">
        <x:f>IFERROR(Z284*(1+AA284),"")</x:f>
        <x:v>3885</x:v>
      </x:c>
      <x:c r="AC284" s="204" t="n">
        <x:f>IFERROR(1-V284/H284,"")</x:f>
        <x:v>0</x:v>
      </x:c>
      <x:c r="AD284" s="204" t="n">
        <x:f>IFERROR(1-V284/AB284,"")</x:f>
        <x:v>0.3564993564993565</x:v>
      </x:c>
      <x:c r="AE284" s="19" t="str">
        <x:f>IF(AC284&lt;Anyag_Beallitasok!$B$3,"NEM ÉRI EL A 35%-OT",IF(AC284&lt;Anyag_Beallitasok!$B$4,"MINIMUM 35–49,9%",IF(AC284&lt;Anyag_Beallitasok!$B$5,"IDEÁLIS 50–59,9%","KIEMELKEDŐ ≥60%")))</x:f>
        <x:v>NEM ÉRI EL A 35%-OT</x:v>
      </x:c>
      <x:c r="AF284" s="204" t="n">
        <x:f>IFERROR(AB284/H284-1,"")</x:f>
        <x:v>0.554</x:v>
      </x:c>
      <x:c r="AG284" s="19" t="str">
        <x:f>IF(AND(P284="IGEN",O284&gt;0),IF(AF284&gt;Anyag_Beallitasok!$B$10,"0%-OS SZÁMLA + ÖNADÓZÁS; FELÁR SZÜKSÉGES","0%-OS SZÁMLA + ÖNADÓZÁS"),IF(AF284&gt;Anyag_Beallitasok!$B$10,"FELÁR SZÜKSÉGES A 35%-HOZ",IF(AC284&lt;Anyag_Beallitasok!$B$3,"PIACI ÁRON NEM TARTHATÓ A 35%","OK")))</x:f>
        <x:v>FELÁR SZÜKSÉGES A 35%-HOZ</x:v>
      </x:c>
      <x:c r="AH284" s="207" t="n">
        <x:v>0</x:v>
      </x:c>
      <x:c r="AI284" s="207" t="n">
        <x:v>0</x:v>
      </x:c>
      <x:c r="AJ284" s="207" t="n">
        <x:v>0</x:v>
      </x:c>
      <x:c r="AK284" s="208"/>
      <x:c r="AL284" s="203" t="str">
        <x:f>IF(AK284="","",V284*AK284)</x:f>
      </x:c>
      <x:c r="AM284" s="203" t="str">
        <x:f>IF(AK284="","",AB284*AK284)</x:f>
      </x:c>
      <x:c r="AN284" s="204" t="str">
        <x:f>IFERROR(1-AL284/AM284,"")</x:f>
      </x:c>
      <x:c r="AO284" s="19" t="str">
        <x:v>https://kontenert.hu/kontener-arak/</x:v>
      </x:c>
      <x:c r="AP284" s="19" t="str">
        <x:v>Önkormányzatfüggő becslés</x:v>
      </x:c>
      <x:c r="AQ284" s="19" t="str">
        <x:v>Nem minden helyszínen szükséges; díj és áfakezelés ellenőrzendő.</x:v>
      </x:c>
    </x:row>
  </x:sheetData>
  <x:conditionalFormatting sqref="AE2:AE284">
    <x:cfRule type="expression" dxfId="6" priority="1">
      <x:formula>LEFT(AE2,3)="NEM"</x:formula>
    </x:cfRule>
    <x:cfRule type="expression" dxfId="7" priority="2">
      <x:formula>LEFT(AE2,7)="MINIMUM"</x:formula>
    </x:cfRule>
    <x:cfRule type="expression" dxfId="8" priority="3">
      <x:formula>LEFT(AE2,7)="IDEÁLIS"</x:formula>
    </x:cfRule>
    <x:cfRule type="expression" dxfId="9" priority="4">
      <x:formula>LEFT(AE2,10)="KIEMELKEDŐ"</x:formula>
    </x:cfRule>
  </x:conditionalFormatting>
  <x:conditionalFormatting sqref="AG2:AG284">
    <x:cfRule type="expression" dxfId="10" priority="5">
      <x:formula>ISNUMBER(SEARCH("FELÁR",AG2))</x:formula>
    </x:cfRule>
    <x:cfRule type="expression" dxfId="11" priority="6">
      <x:formula>ISNUMBER(SEARCH("ÖNADÓZÁS",AG2))</x:formula>
    </x:cfRule>
  </x:conditionalFormatting>
  <x:conditionalFormatting sqref="AD2:AD284">
    <x:cfRule type="dataBar" priority="7">
      <x:dataBar>
        <x:cfvo type="min"/>
        <x:cfvo type="max"/>
        <x:color rgb="FF2E7D32"/>
      </x:dataBar>
      <x:extLst>
        <x:ext xmlns:x14="http://schemas.microsoft.com/office/spreadsheetml/2009/9/main" uri="{B025F937-C7B1-47D3-B67F-A62EFF666E3E}">
          <x14:id>{36666261-B966-2600-0BAE-8C89E073572E}</x14:id>
        </x:ext>
      </x:extLst>
    </x:cfRule>
  </x:conditionalFormatting>
  <x:conditionalFormatting sqref="AF2:AF284">
    <x:cfRule type="cellIs" dxfId="12" priority="8" operator="greaterThan">
      <x:formula>Anyag_Beallitasok!$B$10</x:formula>
    </x:cfRule>
  </x:conditionalFormatting>
  <x:dataValidations count="2">
    <x:dataValidation type="list" sqref="P2:P284">
      <x:formula1>"IGEN,NEM"</x:formula1>
    </x:dataValidation>
    <x:dataValidation type="decimal" operator="greaterThanOrEqual" sqref="AK2:AK28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142f99c47045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36666261-B966-2600-0BAE-8C89E073572E}">
            <x14:dataBar gradient="1">
              <x14:cfvo type="min"/>
              <x14:cfvo type="max"/>
              <x14:fillColor rgb="FF2E7D32"/>
            </x14:dataBar>
          </x14:cfRule>
          <xm:sqref>AD2:AD284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9" max="9" width="17" hidden="0" customWidth="1"/>
    <x:col min="10" max="10" width="47" hidden="0" customWidth="1"/>
    <x:col min="11" max="11" width="27" hidden="0" customWidth="1"/>
    <x:col min="12" max="12" width="47" hidden="0" customWidth="1"/>
    <x:col min="8" max="8" width="24" hidden="0" customWidth="1"/>
    <x:col min="13" max="13" width="47" hidden="0" customWidth="1"/>
    <x:col min="14" max="14" width="17" hidden="0" customWidth="1"/>
  </x:cols>
  <x:sheetData>
    <x:row r="1">
      <x:c r="A1" s="211" t="str">
        <x:v>ANYAGKÖLTSÉG-ÁRTÜKÖR – VEZETŐI ÖSSZESÍTŐ</x:v>
      </x:c>
      <x:c r="B1" s="211" t="str">
        <x:v>ANYAGKÖLTSÉG-ÁRTÜKÖR – VEZETŐI ÖSSZESÍTŐ</x:v>
      </x:c>
      <x:c r="C1" s="211" t="str">
        <x:v>ANYAGKÖLTSÉG-ÁRTÜKÖR – VEZETŐI ÖSSZESÍTŐ</x:v>
      </x:c>
      <x:c r="D1" s="211" t="str">
        <x:v>ANYAGKÖLTSÉG-ÁRTÜKÖR – VEZETŐI ÖSSZESÍTŐ</x:v>
      </x:c>
      <x:c r="E1" s="211" t="str">
        <x:v>ANYAGKÖLTSÉG-ÁRTÜKÖR – VEZETŐI ÖSSZESÍTŐ</x:v>
      </x:c>
      <x:c r="F1" s="211" t="str">
        <x:v>ANYAGKÖLTSÉG-ÁRTÜKÖR – VEZETŐI ÖSSZESÍTŐ</x:v>
      </x:c>
      <x:c r="G1" s="211" t="str">
        <x:v>ANYAGKÖLTSÉG-ÁRTÜKÖR – VEZETŐI ÖSSZESÍTŐ</x:v>
      </x:c>
      <x:c r="H1" s="211" t="str">
        <x:v>ANYAGKÖLTSÉG-ÁRTÜKÖR – VEZETŐI ÖSSZESÍTŐ</x:v>
      </x:c>
      <x:c r="I1" s="211" t="str">
        <x:v>ANYAGKÖLTSÉG-ÁRTÜKÖR – VEZETŐI ÖSSZESÍTŐ</x:v>
      </x:c>
      <x:c r="J1" s="211" t="str">
        <x:v>ANYAGKÖLTSÉG-ÁRTÜKÖR – VEZETŐI ÖSSZESÍTŐ</x:v>
      </x:c>
    </x:row>
    <x:row r="3">
      <x:c r="A3" s="214" t="str">
        <x:v>Mutató</x:v>
      </x:c>
      <x:c r="B3" s="215" t="str">
        <x:v>Érték</x:v>
      </x:c>
      <x:c r="D3" s="214" t="str">
        <x:v>Piaci árszint státusza</x:v>
      </x:c>
      <x:c r="E3" s="215" t="str">
        <x:v>Darab</x:v>
      </x:c>
      <x:c r="I3" s="227"/>
      <x:c r="J3" s="228"/>
      <x:c r="K3" s="227" t="str">
        <x:v>Kulcsjelzés</x:v>
      </x:c>
      <x:c r="L3" s="229" t="str">
        <x:v>Mit jelent</x:v>
      </x:c>
      <x:c r="M3" s="228" t="str">
        <x:v>Teendő</x:v>
      </x:c>
      <x:c r="N3" s="229" t="str">
        <x:v>Adókockázat</x:v>
      </x:c>
    </x:row>
    <x:row r="4">
      <x:c r="A4" s="131" t="str">
        <x:v>Anyag- és szolgáltatástételek</x:v>
      </x:c>
      <x:c r="B4" s="53" t="n">
        <x:f>COUNTA(Anyag_Master!A2:A284)</x:f>
        <x:v>283</x:v>
      </x:c>
      <x:c r="D4" s="131" t="str">
        <x:v>NEM ÉRI EL A 35%-OT</x:v>
      </x:c>
      <x:c r="E4" s="53" t="n">
        <x:f>COUNTIF(Anyag_Master!AE2:AE284,"NEM ÉRI EL A 35%-OT")</x:f>
        <x:v>271</x:v>
      </x:c>
      <x:c r="I4" s="144"/>
      <x:c r="J4" s="171"/>
      <x:c r="K4" s="144" t="str">
        <x:v>NEM ÉRI EL A 35%-OT</x:v>
      </x:c>
      <x:c r="L4" s="72" t="str">
        <x:v>A publikus bruttó referencia mellett 35% alatti a cash-árrés.</x:v>
      </x:c>
      <x:c r="M4" s="171" t="str">
        <x:v>Beszerzési kedvezmény, olcsóbb forrás vagy magasabb eladási keret kell.</x:v>
      </x:c>
      <x:c r="N4" s="72" t="str">
        <x:v>Nincs</x:v>
      </x:c>
    </x:row>
    <x:row r="5">
      <x:c r="A5" s="131" t="str">
        <x:v>Szakágak</x:v>
      </x:c>
      <x:c r="B5" s="53" t="n">
        <x:v>16</x:v>
      </x:c>
      <x:c r="D5" s="131" t="str">
        <x:v>MINIMUM 35–49,9%</x:v>
      </x:c>
      <x:c r="E5" s="53" t="n">
        <x:f>COUNTIF(Anyag_Master!AE2:AE284,"MINIMUM 35–49,9%")</x:f>
        <x:v>12</x:v>
      </x:c>
      <x:c r="I5" s="144"/>
      <x:c r="J5" s="171"/>
      <x:c r="K5" s="144" t="str">
        <x:v>FELÁR SZÜKSÉGES</x:v>
      </x:c>
      <x:c r="L5" s="72" t="str">
        <x:v>Az ajánlott minimumár több mint 20%-kal magasabb a publikus bruttó referenciaárnál.</x:v>
      </x:c>
      <x:c r="M5" s="171" t="str">
        <x:v>Ne szerződj automatikus listaárral; tételes ügyfélkeret kell.</x:v>
      </x:c>
      <x:c r="N5" s="72" t="str">
        <x:v>Nincs</x:v>
      </x:c>
    </x:row>
    <x:row r="6">
      <x:c r="A6" s="131" t="str">
        <x:v>0%-os számlás / önadózásos tételek</x:v>
      </x:c>
      <x:c r="B6" s="53" t="n">
        <x:f>COUNTIF(Anyag_Master!P2:P284,"IGEN")</x:f>
        <x:v>28</x:v>
      </x:c>
      <x:c r="D6" s="131" t="str">
        <x:v>IDEÁLIS 50–59,9%</x:v>
      </x:c>
      <x:c r="E6" s="53" t="n">
        <x:f>COUNTIF(Anyag_Master!AE2:AE284,"IDEÁLIS 50–59,9%")</x:f>
        <x:v>0</x:v>
      </x:c>
      <x:c r="I6" s="144"/>
      <x:c r="J6" s="171"/>
      <x:c r="K6" s="144" t="str">
        <x:v>0%-OS SZÁMLA + ÖNADÓZÁS</x:v>
      </x:c>
      <x:c r="L6" s="72" t="str">
        <x:v>A beszállítói számla nem tartalmaz áfát, de a vevő 27%-ot önadózással rendezhet.</x:v>
      </x:c>
      <x:c r="M6" s="171" t="str">
        <x:v>VTSZ, közösségi adószám és levonási jog könyvelői ellenőrzése.</x:v>
      </x:c>
      <x:c r="N6" s="72" t="str">
        <x:v>Magas</x:v>
      </x:c>
    </x:row>
    <x:row r="7">
      <x:c r="A7" s="131" t="str">
        <x:v>27%-os számlás tételek</x:v>
      </x:c>
      <x:c r="B7" s="53" t="n">
        <x:f>COUNTIF(Anyag_Master!N2:N284,0.27)</x:f>
        <x:v>255</x:v>
      </x:c>
      <x:c r="D7" s="132" t="str">
        <x:v>KIEMELKEDŐ ≥60%</x:v>
      </x:c>
      <x:c r="E7" s="57" t="n">
        <x:f>COUNTIF(Anyag_Master!AE2:AE284,"KIEMELKEDŐ ≥60%")</x:f>
        <x:v>0</x:v>
      </x:c>
      <x:c r="I7" s="144"/>
      <x:c r="J7" s="171"/>
      <x:c r="K7" s="144" t="str">
        <x:v>KIEMELKEDŐ ≥60%</x:v>
      </x:c>
      <x:c r="L7" s="72" t="str">
        <x:v>A publikus árszinten 60% vagy több cash-árrés látszik.</x:v>
      </x:c>
      <x:c r="M7" s="171" t="str">
        <x:v>Ellenőrizd, nem túl magas-e a publikus referencia vagy nem maradt-e ki kiegészítő költség.</x:v>
      </x:c>
      <x:c r="N7" s="72" t="str">
        <x:v>Közepes</x:v>
      </x:c>
    </x:row>
    <x:row r="8">
      <x:c r="A8" s="132" t="str">
        <x:v>Frissítés</x:v>
      </x:c>
      <x:c r="B8" s="57" t="str">
        <x:v>2026-07-14</x:v>
      </x:c>
      <x:c r="I8" s="145"/>
      <x:c r="J8" s="78"/>
      <x:c r="K8" s="145" t="str">
        <x:v>Projektáras tétel</x:v>
      </x:c>
      <x:c r="L8" s="79" t="str">
        <x:v>Nincs egységes nyilvános listaár.</x:v>
      </x:c>
      <x:c r="M8" s="78" t="str">
        <x:v>Gyártói/beszállítói írásos ajánlat nélkül ne rögzíts végleges szerződéses árat.</x:v>
      </x:c>
      <x:c r="N8" s="79" t="str">
        <x:v>Nincs</x:v>
      </x:c>
    </x:row>
    <x:row r="11">
      <x:c r="A11" s="218" t="str">
        <x:v>Mintaház</x:v>
      </x:c>
      <x:c r="B11" s="219" t="str">
        <x:v>Beszerzési cash-költség</x:v>
      </x:c>
      <x:c r="C11" s="219" t="str">
        <x:v>Piaci bruttó eladási érték</x:v>
      </x:c>
      <x:c r="D11" s="219" t="str">
        <x:v>Piaci árszint cash-árrése</x:v>
      </x:c>
      <x:c r="E11" s="219" t="str">
        <x:v>Ajánlott bruttó eladási érték (min. 35%)</x:v>
      </x:c>
      <x:c r="F11" s="219" t="str">
        <x:v>Ajánlott cash-árrés</x:v>
      </x:c>
      <x:c r="G11" s="220" t="str">
        <x:v>Felár a publikus árszinthez</x:v>
      </x:c>
      <x:c r="H11" s="219" t="str">
        <x:v>Ideális bruttó eladási érték (50%)</x:v>
      </x:c>
      <x:c r="I11" s="220" t="str">
        <x:v>Ideális cash-árrés</x:v>
      </x:c>
    </x:row>
    <x:row r="12">
      <x:c r="A12" s="131" t="str">
        <x:v>Tégla 120 m²</x:v>
      </x:c>
      <x:c r="B12" s="221" t="n">
        <x:f>SUMPRODUCT(Anyag_Master!V2:V284,Anyag_Master!AH2:AH284)</x:f>
        <x:v>53124953.99343306</x:v>
      </x:c>
      <x:c r="C12" s="221" t="n">
        <x:f>SUMPRODUCT(Anyag_Master!H2:H284,Anyag_Master!AH2:AH284)</x:f>
        <x:v>59114154</x:v>
      </x:c>
      <x:c r="D12" s="223" t="n">
        <x:f>IFERROR(1-B12/C12,"")</x:f>
        <x:v>0.10131583726237448</x:v>
      </x:c>
      <x:c r="E12" s="221" t="n">
        <x:f>SUMPRODUCT(Anyag_Master!AB2:AB284,Anyag_Master!AH2:AH284)</x:f>
        <x:v>84119227.5</x:v>
      </x:c>
      <x:c r="F12" s="223" t="n">
        <x:f>IFERROR(1-B12/E12,"")</x:f>
        <x:v>0.36845646860662074</x:v>
      </x:c>
      <x:c r="G12" s="225" t="n">
        <x:f>IFERROR(E12/C12-1,"")</x:f>
        <x:v>0.42299638594168165</x:v>
      </x:c>
      <x:c r="H12" s="221" t="n">
        <x:f>SUMPRODUCT(Anyag_Master!Y2:Y284*(1+Anyag_Master!AA2:AA284),Anyag_Master!AH2:AH284)</x:f>
        <x:v>106249907.98686612</x:v>
      </x:c>
      <x:c r="I12" s="225" t="n">
        <x:f>IFERROR(1-B12/H12,"")</x:f>
        <x:v>0.5</x:v>
      </x:c>
    </x:row>
    <x:row r="13">
      <x:c r="A13" s="131" t="str">
        <x:v>Faváz 120 m²</x:v>
      </x:c>
      <x:c r="B13" s="221" t="n">
        <x:f>SUMPRODUCT(Anyag_Master!V2:V284,Anyag_Master!AI2:AI284)</x:f>
        <x:v>58924485.38499999</x:v>
      </x:c>
      <x:c r="C13" s="221" t="n">
        <x:f>SUMPRODUCT(Anyag_Master!H2:H284,Anyag_Master!AI2:AI284)</x:f>
        <x:v>65023547</x:v>
      </x:c>
      <x:c r="D13" s="223" t="n">
        <x:f>IFERROR(1-B13/C13,"")</x:f>
        <x:v>0.09379773784103185</x:v>
      </x:c>
      <x:c r="E13" s="221" t="n">
        <x:f>SUMPRODUCT(Anyag_Master!AB2:AB284,Anyag_Master!AI2:AI284)</x:f>
        <x:v>93351457.5</x:v>
      </x:c>
      <x:c r="F13" s="223" t="n">
        <x:f>IFERROR(1-B13/E13,"")</x:f>
        <x:v>0.3687888013424966</x:v>
      </x:c>
      <x:c r="G13" s="225" t="n">
        <x:f>IFERROR(E13/C13-1,"")</x:f>
        <x:v>0.43565618621205027</x:v>
      </x:c>
      <x:c r="H13" s="221" t="n">
        <x:f>SUMPRODUCT(Anyag_Master!Y2:Y284*(1+Anyag_Master!AA2:AA284),Anyag_Master!AI2:AI284)</x:f>
        <x:v>117848970.76999998</x:v>
      </x:c>
      <x:c r="I13" s="225" t="n">
        <x:f>IFERROR(1-B13/H13,"")</x:f>
        <x:v>0.5</x:v>
      </x:c>
    </x:row>
    <x:row r="14">
      <x:c r="A14" s="131" t="str">
        <x:v>Liapor/Leier 120 m²</x:v>
      </x:c>
      <x:c r="B14" s="221" t="n">
        <x:f>SUMPRODUCT(Anyag_Master!V2:V284,Anyag_Master!AJ2:AJ284)</x:f>
        <x:v>70553222.24555902</x:v>
      </x:c>
      <x:c r="C14" s="221" t="n">
        <x:f>SUMPRODUCT(Anyag_Master!H2:H284,Anyag_Master!AJ2:AJ284)</x:f>
        <x:v>76465574</x:v>
      </x:c>
      <x:c r="D14" s="223" t="n">
        <x:f>IFERROR(1-B14/C14,"")</x:f>
        <x:v>0.0773204390572021</x:v>
      </x:c>
      <x:c r="E14" s="221" t="n">
        <x:f>SUMPRODUCT(Anyag_Master!AB2:AB284,Anyag_Master!AJ2:AJ284)</x:f>
        <x:v>110977492.5</x:v>
      </x:c>
      <x:c r="F14" s="223" t="n">
        <x:f>IFERROR(1-B14/E14,"")</x:f>
        <x:v>0.36425647528881566</x:v>
      </x:c>
      <x:c r="G14" s="225" t="n">
        <x:f>IFERROR(E14/C14-1,"")</x:f>
        <x:v>0.45133929812650075</x:v>
      </x:c>
      <x:c r="H14" s="221" t="n">
        <x:f>SUMPRODUCT(Anyag_Master!Y2:Y284*(1+Anyag_Master!AA2:AA284),Anyag_Master!AJ2:AJ284)</x:f>
        <x:v>141106444.49111804</x:v>
      </x:c>
      <x:c r="I14" s="225" t="n">
        <x:f>IFERROR(1-B14/H14,"")</x:f>
        <x:v>0.5</x:v>
      </x:c>
    </x:row>
    <x:row r="15">
      <x:c r="A15" s="132" t="str">
        <x:v>Saját projekt</x:v>
      </x:c>
      <x:c r="B15" s="222" t="n">
        <x:f>SUMPRODUCT(Anyag_Master!V2:V284,Anyag_Master!AK2:AK284)</x:f>
        <x:v>0</x:v>
      </x:c>
      <x:c r="C15" s="222" t="n">
        <x:f>SUMPRODUCT(Anyag_Master!H2:H284,Anyag_Master!AK2:AK284)</x:f>
        <x:v>0</x:v>
      </x:c>
      <x:c r="D15" s="224" t="str">
        <x:f>IFERROR(1-B15/C15,"")</x:f>
      </x:c>
      <x:c r="E15" s="222" t="n">
        <x:f>SUMPRODUCT(Anyag_Master!AB2:AB284,Anyag_Master!AK2:AK284)</x:f>
        <x:v>0</x:v>
      </x:c>
      <x:c r="F15" s="224" t="str">
        <x:f>IFERROR(1-B15/E15,"")</x:f>
      </x:c>
      <x:c r="G15" s="226" t="str">
        <x:f>IFERROR(E15/C15-1,"")</x:f>
      </x:c>
      <x:c r="H15" s="222" t="n">
        <x:f>SUMPRODUCT(Anyag_Master!Y2:Y284*(1+Anyag_Master!AA2:AA284),Anyag_Master!AK2:AK284)</x:f>
        <x:v>0</x:v>
      </x:c>
      <x:c r="I15" s="226" t="str">
        <x:f>IFERROR(1-B15/H15,"")</x:f>
      </x:c>
    </x:row>
    <x:row r="19">
      <x:c r="A19" s="218" t="str">
        <x:v>Szakág</x:v>
      </x:c>
      <x:c r="B19" s="219" t="str">
        <x:v>Tételszám</x:v>
      </x:c>
      <x:c r="C19" s="219" t="str">
        <x:v>Tégla beszerzés</x:v>
      </x:c>
      <x:c r="D19" s="219" t="str">
        <x:v>Faváz beszerzés</x:v>
      </x:c>
      <x:c r="E19" s="219" t="str">
        <x:v>Liapor/Leier beszerzés</x:v>
      </x:c>
      <x:c r="F19" s="219" t="str">
        <x:v>Átlagos piaci cash-árrés</x:v>
      </x:c>
      <x:c r="G19" s="220" t="str">
        <x:v>Feláras tételek</x:v>
      </x:c>
    </x:row>
    <x:row r="20">
      <x:c r="A20" s="131" t="str">
        <x:v>01 Felvonulás</x:v>
      </x:c>
      <x:c r="B20" s="161" t="n">
        <x:f>COUNTIF(Anyag_Master!B2:B284,A20)</x:f>
        <x:v>8</x:v>
      </x:c>
      <x:c r="C20" s="221" t="n">
        <x:f>SUMPRODUCT((Anyag_Master!B2:B284=A20)*Anyag_Master!V2:V284*Anyag_Master!AH2:AH284)</x:f>
        <x:v>1512927</x:v>
      </x:c>
      <x:c r="D20" s="221" t="n">
        <x:f>SUMPRODUCT((Anyag_Master!B2:B284=A20)*Anyag_Master!V2:V284*Anyag_Master!AI2:AI284)</x:f>
        <x:v>1512927</x:v>
      </x:c>
      <x:c r="E20" s="221" t="n">
        <x:f>SUMPRODUCT((Anyag_Master!B2:B284=A20)*Anyag_Master!V2:V284*Anyag_Master!AJ2:AJ284)</x:f>
        <x:v>1512927</x:v>
      </x:c>
      <x:c r="F20" s="223" t="n">
        <x:f>IFERROR(AVERAGEIF(Anyag_Master!B2:B284,A20,Anyag_Master!AC2:AC284),"")</x:f>
        <x:v>0.03868589743589747</x:v>
      </x:c>
      <x:c r="G20" s="53" t="n">
        <x:f>COUNTIFS(Anyag_Master!B2:B284,A20,Anyag_Master!AG2:AG284,"*FELÁR*")</x:f>
        <x:v>0</x:v>
      </x:c>
    </x:row>
    <x:row r="21">
      <x:c r="A21" s="131" t="str">
        <x:v>02 Földmunka</x:v>
      </x:c>
      <x:c r="B21" s="161" t="n">
        <x:f>COUNTIF(Anyag_Master!B2:B284,A21)</x:f>
        <x:v>14</x:v>
      </x:c>
      <x:c r="C21" s="221" t="n">
        <x:f>SUMPRODUCT((Anyag_Master!B2:B284=A21)*Anyag_Master!V2:V284*Anyag_Master!AH2:AH284)</x:f>
        <x:v>3551353.9600000004</x:v>
      </x:c>
      <x:c r="D21" s="221" t="n">
        <x:f>SUMPRODUCT((Anyag_Master!B2:B284=A21)*Anyag_Master!V2:V284*Anyag_Master!AI2:AI284)</x:f>
        <x:v>3551353.9600000004</x:v>
      </x:c>
      <x:c r="E21" s="221" t="n">
        <x:f>SUMPRODUCT((Anyag_Master!B2:B284=A21)*Anyag_Master!V2:V284*Anyag_Master!AJ2:AJ284)</x:f>
        <x:v>3551353.9600000004</x:v>
      </x:c>
      <x:c r="F21" s="223" t="n">
        <x:f>IFERROR(AVERAGEIF(Anyag_Master!B2:B284,A21,Anyag_Master!AC2:AC284),"")</x:f>
        <x:v>-0.10042700695535424</x:v>
      </x:c>
      <x:c r="G21" s="53" t="n">
        <x:f>COUNTIFS(Anyag_Master!B2:B284,A21,Anyag_Master!AG2:AG284,"*FELÁR*")</x:f>
        <x:v>0</x:v>
      </x:c>
    </x:row>
    <x:row r="22">
      <x:c r="A22" s="131" t="str">
        <x:v>03 Vasbeton</x:v>
      </x:c>
      <x:c r="B22" s="161" t="n">
        <x:f>COUNTIF(Anyag_Master!B2:B284,A22)</x:f>
        <x:v>23</x:v>
      </x:c>
      <x:c r="C22" s="221" t="n">
        <x:f>SUMPRODUCT((Anyag_Master!B2:B284=A22)*Anyag_Master!V2:V284*Anyag_Master!AH2:AH284)</x:f>
        <x:v>7414008.288629921</x:v>
      </x:c>
      <x:c r="D22" s="221" t="n">
        <x:f>SUMPRODUCT((Anyag_Master!B2:B284=A22)*Anyag_Master!V2:V284*Anyag_Master!AI2:AI284)</x:f>
        <x:v>6388299.016196849</x:v>
      </x:c>
      <x:c r="E22" s="221" t="n">
        <x:f>SUMPRODUCT((Anyag_Master!B2:B284=A22)*Anyag_Master!V2:V284*Anyag_Master!AJ2:AJ284)</x:f>
        <x:v>7778935.580755906</x:v>
      </x:c>
      <x:c r="F22" s="223" t="n">
        <x:f>IFERROR(AVERAGEIF(Anyag_Master!B2:B284,A22,Anyag_Master!AC2:AC284),"")</x:f>
        <x:v>0.03505497836380517</x:v>
      </x:c>
      <x:c r="G22" s="53" t="n">
        <x:f>COUNTIFS(Anyag_Master!B2:B284,A22,Anyag_Master!AG2:AG284,"*FELÁR*")</x:f>
        <x:v>0</x:v>
      </x:c>
    </x:row>
    <x:row r="23">
      <x:c r="A23" s="131" t="str">
        <x:v>04 Falazás</x:v>
      </x:c>
      <x:c r="B23" s="161" t="n">
        <x:f>COUNTIF(Anyag_Master!B2:B284,A23)</x:f>
        <x:v>17</x:v>
      </x:c>
      <x:c r="C23" s="221" t="n">
        <x:f>SUMPRODUCT((Anyag_Master!B2:B284=A23)*Anyag_Master!V2:V284*Anyag_Master!AH2:AH284)</x:f>
        <x:v>3433229.0000000005</x:v>
      </x:c>
      <x:c r="D23" s="221" t="n">
        <x:f>SUMPRODUCT((Anyag_Master!B2:B284=A23)*Anyag_Master!V2:V284*Anyag_Master!AI2:AI284)</x:f>
        <x:v>594075</x:v>
      </x:c>
      <x:c r="E23" s="221" t="n">
        <x:f>SUMPRODUCT((Anyag_Master!B2:B284=A23)*Anyag_Master!V2:V284*Anyag_Master!AJ2:AJ284)</x:f>
        <x:v>594075</x:v>
      </x:c>
      <x:c r="F23" s="223" t="n">
        <x:f>IFERROR(AVERAGEIF(Anyag_Master!B2:B284,A23,Anyag_Master!AC2:AC284),"")</x:f>
        <x:v>0.03747691859155926</x:v>
      </x:c>
      <x:c r="G23" s="53" t="n">
        <x:f>COUNTIFS(Anyag_Master!B2:B284,A23,Anyag_Master!AG2:AG284,"*FELÁR*")</x:f>
        <x:v>0</x:v>
      </x:c>
    </x:row>
    <x:row r="24">
      <x:c r="A24" s="131" t="str">
        <x:v>05 Előregyártott beton</x:v>
      </x:c>
      <x:c r="B24" s="161" t="n">
        <x:f>COUNTIF(Anyag_Master!B2:B284,A24)</x:f>
        <x:v>12</x:v>
      </x:c>
      <x:c r="C24" s="221" t="n">
        <x:f>SUMPRODUCT((Anyag_Master!B2:B284=A24)*Anyag_Master!V2:V284*Anyag_Master!AH2:AH284)</x:f>
        <x:v>0</x:v>
      </x:c>
      <x:c r="D24" s="221" t="n">
        <x:f>SUMPRODUCT((Anyag_Master!B2:B284=A24)*Anyag_Master!V2:V284*Anyag_Master!AI2:AI284)</x:f>
        <x:v>0</x:v>
      </x:c>
      <x:c r="E24" s="221" t="n">
        <x:f>SUMPRODUCT((Anyag_Master!B2:B284=A24)*Anyag_Master!V2:V284*Anyag_Master!AJ2:AJ284)</x:f>
        <x:v>19626630</x:v>
      </x:c>
      <x:c r="F24" s="223" t="n">
        <x:f>IFERROR(AVERAGEIF(Anyag_Master!B2:B284,A24,Anyag_Master!AC2:AC284),"")</x:f>
        <x:v>0.03912424242766046</x:v>
      </x:c>
      <x:c r="G24" s="53" t="n">
        <x:f>COUNTIFS(Anyag_Master!B2:B284,A24,Anyag_Master!AG2:AG284,"*FELÁR*")</x:f>
        <x:v>0</x:v>
      </x:c>
    </x:row>
    <x:row r="25">
      <x:c r="A25" s="131" t="str">
        <x:v>06 Könnyűszerkezet</x:v>
      </x:c>
      <x:c r="B25" s="161" t="n">
        <x:f>COUNTIF(Anyag_Master!B2:B284,A25)</x:f>
        <x:v>17</x:v>
      </x:c>
      <x:c r="C25" s="221" t="n">
        <x:f>SUMPRODUCT((Anyag_Master!B2:B284=A25)*Anyag_Master!V2:V284*Anyag_Master!AH2:AH284)</x:f>
        <x:v>0</x:v>
      </x:c>
      <x:c r="D25" s="221" t="n">
        <x:f>SUMPRODUCT((Anyag_Master!B2:B284=A25)*Anyag_Master!V2:V284*Anyag_Master!AI2:AI284)</x:f>
        <x:v>9535268.240000002</x:v>
      </x:c>
      <x:c r="E25" s="221" t="n">
        <x:f>SUMPRODUCT((Anyag_Master!B2:B284=A25)*Anyag_Master!V2:V284*Anyag_Master!AJ2:AJ284)</x:f>
        <x:v>0</x:v>
      </x:c>
      <x:c r="F25" s="223" t="n">
        <x:f>IFERROR(AVERAGEIF(Anyag_Master!B2:B284,A25,Anyag_Master!AC2:AC284),"")</x:f>
        <x:v>0.0706215377080764</x:v>
      </x:c>
      <x:c r="G25" s="53" t="n">
        <x:f>COUNTIFS(Anyag_Master!B2:B284,A25,Anyag_Master!AG2:AG284,"*FELÁR*")</x:f>
        <x:v>0</x:v>
      </x:c>
    </x:row>
    <x:row r="26">
      <x:c r="A26" s="131" t="str">
        <x:v>07 Tető</x:v>
      </x:c>
      <x:c r="B26" s="161" t="n">
        <x:f>COUNTIF(Anyag_Master!B2:B284,A26)</x:f>
        <x:v>18</x:v>
      </x:c>
      <x:c r="C26" s="221" t="n">
        <x:f>SUMPRODUCT((Anyag_Master!B2:B284=A26)*Anyag_Master!V2:V284*Anyag_Master!AH2:AH284)</x:f>
        <x:v>3964415.6000000006</x:v>
      </x:c>
      <x:c r="D26" s="221" t="n">
        <x:f>SUMPRODUCT((Anyag_Master!B2:B284=A26)*Anyag_Master!V2:V284*Anyag_Master!AI2:AI284)</x:f>
        <x:v>3964415.6000000006</x:v>
      </x:c>
      <x:c r="E26" s="221" t="n">
        <x:f>SUMPRODUCT((Anyag_Master!B2:B284=A26)*Anyag_Master!V2:V284*Anyag_Master!AJ2:AJ284)</x:f>
        <x:v>3964415.6000000006</x:v>
      </x:c>
      <x:c r="F26" s="223" t="n">
        <x:f>IFERROR(AVERAGEIF(Anyag_Master!B2:B284,A26,Anyag_Master!AC2:AC284),"")</x:f>
        <x:v>0.06288847325011258</x:v>
      </x:c>
      <x:c r="G26" s="53" t="n">
        <x:f>COUNTIFS(Anyag_Master!B2:B284,A26,Anyag_Master!AG2:AG284,"*FELÁR*")</x:f>
        <x:v>0</x:v>
      </x:c>
    </x:row>
    <x:row r="27">
      <x:c r="A27" s="131" t="str">
        <x:v>08 Szigetelés és homlokzat</x:v>
      </x:c>
      <x:c r="B27" s="161" t="n">
        <x:f>COUNTIF(Anyag_Master!B2:B284,A27)</x:f>
        <x:v>22</x:v>
      </x:c>
      <x:c r="C27" s="221" t="n">
        <x:f>SUMPRODUCT((Anyag_Master!B2:B284=A27)*Anyag_Master!V2:V284*Anyag_Master!AH2:AH284)</x:f>
        <x:v>4323007.800000001</x:v>
      </x:c>
      <x:c r="D27" s="221" t="n">
        <x:f>SUMPRODUCT((Anyag_Master!B2:B284=A27)*Anyag_Master!V2:V284*Anyag_Master!AI2:AI284)</x:f>
        <x:v>6420862.200000002</x:v>
      </x:c>
      <x:c r="E27" s="221" t="n">
        <x:f>SUMPRODUCT((Anyag_Master!B2:B284=A27)*Anyag_Master!V2:V284*Anyag_Master!AJ2:AJ284)</x:f>
        <x:v>4323007.800000001</x:v>
      </x:c>
      <x:c r="F27" s="223" t="n">
        <x:f>IFERROR(AVERAGEIF(Anyag_Master!B2:B284,A27,Anyag_Master!AC2:AC284),"")</x:f>
        <x:v>0.08367289472613297</x:v>
      </x:c>
      <x:c r="G27" s="53" t="n">
        <x:f>COUNTIFS(Anyag_Master!B2:B284,A27,Anyag_Master!AG2:AG284,"*FELÁR*")</x:f>
        <x:v>0</x:v>
      </x:c>
    </x:row>
    <x:row r="28">
      <x:c r="A28" s="131" t="str">
        <x:v>09 Nyílászáró</x:v>
      </x:c>
      <x:c r="B28" s="161" t="n">
        <x:f>COUNTIF(Anyag_Master!B2:B284,A28)</x:f>
        <x:v>13</x:v>
      </x:c>
      <x:c r="C28" s="221" t="n">
        <x:f>SUMPRODUCT((Anyag_Master!B2:B284=A28)*Anyag_Master!V2:V284*Anyag_Master!AH2:AH284)</x:f>
        <x:v>4894163.740157479</x:v>
      </x:c>
      <x:c r="D28" s="221" t="n">
        <x:f>SUMPRODUCT((Anyag_Master!B2:B284=A28)*Anyag_Master!V2:V284*Anyag_Master!AI2:AI284)</x:f>
        <x:v>4894163.740157479</x:v>
      </x:c>
      <x:c r="E28" s="221" t="n">
        <x:f>SUMPRODUCT((Anyag_Master!B2:B284=A28)*Anyag_Master!V2:V284*Anyag_Master!AJ2:AJ284)</x:f>
        <x:v>4894163.740157479</x:v>
      </x:c>
      <x:c r="F28" s="223" t="n">
        <x:f>IFERROR(AVERAGEIF(Anyag_Master!B2:B284,A28,Anyag_Master!AC2:AC284),"")</x:f>
        <x:v>0.24023508406328525</x:v>
      </x:c>
      <x:c r="G28" s="53" t="n">
        <x:f>COUNTIFS(Anyag_Master!B2:B284,A28,Anyag_Master!AG2:AG284,"*FELÁR*")</x:f>
        <x:v>0</x:v>
      </x:c>
    </x:row>
    <x:row r="29">
      <x:c r="A29" s="131" t="str">
        <x:v>10 Belső alapfelületek</x:v>
      </x:c>
      <x:c r="B29" s="161" t="n">
        <x:f>COUNTIF(Anyag_Master!B2:B284,A29)</x:f>
        <x:v>19</x:v>
      </x:c>
      <x:c r="C29" s="221" t="n">
        <x:f>SUMPRODUCT((Anyag_Master!B2:B284=A29)*Anyag_Master!V2:V284*Anyag_Master!AH2:AH284)</x:f>
        <x:v>4921153.32</x:v>
      </x:c>
      <x:c r="D29" s="221" t="n">
        <x:f>SUMPRODUCT((Anyag_Master!B2:B284=A29)*Anyag_Master!V2:V284*Anyag_Master!AI2:AI284)</x:f>
        <x:v>3150303.104</x:v>
      </x:c>
      <x:c r="E29" s="221" t="n">
        <x:f>SUMPRODUCT((Anyag_Master!B2:B284=A29)*Anyag_Master!V2:V284*Anyag_Master!AJ2:AJ284)</x:f>
        <x:v>4290618.28</x:v>
      </x:c>
      <x:c r="F29" s="223" t="n">
        <x:f>IFERROR(AVERAGEIF(Anyag_Master!B2:B284,A29,Anyag_Master!AC2:AC284),"")</x:f>
        <x:v>0.06934995439547376</x:v>
      </x:c>
      <x:c r="G29" s="53" t="n">
        <x:f>COUNTIFS(Anyag_Master!B2:B284,A29,Anyag_Master!AG2:AG284,"*FELÁR*")</x:f>
        <x:v>0</x:v>
      </x:c>
    </x:row>
    <x:row r="30">
      <x:c r="A30" s="131" t="str">
        <x:v>11 Befejező anyagok</x:v>
      </x:c>
      <x:c r="B30" s="161" t="n">
        <x:f>COUNTIF(Anyag_Master!B2:B284,A30)</x:f>
        <x:v>17</x:v>
      </x:c>
      <x:c r="C30" s="221" t="n">
        <x:f>SUMPRODUCT((Anyag_Master!B2:B284=A30)*Anyag_Master!V2:V284*Anyag_Master!AH2:AH284)</x:f>
        <x:v>2902979.92</x:v>
      </x:c>
      <x:c r="D30" s="221" t="n">
        <x:f>SUMPRODUCT((Anyag_Master!B2:B284=A30)*Anyag_Master!V2:V284*Anyag_Master!AI2:AI284)</x:f>
        <x:v>3108202.16</x:v>
      </x:c>
      <x:c r="E30" s="221" t="n">
        <x:f>SUMPRODUCT((Anyag_Master!B2:B284=A30)*Anyag_Master!V2:V284*Anyag_Master!AJ2:AJ284)</x:f>
        <x:v>2902979.92</x:v>
      </x:c>
      <x:c r="F30" s="223" t="n">
        <x:f>IFERROR(AVERAGEIF(Anyag_Master!B2:B284,A30,Anyag_Master!AC2:AC284),"")</x:f>
        <x:v>0.0831456624469795</x:v>
      </x:c>
      <x:c r="G30" s="53" t="n">
        <x:f>COUNTIFS(Anyag_Master!B2:B284,A30,Anyag_Master!AG2:AG284,"*FELÁR*")</x:f>
        <x:v>0</x:v>
      </x:c>
    </x:row>
    <x:row r="31">
      <x:c r="A31" s="131" t="str">
        <x:v>12 Gépészet</x:v>
      </x:c>
      <x:c r="B31" s="161" t="n">
        <x:f>COUNTIF(Anyag_Master!B2:B284,A31)</x:f>
        <x:v>20</x:v>
      </x:c>
      <x:c r="C31" s="221" t="n">
        <x:f>SUMPRODUCT((Anyag_Master!B2:B284=A31)*Anyag_Master!V2:V284*Anyag_Master!AH2:AH284)</x:f>
        <x:v>2046070.1800000002</x:v>
      </x:c>
      <x:c r="D31" s="221" t="n">
        <x:f>SUMPRODUCT((Anyag_Master!B2:B284=A31)*Anyag_Master!V2:V284*Anyag_Master!AI2:AI284)</x:f>
        <x:v>2046070.1800000002</x:v>
      </x:c>
      <x:c r="E31" s="221" t="n">
        <x:f>SUMPRODUCT((Anyag_Master!B2:B284=A31)*Anyag_Master!V2:V284*Anyag_Master!AJ2:AJ284)</x:f>
        <x:v>2046070.1800000002</x:v>
      </x:c>
      <x:c r="F31" s="223" t="n">
        <x:f>IFERROR(AVERAGEIF(Anyag_Master!B2:B284,A31,Anyag_Master!AC2:AC284),"")</x:f>
        <x:v>0.17775457678477702</x:v>
      </x:c>
      <x:c r="G31" s="53" t="n">
        <x:f>COUNTIFS(Anyag_Master!B2:B284,A31,Anyag_Master!AG2:AG284,"*FELÁR*")</x:f>
        <x:v>0</x:v>
      </x:c>
    </x:row>
    <x:row r="32">
      <x:c r="A32" s="131" t="str">
        <x:v>13 Gépészet</x:v>
      </x:c>
      <x:c r="B32" s="161" t="n">
        <x:f>COUNTIF(Anyag_Master!B2:B284,A32)</x:f>
        <x:v>20</x:v>
      </x:c>
      <x:c r="C32" s="221" t="n">
        <x:f>SUMPRODUCT((Anyag_Master!B2:B284=A32)*Anyag_Master!V2:V284*Anyag_Master!AH2:AH284)</x:f>
        <x:v>4046842.374015748</x:v>
      </x:c>
      <x:c r="D32" s="221" t="n">
        <x:f>SUMPRODUCT((Anyag_Master!B2:B284=A32)*Anyag_Master!V2:V284*Anyag_Master!AI2:AI284)</x:f>
        <x:v>4046842.374015748</x:v>
      </x:c>
      <x:c r="E32" s="221" t="n">
        <x:f>SUMPRODUCT((Anyag_Master!B2:B284=A32)*Anyag_Master!V2:V284*Anyag_Master!AJ2:AJ284)</x:f>
        <x:v>4046842.374015748</x:v>
      </x:c>
      <x:c r="F32" s="223" t="n">
        <x:f>IFERROR(AVERAGEIF(Anyag_Master!B2:B284,A32,Anyag_Master!AC2:AC284),"")</x:f>
        <x:v>0.2309178478545461</x:v>
      </x:c>
      <x:c r="G32" s="53" t="n">
        <x:f>COUNTIFS(Anyag_Master!B2:B284,A32,Anyag_Master!AG2:AG284,"*FELÁR*")</x:f>
        <x:v>0</x:v>
      </x:c>
    </x:row>
    <x:row r="33">
      <x:c r="A33" s="131" t="str">
        <x:v>14 Villanyszerelés</x:v>
      </x:c>
      <x:c r="B33" s="161" t="n">
        <x:f>COUNTIF(Anyag_Master!B2:B284,A33)</x:f>
        <x:v>27</x:v>
      </x:c>
      <x:c r="C33" s="221" t="n">
        <x:f>SUMPRODUCT((Anyag_Master!B2:B284=A33)*Anyag_Master!V2:V284*Anyag_Master!AH2:AH284)</x:f>
        <x:v>2361734.877952756</x:v>
      </x:c>
      <x:c r="D33" s="221" t="n">
        <x:f>SUMPRODUCT((Anyag_Master!B2:B284=A33)*Anyag_Master!V2:V284*Anyag_Master!AI2:AI284)</x:f>
        <x:v>2361734.877952756</x:v>
      </x:c>
      <x:c r="E33" s="221" t="n">
        <x:f>SUMPRODUCT((Anyag_Master!B2:B284=A33)*Anyag_Master!V2:V284*Anyag_Master!AJ2:AJ284)</x:f>
        <x:v>2361734.877952756</x:v>
      </x:c>
      <x:c r="F33" s="223" t="n">
        <x:f>IFERROR(AVERAGEIF(Anyag_Master!B2:B284,A33,Anyag_Master!AC2:AC284),"")</x:f>
        <x:v>0.24414408256763628</x:v>
      </x:c>
      <x:c r="G33" s="53" t="n">
        <x:f>COUNTIFS(Anyag_Master!B2:B284,A33,Anyag_Master!AG2:AG284,"*FELÁR*")</x:f>
        <x:v>0</x:v>
      </x:c>
    </x:row>
    <x:row r="34">
      <x:c r="A34" s="131" t="str">
        <x:v>15 Külső munkák</x:v>
      </x:c>
      <x:c r="B34" s="161" t="n">
        <x:f>COUNTIF(Anyag_Master!B2:B284,A34)</x:f>
        <x:v>13</x:v>
      </x:c>
      <x:c r="C34" s="221" t="n">
        <x:f>SUMPRODUCT((Anyag_Master!B2:B284=A34)*Anyag_Master!V2:V284*Anyag_Master!AH2:AH284)</x:f>
        <x:v>3822870.3326771655</x:v>
      </x:c>
      <x:c r="D34" s="221" t="n">
        <x:f>SUMPRODUCT((Anyag_Master!B2:B284=A34)*Anyag_Master!V2:V284*Anyag_Master!AI2:AI284)</x:f>
        <x:v>3822870.3326771655</x:v>
      </x:c>
      <x:c r="E34" s="221" t="n">
        <x:f>SUMPRODUCT((Anyag_Master!B2:B284=A34)*Anyag_Master!V2:V284*Anyag_Master!AJ2:AJ284)</x:f>
        <x:v>3822870.3326771655</x:v>
      </x:c>
      <x:c r="F34" s="223" t="n">
        <x:f>IFERROR(AVERAGEIF(Anyag_Master!B2:B284,A34,Anyag_Master!AC2:AC284),"")</x:f>
        <x:v>0.11169612411879613</x:v>
      </x:c>
      <x:c r="G34" s="53" t="n">
        <x:f>COUNTIFS(Anyag_Master!B2:B284,A34,Anyag_Master!AG2:AG284,"*FELÁR*")</x:f>
        <x:v>0</x:v>
      </x:c>
    </x:row>
    <x:row r="35">
      <x:c r="A35" s="132" t="str">
        <x:v>16 Gép, logisztika, hulladék</x:v>
      </x:c>
      <x:c r="B35" s="56" t="n">
        <x:f>COUNTIF(Anyag_Master!B2:B284,A35)</x:f>
        <x:v>23</x:v>
      </x:c>
      <x:c r="C35" s="222" t="n">
        <x:f>SUMPRODUCT((Anyag_Master!B2:B284=A35)*Anyag_Master!V2:V284*Anyag_Master!AH2:AH284)</x:f>
        <x:v>3930197.6</x:v>
      </x:c>
      <x:c r="D35" s="222" t="n">
        <x:f>SUMPRODUCT((Anyag_Master!B2:B284=A35)*Anyag_Master!V2:V284*Anyag_Master!AI2:AI284)</x:f>
        <x:v>3527097.6</x:v>
      </x:c>
      <x:c r="E35" s="222" t="n">
        <x:f>SUMPRODUCT((Anyag_Master!B2:B284=A35)*Anyag_Master!V2:V284*Anyag_Master!AJ2:AJ284)</x:f>
        <x:v>4836597.6</x:v>
      </x:c>
      <x:c r="F35" s="224" t="n">
        <x:f>IFERROR(AVERAGEIF(Anyag_Master!B2:B284,A35,Anyag_Master!AC2:AC284),"")</x:f>
        <x:v>0.037683577683991214</x:v>
      </x:c>
      <x:c r="G35" s="57" t="n">
        <x:f>COUNTIFS(Anyag_Master!B2:B284,A35,Anyag_Master!AG2:AG284,"*FELÁR*")</x:f>
        <x:v>0</x:v>
      </x:c>
    </x:row>
  </x:sheetData>
  <x:mergeCells>
    <x:mergeCell ref="A1:J1"/>
  </x:mergeCells>
  <x:conditionalFormatting sqref="D12:D15">
    <x:cfRule type="cellIs" dxfId="13" priority="1" operator="lessThan">
      <x:formula>Anyag_Beallitasok!$B$3</x:formula>
    </x:cfRule>
  </x:conditionalFormatting>
  <x:conditionalFormatting sqref="F12:F15">
    <x:cfRule type="cellIs" dxfId="14" priority="2" operator="greaterThanOrEqual">
      <x:formula>Anyag_Beallitasok!$B$3</x:formula>
    </x:cfRule>
  </x:conditionalFormatting>
  <x:pageMargins left="0.7" right="0.7" top="0.75" bottom="0.75" header="0.3" footer="0.3"/>
  <x:drawing xmlns:r="http://schemas.openxmlformats.org/officeDocument/2006/relationships" r:id="R350ae2ea9a594f60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92" hidden="0" customWidth="1"/>
    <x:col min="4" max="4" width="14" hidden="0" customWidth="1"/>
    <x:col min="5" max="5" width="70" hidden="0" customWidth="1"/>
  </x:cols>
  <x:sheetData>
    <x:row r="1">
      <x:c r="A1" s="230" t="str">
        <x:v>Forráskód</x:v>
      </x:c>
      <x:c r="B1" s="231" t="str">
        <x:v>Terület</x:v>
      </x:c>
      <x:c r="C1" s="231" t="str">
        <x:v>URL</x:v>
      </x:c>
      <x:c r="D1" s="231" t="str">
        <x:v>Ellenőrzés</x:v>
      </x:c>
      <x:c r="E1" s="232" t="str">
        <x:v>Felhasználás / korlát</x:v>
      </x:c>
    </x:row>
    <x:row r="2">
      <x:c r="A2" s="144" t="str">
        <x:v>NAV_5</x:v>
      </x:c>
      <x:c r="B2" s="171" t="str">
        <x:v>5%-os új lakóingatlan-áfa</x:v>
      </x:c>
      <x:c r="C2" s="171" t="str">
        <x:v>https://nav.gov.hu/ado/afa/Ujabb_ket_evig_marad_az_ujepitesu_lakasok_5_szazalekos_afaja</x:v>
      </x:c>
      <x:c r="D2" s="171" t="str">
        <x:v>2026-07-14</x:v>
      </x:c>
      <x:c r="E2" s="72" t="str">
        <x:v>Ahol nem volt egységes listaár, a forrás piaci horgonyként szolgál, és a tétel 'Adatminőség' oszlopa mérnöki becslést jelez.</x:v>
      </x:c>
    </x:row>
    <x:row r="3">
      <x:c r="A3" s="144" t="str">
        <x:v>NAV_EU</x:v>
      </x:c>
      <x:c r="B3" s="171" t="str">
        <x:v>Közösségi beszerzés és önadózás</x:v>
      </x:c>
      <x:c r="C3" s="171" t="str">
        <x:v>https://nav.gov.hu/pfile/file?path=%2Fugyfeliranytu%2Fnezzen-utana%2Finf_fuz%2Frejtett%2FInformacios-fuzetek---Aktualis%2F29.-informacios-fuzet---Az-altalanos-szabalyok-szerint-adozo-afaalanyok-kozossegi-ugyletei</x:v>
      </x:c>
      <x:c r="D3" s="171" t="str">
        <x:v>2026-07-14</x:v>
      </x:c>
      <x:c r="E3" s="72" t="str">
        <x:v>Ahol nem volt egységes listaár, a forrás piaci horgonyként szolgál, és a tétel 'Adatminőség' oszlopa mérnöki becslést jelez.</x:v>
      </x:c>
    </x:row>
    <x:row r="4">
      <x:c r="A4" s="144" t="str">
        <x:v>NAV_STEEL</x:v>
      </x:c>
      <x:c r="B4" s="171" t="str">
        <x:v>Acélipari fordított adózás</x:v>
      </x:c>
      <x:c r="C4" s="171" t="str">
        <x:v>https://nav.gov.hu/ado/afa/2022.-junius-30-at-kovetoen-is-marad-a-forditott-adozas-a-mezogazdasagi-es-acelipari-termekekre-valamint-az-uhg-kibocsatasi-egysegek-ertekesitesere-vonatkozoan</x:v>
      </x:c>
      <x:c r="D4" s="171" t="str">
        <x:v>2026-07-14</x:v>
      </x:c>
      <x:c r="E4" s="72" t="str">
        <x:v>Ahol nem volt egységes listaár, a forrás piaci horgonyként szolgál, és a tétel 'Adatminőség' oszlopa mérnöki becslést jelez.</x:v>
      </x:c>
    </x:row>
    <x:row r="5">
      <x:c r="A5" s="144" t="str">
        <x:v>AFA_TV</x:v>
      </x:c>
      <x:c r="B5" s="171" t="str">
        <x:v>Áfatörvény</x:v>
      </x:c>
      <x:c r="C5" s="171" t="str">
        <x:v>https://njt.hu/jogszabaly/2007-127-00-00</x:v>
      </x:c>
      <x:c r="D5" s="171" t="str">
        <x:v>2026-07-14</x:v>
      </x:c>
      <x:c r="E5" s="72" t="str">
        <x:v>Ahol nem volt egységes listaár, a forrás piaci horgonyként szolgál, és a tétel 'Adatminőség' oszlopa mérnöki becslést jelez.</x:v>
      </x:c>
    </x:row>
    <x:row r="6">
      <x:c r="A6" s="144" t="str">
        <x:v>LEIER</x:v>
      </x:c>
      <x:c r="B6" s="171" t="str">
        <x:v>Falazóelem, rendszerelemek, 2026 árlista</x:v>
      </x:c>
      <x:c r="C6" s="171" t="str">
        <x:v>https://www.leier.hu/uploads/files/Arlista-magasepites-2026-6981a1daebe63.pdf</x:v>
      </x:c>
      <x:c r="D6" s="171" t="str">
        <x:v>2026-07-14</x:v>
      </x:c>
      <x:c r="E6" s="72" t="str">
        <x:v>Ahol nem volt egységes listaár, a forrás piaci horgonyként szolgál, és a tétel 'Adatminőség' oszlopa mérnöki becslést jelez.</x:v>
      </x:c>
    </x:row>
    <x:row r="7">
      <x:c r="A7" s="144" t="str">
        <x:v>POROTHERM</x:v>
      </x:c>
      <x:c r="B7" s="171" t="str">
        <x:v>Porotherm publikus kiskereskedelmi árak</x:v>
      </x:c>
      <x:c r="C7" s="171" t="str">
        <x:v>https://tegla-falazoelem.arukereso.hu/wienerberger/</x:v>
      </x:c>
      <x:c r="D7" s="171" t="str">
        <x:v>2026-07-14</x:v>
      </x:c>
      <x:c r="E7" s="72" t="str">
        <x:v>Ahol nem volt egységes listaár, a forrás piaci horgonyként szolgál, és a tétel 'Adatminőség' oszlopa mérnöki becslést jelez.</x:v>
      </x:c>
    </x:row>
    <x:row r="8">
      <x:c r="A8" s="144" t="str">
        <x:v>CONCRETE</x:v>
      </x:c>
      <x:c r="B8" s="171" t="str">
        <x:v>Transzportbeton és kavicstermékek</x:v>
      </x:c>
      <x:c r="C8" s="171" t="str">
        <x:v>https://www.betonpartner.hu/www.betonpartner.hu/documents/Budapest_Transzportbeton_arlista_2026_gOX48.pdf</x:v>
      </x:c>
      <x:c r="D8" s="171" t="str">
        <x:v>2026-07-14</x:v>
      </x:c>
      <x:c r="E8" s="72" t="str">
        <x:v>Ahol nem volt egységes listaár, a forrás piaci horgonyként szolgál, és a tétel 'Adatminőség' oszlopa mérnöki becslést jelez.</x:v>
      </x:c>
    </x:row>
    <x:row r="9">
      <x:c r="A9" s="144" t="str">
        <x:v>STEEL</x:v>
      </x:c>
      <x:c r="B9" s="171" t="str">
        <x:v>Betonacél és acélanyagok</x:v>
      </x:c>
      <x:c r="C9" s="171" t="str">
        <x:v>https://www.winklertuzep.hu/arlista-web/vasak</x:v>
      </x:c>
      <x:c r="D9" s="171" t="str">
        <x:v>2026-07-14</x:v>
      </x:c>
      <x:c r="E9" s="72" t="str">
        <x:v>Ahol nem volt egységes listaár, a forrás piaci horgonyként szolgál, és a tétel 'Adatminőség' oszlopa mérnöki becslést jelez.</x:v>
      </x:c>
    </x:row>
    <x:row r="10">
      <x:c r="A10" s="144" t="str">
        <x:v>TIMBER</x:v>
      </x:c>
      <x:c r="B10" s="171" t="str">
        <x:v>Fűrészáru 2026</x:v>
      </x:c>
      <x:c r="C10" s="171" t="str">
        <x:v>https://fadepofatelep.hu/arlista/</x:v>
      </x:c>
      <x:c r="D10" s="171" t="str">
        <x:v>2026-07-14</x:v>
      </x:c>
      <x:c r="E10" s="72" t="str">
        <x:v>Ahol nem volt egységes listaár, a forrás piaci horgonyként szolgál, és a tétel 'Adatminőség' oszlopa mérnöki becslést jelez.</x:v>
      </x:c>
    </x:row>
    <x:row r="11">
      <x:c r="A11" s="144" t="str">
        <x:v>TIMBER2</x:v>
      </x:c>
      <x:c r="B11" s="171" t="str">
        <x:v>KVH/szerkezeti fa</x:v>
      </x:c>
      <x:c r="C11" s="171" t="str">
        <x:v>https://szekelyfatelep.hu/fatelep-budapest-xvi-arak-fa-ar/</x:v>
      </x:c>
      <x:c r="D11" s="171" t="str">
        <x:v>2026-07-14</x:v>
      </x:c>
      <x:c r="E11" s="72" t="str">
        <x:v>Ahol nem volt egységes listaár, a forrás piaci horgonyként szolgál, és a tétel 'Adatminőség' oszlopa mérnöki becslést jelez.</x:v>
      </x:c>
    </x:row>
    <x:row r="12">
      <x:c r="A12" s="144" t="str">
        <x:v>EPS</x:v>
      </x:c>
      <x:c r="B12" s="171" t="str">
        <x:v>EPS/XPS és kiegészítők</x:v>
      </x:c>
      <x:c r="C12" s="171" t="str">
        <x:v>https://www.hoszigetelesplaza.hu/eps-80-homlokzati-hoszigetelo-lemez-15-cm-vastag</x:v>
      </x:c>
      <x:c r="D12" s="171" t="str">
        <x:v>2026-07-14</x:v>
      </x:c>
      <x:c r="E12" s="72" t="str">
        <x:v>Ahol nem volt egységes listaár, a forrás piaci horgonyként szolgál, és a tétel 'Adatminőség' oszlopa mérnöki becslést jelez.</x:v>
      </x:c>
    </x:row>
    <x:row r="13">
      <x:c r="A13" s="144" t="str">
        <x:v>ROCKWOOL</x:v>
      </x:c>
      <x:c r="B13" s="171" t="str">
        <x:v>Kőzetgyapot</x:v>
      </x:c>
      <x:c r="C13" s="171" t="str">
        <x:v>https://kozetgyapot-arak.hu/</x:v>
      </x:c>
      <x:c r="D13" s="171" t="str">
        <x:v>2026-07-14</x:v>
      </x:c>
      <x:c r="E13" s="72" t="str">
        <x:v>Ahol nem volt egységes listaár, a forrás piaci horgonyként szolgál, és a tétel 'Adatminőség' oszlopa mérnöki becslést jelez.</x:v>
      </x:c>
    </x:row>
    <x:row r="14">
      <x:c r="A14" s="144" t="str">
        <x:v>TERRAN</x:v>
      </x:c>
      <x:c r="B14" s="171" t="str">
        <x:v>Tetőcserép 2026</x:v>
      </x:c>
      <x:c r="C14" s="171" t="str">
        <x:v>https://terranteto.hu/wp-content/uploads/2022/10/Terran-arlista-20260101.pdf</x:v>
      </x:c>
      <x:c r="D14" s="171" t="str">
        <x:v>2026-07-14</x:v>
      </x:c>
      <x:c r="E14" s="72" t="str">
        <x:v>Ahol nem volt egységes listaár, a forrás piaci horgonyként szolgál, és a tétel 'Adatminőség' oszlopa mérnöki becslést jelez.</x:v>
      </x:c>
    </x:row>
    <x:row r="15">
      <x:c r="A15" s="144" t="str">
        <x:v>ROOF_LOG</x:v>
      </x:c>
      <x:c r="B15" s="171" t="str">
        <x:v>Tető-logisztika és raklap</x:v>
      </x:c>
      <x:c r="C15" s="171" t="str">
        <x:v>https://www.bmigroup.com/hu/szolgaltatasok/hasznos-informaciok/raklap-es-logisztikai-informaciok/logisztikai-d%C3%ADjak/</x:v>
      </x:c>
      <x:c r="D15" s="171" t="str">
        <x:v>2026-07-14</x:v>
      </x:c>
      <x:c r="E15" s="72" t="str">
        <x:v>Ahol nem volt egységes listaár, a forrás piaci horgonyként szolgál, és a tétel 'Adatminőség' oszlopa mérnöki becslést jelez.</x:v>
      </x:c>
    </x:row>
    <x:row r="16">
      <x:c r="A16" s="144" t="str">
        <x:v>DRYWALL</x:v>
      </x:c>
      <x:c r="B16" s="171" t="str">
        <x:v>Gipszkarton és szárazépítés</x:v>
      </x:c>
      <x:c r="C16" s="171" t="str">
        <x:v>https://www.winklertuzep.hu/arlista-web/Sz%C3%A1raz%C3%A9p%C3%ADt%C3%A9s</x:v>
      </x:c>
      <x:c r="D16" s="171" t="str">
        <x:v>2026-07-14</x:v>
      </x:c>
      <x:c r="E16" s="72" t="str">
        <x:v>Ahol nem volt egységes listaár, a forrás piaci horgonyként szolgál, és a tétel 'Adatminőség' oszlopa mérnöki becslést jelez.</x:v>
      </x:c>
    </x:row>
    <x:row r="17">
      <x:c r="A17" s="144" t="str">
        <x:v>POWDER</x:v>
      </x:c>
      <x:c r="B17" s="171" t="str">
        <x:v>Vakolat, glett, portermék</x:v>
      </x:c>
      <x:c r="C17" s="171" t="str">
        <x:v>https://www.winklertuzep.hu/arlista-web/porterm%C3%A9kek</x:v>
      </x:c>
      <x:c r="D17" s="171" t="str">
        <x:v>2026-07-14</x:v>
      </x:c>
      <x:c r="E17" s="72" t="str">
        <x:v>Ahol nem volt egységes listaár, a forrás piaci horgonyként szolgál, és a tétel 'Adatminőség' oszlopa mérnöki becslést jelez.</x:v>
      </x:c>
    </x:row>
    <x:row r="18">
      <x:c r="A18" s="144" t="str">
        <x:v>PAINT</x:v>
      </x:c>
      <x:c r="B18" s="171" t="str">
        <x:v>Festék</x:v>
      </x:c>
      <x:c r="C18" s="171" t="str">
        <x:v>https://www.kohazy.hu/glett-gipsz-csemperagaszto-portermek/-fugazoanyag/poli-diszperzios-belteri-falfestek-14-l-feher</x:v>
      </x:c>
      <x:c r="D18" s="171" t="str">
        <x:v>2026-07-14</x:v>
      </x:c>
      <x:c r="E18" s="72" t="str">
        <x:v>Ahol nem volt egységes listaár, a forrás piaci horgonyként szolgál, és a tétel 'Adatminőség' oszlopa mérnöki becslést jelez.</x:v>
      </x:c>
    </x:row>
    <x:row r="19">
      <x:c r="A19" s="144" t="str">
        <x:v>PAINT2</x:v>
      </x:c>
      <x:c r="B19" s="171" t="str">
        <x:v>Festék piaci összehasonlítás</x:v>
      </x:c>
      <x:c r="C19" s="171" t="str">
        <x:v>https://diszperzios-festek-belteri-falfestek.arukereso.hu/</x:v>
      </x:c>
      <x:c r="D19" s="171" t="str">
        <x:v>2026-07-14</x:v>
      </x:c>
      <x:c r="E19" s="72" t="str">
        <x:v>Ahol nem volt egységes listaár, a forrás piaci horgonyként szolgál, és a tétel 'Adatminőség' oszlopa mérnöki becslést jelez.</x:v>
      </x:c>
    </x:row>
    <x:row r="20">
      <x:c r="A20" s="144" t="str">
        <x:v>WINDOW</x:v>
      </x:c>
      <x:c r="B20" s="171" t="str">
        <x:v>Nyílászáró piaci árak</x:v>
      </x:c>
      <x:c r="C20" s="171" t="str">
        <x:v>https://ablakland.hu/arlistak-arak-c-540.html?view=all</x:v>
      </x:c>
      <x:c r="D20" s="171" t="str">
        <x:v>2026-07-14</x:v>
      </x:c>
      <x:c r="E20" s="72" t="str">
        <x:v>Ahol nem volt egységes listaár, a forrás piaci horgonyként szolgál, és a tétel 'Adatminőség' oszlopa mérnöki becslést jelez.</x:v>
      </x:c>
    </x:row>
    <x:row r="21">
      <x:c r="A21" s="144" t="str">
        <x:v>WINDOW_STOCK</x:v>
      </x:c>
      <x:c r="B21" s="171" t="str">
        <x:v>Raktári nyílászáró</x:v>
      </x:c>
      <x:c r="C21" s="171" t="str">
        <x:v>https://www.ablakguruwebshop.hu/raktari-muanyag-ablakok-157/raktari-muanyag-ablakok-7-kamras-3-retegu-uveggel-180</x:v>
      </x:c>
      <x:c r="D21" s="171" t="str">
        <x:v>2026-07-14</x:v>
      </x:c>
      <x:c r="E21" s="72" t="str">
        <x:v>Ahol nem volt egységes listaár, a forrás piaci horgonyként szolgál, és a tétel 'Adatminőség' oszlopa mérnöki becslést jelez.</x:v>
      </x:c>
    </x:row>
    <x:row r="22">
      <x:c r="A22" s="144" t="str">
        <x:v>PEX</x:v>
      </x:c>
      <x:c r="B22" s="171" t="str">
        <x:v>Ötrétegű cső és gépészeti anyag</x:v>
      </x:c>
      <x:c r="C22" s="171" t="str">
        <x:v>https://www.argep.hu/trend/16OE/16-oetretegue-csoe-ar.html</x:v>
      </x:c>
      <x:c r="D22" s="171" t="str">
        <x:v>2026-07-14</x:v>
      </x:c>
      <x:c r="E22" s="72" t="str">
        <x:v>Ahol nem volt egységes listaár, a forrás piaci horgonyként szolgál, és a tétel 'Adatminőség' oszlopa mérnöki becslést jelez.</x:v>
      </x:c>
    </x:row>
    <x:row r="23">
      <x:c r="A23" s="144" t="str">
        <x:v>HEATPUMP</x:v>
      </x:c>
      <x:c r="B23" s="171" t="str">
        <x:v>Hőszivattyú</x:v>
      </x:c>
      <x:c r="C23" s="171" t="str">
        <x:v>https://www.gepeszplaza.hu/k-hoszivattyuk-es-klimak/hoszivattyu-3377</x:v>
      </x:c>
      <x:c r="D23" s="171" t="str">
        <x:v>2026-07-14</x:v>
      </x:c>
      <x:c r="E23" s="72" t="str">
        <x:v>Ahol nem volt egységes listaár, a forrás piaci horgonyként szolgál, és a tétel 'Adatminőség' oszlopa mérnöki becslést jelez.</x:v>
      </x:c>
    </x:row>
    <x:row r="24">
      <x:c r="A24" s="144" t="str">
        <x:v>CABLE</x:v>
      </x:c>
      <x:c r="B24" s="171" t="str">
        <x:v>Villamos kábel</x:v>
      </x:c>
      <x:c r="C24" s="171" t="str">
        <x:v>https://zsvill.hu/kabelek-vezetekek/mbcu-3x15-re-ym-j-300500v-egesz-tekercsben-vasarolva-100fmtekercs</x:v>
      </x:c>
      <x:c r="D24" s="171" t="str">
        <x:v>2026-07-14</x:v>
      </x:c>
      <x:c r="E24" s="72" t="str">
        <x:v>Ahol nem volt egységes listaár, a forrás piaci horgonyként szolgál, és a tétel 'Adatminőség' oszlopa mérnöki becslést jelez.</x:v>
      </x:c>
    </x:row>
    <x:row r="25">
      <x:c r="A25" s="144" t="str">
        <x:v>CABLE2</x:v>
      </x:c>
      <x:c r="B25" s="171" t="str">
        <x:v>Villamos kábel összehasonlítás</x:v>
      </x:c>
      <x:c r="C25" s="171" t="str">
        <x:v>https://www.onlinevill.hu/mbcu-3x1-5-kabel-nym-j-tomor-rez-vezetek-100m</x:v>
      </x:c>
      <x:c r="D25" s="171" t="str">
        <x:v>2026-07-14</x:v>
      </x:c>
      <x:c r="E25" s="72" t="str">
        <x:v>Ahol nem volt egységes listaár, a forrás piaci horgonyként szolgál, és a tétel 'Adatminőség' oszlopa mérnöki becslést jelez.</x:v>
      </x:c>
    </x:row>
    <x:row r="26">
      <x:c r="A26" s="144" t="str">
        <x:v>RENTAL</x:v>
      </x:c>
      <x:c r="B26" s="171" t="str">
        <x:v>Gépkölcsönzés</x:v>
      </x:c>
      <x:c r="C26" s="171" t="str">
        <x:v>https://www.gladiator-gepkolcsonzo.hu/</x:v>
      </x:c>
      <x:c r="D26" s="171" t="str">
        <x:v>2026-07-14</x:v>
      </x:c>
      <x:c r="E26" s="72" t="str">
        <x:v>Ahol nem volt egységes listaár, a forrás piaci horgonyként szolgál, és a tétel 'Adatminőség' oszlopa mérnöki becslést jelez.</x:v>
      </x:c>
    </x:row>
    <x:row r="27">
      <x:c r="A27" s="144" t="str">
        <x:v>RENTAL2</x:v>
      </x:c>
      <x:c r="B27" s="171" t="str">
        <x:v>Gépkölcsönzés kiegészítő</x:v>
      </x:c>
      <x:c r="C27" s="171" t="str">
        <x:v>https://juhaszkolcsonzo.hu/kolcsonozheto-gepek/</x:v>
      </x:c>
      <x:c r="D27" s="171" t="str">
        <x:v>2026-07-14</x:v>
      </x:c>
      <x:c r="E27" s="72" t="str">
        <x:v>Ahol nem volt egységes listaár, a forrás piaci horgonyként szolgál, és a tétel 'Adatminőség' oszlopa mérnöki becslést jelez.</x:v>
      </x:c>
    </x:row>
    <x:row r="28">
      <x:c r="A28" s="144" t="str">
        <x:v>SCAFFOLD</x:v>
      </x:c>
      <x:c r="B28" s="171" t="str">
        <x:v>Állványbérlet</x:v>
      </x:c>
      <x:c r="C28" s="171" t="str">
        <x:v>https://allvanyaruhaz.hu/allvany-berles-ar-mennyibe-kerul-es-mitol-fugg-a-vegosszeg-2026-ban</x:v>
      </x:c>
      <x:c r="D28" s="171" t="str">
        <x:v>2026-07-14</x:v>
      </x:c>
      <x:c r="E28" s="72" t="str">
        <x:v>Ahol nem volt egységes listaár, a forrás piaci horgonyként szolgál, és a tétel 'Adatminőség' oszlopa mérnöki becslést jelez.</x:v>
      </x:c>
    </x:row>
    <x:row r="29">
      <x:c r="A29" s="144" t="str">
        <x:v>CONTAINER</x:v>
      </x:c>
      <x:c r="B29" s="171" t="str">
        <x:v>Konténer és hulladék</x:v>
      </x:c>
      <x:c r="C29" s="171" t="str">
        <x:v>https://kontenert.hu/kontener-arak/</x:v>
      </x:c>
      <x:c r="D29" s="171" t="str">
        <x:v>2026-07-14</x:v>
      </x:c>
      <x:c r="E29" s="72" t="str">
        <x:v>Ahol nem volt egységes listaár, a forrás piaci horgonyként szolgál, és a tétel 'Adatminőség' oszlopa mérnöki becslést jelez.</x:v>
      </x:c>
    </x:row>
    <x:row r="30">
      <x:c r="A30" s="144" t="str">
        <x:v>CONTAINER2</x:v>
      </x:c>
      <x:c r="B30" s="171" t="str">
        <x:v>Konténerár 2026.07</x:v>
      </x:c>
      <x:c r="C30" s="171" t="str">
        <x:v>https://pinterkontener.hu/arlista/</x:v>
      </x:c>
      <x:c r="D30" s="171" t="str">
        <x:v>2026-07-14</x:v>
      </x:c>
      <x:c r="E30" s="72" t="str">
        <x:v>Ahol nem volt egységes listaár, a forrás piaci horgonyként szolgál, és a tétel 'Adatminőség' oszlopa mérnöki becslést jelez.</x:v>
      </x:c>
    </x:row>
    <x:row r="31">
      <x:c r="A31" s="144" t="str">
        <x:v>MOBILE_WC</x:v>
      </x:c>
      <x:c r="B31" s="171" t="str">
        <x:v>Mobil WC</x:v>
      </x:c>
      <x:c r="C31" s="171" t="str">
        <x:v>https://www.kontenercentrum.hu/mobil-wc-berles/</x:v>
      </x:c>
      <x:c r="D31" s="171" t="str">
        <x:v>2026-07-14</x:v>
      </x:c>
      <x:c r="E31" s="72" t="str">
        <x:v>Ahol nem volt egységes listaár, a forrás piaci horgonyként szolgál, és a tétel 'Adatminőség' oszlopa mérnöki becslést jelez.</x:v>
      </x:c>
    </x:row>
    <x:row r="32">
      <x:c r="A32" s="144" t="str">
        <x:v>TRANSPORT</x:v>
      </x:c>
      <x:c r="B32" s="171" t="str">
        <x:v>Fuvar és darus szállítás</x:v>
      </x:c>
      <x:c r="C32" s="171" t="str">
        <x:v>https://intermetal.hu/arlistak/szallitasi-dijak</x:v>
      </x:c>
      <x:c r="D32" s="171" t="str">
        <x:v>2026-07-14</x:v>
      </x:c>
      <x:c r="E32" s="72" t="str">
        <x:v>Ahol nem volt egységes listaár, a forrás piaci horgonyként szolgál, és a tétel 'Adatminőség' oszlopa mérnöki becslést jelez.</x:v>
      </x:c>
    </x:row>
    <x:row r="33">
      <x:c r="A33" s="144" t="str">
        <x:v>PUMP</x:v>
      </x:c>
      <x:c r="B33" s="171" t="str">
        <x:v>Betonpumpa</x:v>
      </x:c>
      <x:c r="C33" s="171" t="str">
        <x:v>https://www.gammabeton.hu/beton-arak</x:v>
      </x:c>
      <x:c r="D33" s="171" t="str">
        <x:v>2026-07-14</x:v>
      </x:c>
      <x:c r="E33" s="72" t="str">
        <x:v>Ahol nem volt egységes listaár, a forrás piaci horgonyként szolgál, és a tétel 'Adatminőség' oszlopa mérnöki becslést jelez.</x:v>
      </x:c>
    </x:row>
    <x:row r="34">
      <x:c r="A34" s="144" t="str">
        <x:v>CRANE</x:v>
      </x:c>
      <x:c r="B34" s="171" t="str">
        <x:v>Autódaru</x:v>
      </x:c>
      <x:c r="C34" s="171" t="str">
        <x:v>https://4uszrt.hu/blog/daru-berles-ara/</x:v>
      </x:c>
      <x:c r="D34" s="171" t="str">
        <x:v>2026-07-14</x:v>
      </x:c>
      <x:c r="E34" s="72" t="str">
        <x:v>Ahol nem volt egységes listaár, a forrás piaci horgonyként szolgál, és a tétel 'Adatminőség' oszlopa mérnöki becslést jelez.</x:v>
      </x:c>
    </x:row>
    <x:row r="35">
      <x:c r="A35" s="144" t="str">
        <x:v>FLOOR</x:v>
      </x:c>
      <x:c r="B35" s="171" t="str">
        <x:v>Befejező anyag ársáv</x:v>
      </x:c>
      <x:c r="C35" s="171" t="str">
        <x:v>https://www.obi.hu/festekek-lakkok/belteri-falfestekek/c/2979</x:v>
      </x:c>
      <x:c r="D35" s="171" t="str">
        <x:v>2026-07-14</x:v>
      </x:c>
      <x:c r="E35" s="72" t="str">
        <x:v>Ahol nem volt egységes listaár, a forrás piaci horgonyként szolgál, és a tétel 'Adatminőség' oszlopa mérnöki becslést jelez.</x:v>
      </x:c>
    </x:row>
    <x:row r="36">
      <x:c r="A36" s="145" t="str">
        <x:v>TILE_ADH</x:v>
      </x:c>
      <x:c r="B36" s="78" t="str">
        <x:v>Burkolási segédanyag</x:v>
      </x:c>
      <x:c r="C36" s="78" t="str">
        <x:v>https://www.szaboepitoanyag.hu/index.php?kat=8&amp;page=termek</x:v>
      </x:c>
      <x:c r="D36" s="78" t="str">
        <x:v>2026-07-14</x:v>
      </x:c>
      <x:c r="E36" s="79" t="str">
        <x:v>Ahol nem volt egységes listaár, a forrás piaci horgonyként szolgál, és a tétel 'Adatminőség' oszlopa mérnöki becslést jelez.</x:v>
      </x:c>
    </x:row>
  </x:sheetData>
  <x:pageMargins left="0.7" right="0.7" top="0.75" bottom="0.75" header="0.3" footer="0.3"/>
  <x:tableParts count="1">
    <x:tablePart xmlns:r="http://schemas.openxmlformats.org/officeDocument/2006/relationships" r:id="R0b087fd576c04667"/>
  </x:tableParts>
</x:worksheet>
</file>