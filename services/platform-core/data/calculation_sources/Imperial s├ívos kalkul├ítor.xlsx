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rial sávos kalkulátor" sheetId="1" r:id="rId4"/>
  </sheets>
  <definedNames/>
  <calcPr/>
  <extLst>
    <ext uri="GoogleSheetsCustomDataVersion2">
      <go:sheetsCustomData xmlns:go="http://customooxmlschemas.google.com/" r:id="rId5" roundtripDataChecksum="AKBmqRltkxR8nQW0PBd3al1iHJINLVpk2IMEdnmvBS8="/>
    </ext>
  </extLst>
</workbook>
</file>

<file path=xl/sharedStrings.xml><?xml version="1.0" encoding="utf-8"?>
<sst xmlns="http://schemas.openxmlformats.org/spreadsheetml/2006/main" count="2733" uniqueCount="1387">
  <si>
    <t>Alap</t>
  </si>
  <si>
    <t>Közép</t>
  </si>
  <si>
    <t>Prémium</t>
  </si>
  <si>
    <t>Típusház neve</t>
  </si>
  <si>
    <t>Bruttó alapterület m2</t>
  </si>
  <si>
    <t>Sáv korrekció</t>
  </si>
  <si>
    <t>Technológia</t>
  </si>
  <si>
    <t>szerkezetkész</t>
  </si>
  <si>
    <t>fűtéskész</t>
  </si>
  <si>
    <t>kulcsrakész</t>
  </si>
  <si>
    <t>Sáv alsó érték</t>
  </si>
  <si>
    <t>Sáv felső érték</t>
  </si>
  <si>
    <t>Sávkód</t>
  </si>
  <si>
    <t>Sávonkénti m2 korrekció</t>
  </si>
  <si>
    <t>Építési technológia</t>
  </si>
  <si>
    <t>Technológiai  kézi alap m2 ár</t>
  </si>
  <si>
    <t>Technológiai korrekciós tényező</t>
  </si>
  <si>
    <t>Technológiai  korrekciós alap m2 ár</t>
  </si>
  <si>
    <t>Technológia független alap m2 ár</t>
  </si>
  <si>
    <t>Átadási állapot</t>
  </si>
  <si>
    <t>Alap korrekció</t>
  </si>
  <si>
    <t>Közép korrekció</t>
  </si>
  <si>
    <t>Prémium korrekció</t>
  </si>
  <si>
    <t>Dev prop 1 MOD2345</t>
  </si>
  <si>
    <t>Liapor</t>
  </si>
  <si>
    <t>Acélvázas</t>
  </si>
  <si>
    <t>Dev prop 2 M2</t>
  </si>
  <si>
    <t>CASA NERO</t>
  </si>
  <si>
    <t>CLT</t>
  </si>
  <si>
    <t>Dev prop 3</t>
  </si>
  <si>
    <t>NULL</t>
  </si>
  <si>
    <t>Danish Fabrik</t>
  </si>
  <si>
    <t>Westo</t>
  </si>
  <si>
    <t>DANISH FABRIK</t>
  </si>
  <si>
    <t>Leier</t>
  </si>
  <si>
    <t>Kormorán</t>
  </si>
  <si>
    <t>TÉGLA</t>
  </si>
  <si>
    <t>Portofino</t>
  </si>
  <si>
    <t>Tégla</t>
  </si>
  <si>
    <t>Magyarország</t>
  </si>
  <si>
    <t>Ytong</t>
  </si>
  <si>
    <t>Balaton-77</t>
  </si>
  <si>
    <t>Sip</t>
  </si>
  <si>
    <t>Nílus</t>
  </si>
  <si>
    <t>Alexander</t>
  </si>
  <si>
    <t>Ez egy kalkulált kategória/állapot tényezős változat</t>
  </si>
  <si>
    <t>Füred</t>
  </si>
  <si>
    <t>Kalkulációs képlet kézi technológiai alapár esetén</t>
  </si>
  <si>
    <t>Badacsonyörs</t>
  </si>
  <si>
    <t>= (KÉZI_TECHNOLÓGIAI_ALAPÁR * ÁTADÁSI_ÁLLAPOT-KATEGÓRIA_TÉNYEZŐ - m2_KORREKCIÓ) * BRUTTÓ_m2)</t>
  </si>
  <si>
    <t>Villa Maori</t>
  </si>
  <si>
    <t>Tápió</t>
  </si>
  <si>
    <t>Kalkulációs képlet automatikus technológiai alapár esetén</t>
  </si>
  <si>
    <t>Villa Brutus</t>
  </si>
  <si>
    <t>= (TECHNOLÓGIAI_FÜGGETLEN_ALAPÁR * TECHNOLÓGIAI_KORREKCIÓS_TÉNYEZŐ * ÁTADÁSI_ÁLLAPOT-KATEGÓRIA_TÉNYEZŐ - m2_KORREKCIÓ) * BRUTTÓ_m2</t>
  </si>
  <si>
    <t>Projekt Lorus</t>
  </si>
  <si>
    <t>Paloznak</t>
  </si>
  <si>
    <t>Barcelona-100</t>
  </si>
  <si>
    <t>Domus Promus</t>
  </si>
  <si>
    <t>Villa K</t>
  </si>
  <si>
    <t>Cube Alsóörs</t>
  </si>
  <si>
    <t>Domus Hungaricus</t>
  </si>
  <si>
    <t>Nagymaros</t>
  </si>
  <si>
    <t>Tecumseh</t>
  </si>
  <si>
    <t>Villa Garda</t>
  </si>
  <si>
    <t>Crystal</t>
  </si>
  <si>
    <t>Domus Imperial</t>
  </si>
  <si>
    <t>Magnum</t>
  </si>
  <si>
    <t>Kincsem</t>
  </si>
  <si>
    <t>Domus Paris</t>
  </si>
  <si>
    <t>Abony</t>
  </si>
  <si>
    <t>Galardo</t>
  </si>
  <si>
    <t>Badacsony</t>
  </si>
  <si>
    <t>Domus Lagos</t>
  </si>
  <si>
    <t>Cube</t>
  </si>
  <si>
    <t>Travisio</t>
  </si>
  <si>
    <t>Alpok</t>
  </si>
  <si>
    <t>Gödöllő</t>
  </si>
  <si>
    <t>Primer</t>
  </si>
  <si>
    <t>Villa Lago</t>
  </si>
  <si>
    <t>Iga-Koga</t>
  </si>
  <si>
    <t>Domus Alexander</t>
  </si>
  <si>
    <t>Bolivia</t>
  </si>
  <si>
    <t>South Beach</t>
  </si>
  <si>
    <t>Sümeg</t>
  </si>
  <si>
    <t>Gosa</t>
  </si>
  <si>
    <t>Echo</t>
  </si>
  <si>
    <t>Villa Tango</t>
  </si>
  <si>
    <t>Valentin</t>
  </si>
  <si>
    <t>Sirenhead</t>
  </si>
  <si>
    <t>Gingerale</t>
  </si>
  <si>
    <t>Kórea</t>
  </si>
  <si>
    <t>Domusideal</t>
  </si>
  <si>
    <t>Alba Regina</t>
  </si>
  <si>
    <t>Nero</t>
  </si>
  <si>
    <t>Juhú</t>
  </si>
  <si>
    <t>Dávid</t>
  </si>
  <si>
    <t>Luxor</t>
  </si>
  <si>
    <t>Gallimimus</t>
  </si>
  <si>
    <t>Donatus</t>
  </si>
  <si>
    <t>Dexion</t>
  </si>
  <si>
    <t>Nagaszaki</t>
  </si>
  <si>
    <t>Delhi</t>
  </si>
  <si>
    <t>Sao Paulo</t>
  </si>
  <si>
    <t>Lagos</t>
  </si>
  <si>
    <t>Manila</t>
  </si>
  <si>
    <t>Sanghaj</t>
  </si>
  <si>
    <t>Barcelona-86</t>
  </si>
  <si>
    <t>Peking</t>
  </si>
  <si>
    <t>Bangkok</t>
  </si>
  <si>
    <t>IQ 238</t>
  </si>
  <si>
    <t>IQ 237</t>
  </si>
  <si>
    <t>IQ 236</t>
  </si>
  <si>
    <t>IQ 235</t>
  </si>
  <si>
    <t>IQ 234</t>
  </si>
  <si>
    <t>IQ 233</t>
  </si>
  <si>
    <t>IQ 232</t>
  </si>
  <si>
    <t>Tokió 115</t>
  </si>
  <si>
    <t>Sydney 105</t>
  </si>
  <si>
    <t>Varsó 116</t>
  </si>
  <si>
    <t>Moszkva 140</t>
  </si>
  <si>
    <t>Szentpétervár 150</t>
  </si>
  <si>
    <t>Belgrád 160</t>
  </si>
  <si>
    <t>Beregszász 118</t>
  </si>
  <si>
    <t>Isztambul 99</t>
  </si>
  <si>
    <t>Balaton 86</t>
  </si>
  <si>
    <t>Velence 76</t>
  </si>
  <si>
    <t>London 142</t>
  </si>
  <si>
    <t>Dublin 136</t>
  </si>
  <si>
    <t>Manchester 130</t>
  </si>
  <si>
    <t>Birmingham 103</t>
  </si>
  <si>
    <t>Cardiff-122</t>
  </si>
  <si>
    <t>Bristol 117</t>
  </si>
  <si>
    <t>Alabama 150</t>
  </si>
  <si>
    <t>Chicago 85</t>
  </si>
  <si>
    <t>Kansas 98</t>
  </si>
  <si>
    <t>Seattle 131</t>
  </si>
  <si>
    <t>Malena 700</t>
  </si>
  <si>
    <t>Malena 651</t>
  </si>
  <si>
    <t>Malena 650</t>
  </si>
  <si>
    <t>Malena 604</t>
  </si>
  <si>
    <t>Malena 603</t>
  </si>
  <si>
    <t>Malena 602</t>
  </si>
  <si>
    <t>Malena 601</t>
  </si>
  <si>
    <t>Malena 551</t>
  </si>
  <si>
    <t>Malena 550</t>
  </si>
  <si>
    <t>Malena 502</t>
  </si>
  <si>
    <t>Malena 501</t>
  </si>
  <si>
    <t>Malena 500</t>
  </si>
  <si>
    <t>Malena 302</t>
  </si>
  <si>
    <t>Malena 301</t>
  </si>
  <si>
    <t>Malena 204</t>
  </si>
  <si>
    <t>Malena 203</t>
  </si>
  <si>
    <t>Malena 201</t>
  </si>
  <si>
    <t>Malena 200</t>
  </si>
  <si>
    <t>Malena 107</t>
  </si>
  <si>
    <t>Malena 106</t>
  </si>
  <si>
    <t>Malena 105</t>
  </si>
  <si>
    <t>Malena 104</t>
  </si>
  <si>
    <t>Malena 103</t>
  </si>
  <si>
    <t>Malena 102</t>
  </si>
  <si>
    <t>Malena 101</t>
  </si>
  <si>
    <t>Malena 100</t>
  </si>
  <si>
    <t>Malena 021</t>
  </si>
  <si>
    <t>Malena 020</t>
  </si>
  <si>
    <t>Malena 010</t>
  </si>
  <si>
    <t>Malena 009</t>
  </si>
  <si>
    <t>Malena 008</t>
  </si>
  <si>
    <t>Malena 007</t>
  </si>
  <si>
    <t>Malena 004</t>
  </si>
  <si>
    <t>Malena 003</t>
  </si>
  <si>
    <t>Malena 002</t>
  </si>
  <si>
    <t>Malena 001</t>
  </si>
  <si>
    <t>Dream 176</t>
  </si>
  <si>
    <t>Dream 173</t>
  </si>
  <si>
    <t>Dream 171</t>
  </si>
  <si>
    <t>Dream 168</t>
  </si>
  <si>
    <t>Dream 167</t>
  </si>
  <si>
    <t>Dream148</t>
  </si>
  <si>
    <t>Dream 146</t>
  </si>
  <si>
    <t>Dream 142</t>
  </si>
  <si>
    <t>Dream 131</t>
  </si>
  <si>
    <t>Dream 124</t>
  </si>
  <si>
    <t>Dream 119</t>
  </si>
  <si>
    <t>Dream 113</t>
  </si>
  <si>
    <t>Dream 112</t>
  </si>
  <si>
    <t>Dream 101</t>
  </si>
  <si>
    <t>Dream 95</t>
  </si>
  <si>
    <t>Dream 86</t>
  </si>
  <si>
    <t>Dream 82</t>
  </si>
  <si>
    <t>Luxemburg</t>
  </si>
  <si>
    <t>Brüsszel</t>
  </si>
  <si>
    <t>Amszterdam</t>
  </si>
  <si>
    <t>Stockholm</t>
  </si>
  <si>
    <t>Koppenhága</t>
  </si>
  <si>
    <t>Oslo</t>
  </si>
  <si>
    <t>SIPMod Gold</t>
  </si>
  <si>
    <t>SIP</t>
  </si>
  <si>
    <t>SIPMod Black</t>
  </si>
  <si>
    <t>SIPMod Silver</t>
  </si>
  <si>
    <t>SIPMod Orange</t>
  </si>
  <si>
    <t>SIPMod Gray</t>
  </si>
  <si>
    <t>SIPMod Yellow</t>
  </si>
  <si>
    <t>SIPMod Red</t>
  </si>
  <si>
    <t>SIPMod Pink</t>
  </si>
  <si>
    <t>SIPMod White</t>
  </si>
  <si>
    <t>SIPMod Green</t>
  </si>
  <si>
    <t>Konténerház Miskolc</t>
  </si>
  <si>
    <t>ACÉLVÁZAS</t>
  </si>
  <si>
    <t>Konténerház Debrecen</t>
  </si>
  <si>
    <t>Konténerház Győr</t>
  </si>
  <si>
    <t>Konténerház Szeged</t>
  </si>
  <si>
    <t>Konténerház Budapest</t>
  </si>
  <si>
    <t>Konténerház Velence</t>
  </si>
  <si>
    <t>Konténerház Firenze</t>
  </si>
  <si>
    <t>Konténerház Róma</t>
  </si>
  <si>
    <t>Konténerház Washington</t>
  </si>
  <si>
    <t>Konténerház Vegas</t>
  </si>
  <si>
    <t>Konténerház New York</t>
  </si>
  <si>
    <t>Rodos típusház</t>
  </si>
  <si>
    <t>Mallorca típusház</t>
  </si>
  <si>
    <t>Ibiza típusház</t>
  </si>
  <si>
    <t>Naxos típusház</t>
  </si>
  <si>
    <t>YTONG</t>
  </si>
  <si>
    <t>Capri típusház</t>
  </si>
  <si>
    <t>Lanzorotte típusház</t>
  </si>
  <si>
    <t>Málta típusház</t>
  </si>
  <si>
    <t>Ios típusház</t>
  </si>
  <si>
    <t>Projekt 183</t>
  </si>
  <si>
    <t>IQ-231</t>
  </si>
  <si>
    <t>IQ-230</t>
  </si>
  <si>
    <t>NMTK-034</t>
  </si>
  <si>
    <t>NMTK-023</t>
  </si>
  <si>
    <t>NMTK-071</t>
  </si>
  <si>
    <t>NMTK-041</t>
  </si>
  <si>
    <t>NMTK-032</t>
  </si>
  <si>
    <t>NMTK-033</t>
  </si>
  <si>
    <t>NMTK-004</t>
  </si>
  <si>
    <t>NMTK-066</t>
  </si>
  <si>
    <t>NMTK-051</t>
  </si>
  <si>
    <t>NMTK-064</t>
  </si>
  <si>
    <t>NMTK-050</t>
  </si>
  <si>
    <t>NMTK-024</t>
  </si>
  <si>
    <t>NMTK-043</t>
  </si>
  <si>
    <t>NMTK-060</t>
  </si>
  <si>
    <t>NMTK-091</t>
  </si>
  <si>
    <t>NMTK-065</t>
  </si>
  <si>
    <t>NMTK-039</t>
  </si>
  <si>
    <t>NMTK-014</t>
  </si>
  <si>
    <t>NMTK-037</t>
  </si>
  <si>
    <t>NMTK-001</t>
  </si>
  <si>
    <t>NMTK-031</t>
  </si>
  <si>
    <t>NMTK-015</t>
  </si>
  <si>
    <t>NMTK-006</t>
  </si>
  <si>
    <t>NMTK-026</t>
  </si>
  <si>
    <t>NMTK-057</t>
  </si>
  <si>
    <t>NMTK-054</t>
  </si>
  <si>
    <t>NMTK-090</t>
  </si>
  <si>
    <t>NMTK-049</t>
  </si>
  <si>
    <t>NMTK-084</t>
  </si>
  <si>
    <t>NMTK-088</t>
  </si>
  <si>
    <t>NMTK-093</t>
  </si>
  <si>
    <t>NMTK-012</t>
  </si>
  <si>
    <t>NMTK-020</t>
  </si>
  <si>
    <t>NMTK-018</t>
  </si>
  <si>
    <t>NMTK-003</t>
  </si>
  <si>
    <t>NMTK-092</t>
  </si>
  <si>
    <t>NMTK-022</t>
  </si>
  <si>
    <t>NMTK-075</t>
  </si>
  <si>
    <t>NMTK-077</t>
  </si>
  <si>
    <t>NMTK-082</t>
  </si>
  <si>
    <t>NMTK-063</t>
  </si>
  <si>
    <t>NMTK-061</t>
  </si>
  <si>
    <t>NMTK-030</t>
  </si>
  <si>
    <t>NMTK-029</t>
  </si>
  <si>
    <t>NMTK-052</t>
  </si>
  <si>
    <t>NMTK-000</t>
  </si>
  <si>
    <t>NMTK-008</t>
  </si>
  <si>
    <t>NMTK-025</t>
  </si>
  <si>
    <t>NMTK-027</t>
  </si>
  <si>
    <t>NMTK-086</t>
  </si>
  <si>
    <t>NMTK-007</t>
  </si>
  <si>
    <t>NMTK-081</t>
  </si>
  <si>
    <t>NMTK-046</t>
  </si>
  <si>
    <t>NMTK-047</t>
  </si>
  <si>
    <t>NMTK-019</t>
  </si>
  <si>
    <t>NMTK-040</t>
  </si>
  <si>
    <t>NMTK-013</t>
  </si>
  <si>
    <t>NMTK-038</t>
  </si>
  <si>
    <t>NMTK-056</t>
  </si>
  <si>
    <t>NMTK-035</t>
  </si>
  <si>
    <t>NMTK-076</t>
  </si>
  <si>
    <t>NMTK-058</t>
  </si>
  <si>
    <t>NMTK-089</t>
  </si>
  <si>
    <t>NMTK-070</t>
  </si>
  <si>
    <t>NMTK-072</t>
  </si>
  <si>
    <t>NMTK-016</t>
  </si>
  <si>
    <t>NMTK-074</t>
  </si>
  <si>
    <t>NMTK-083</t>
  </si>
  <si>
    <t>NMTK-080</t>
  </si>
  <si>
    <t>NMTK-042</t>
  </si>
  <si>
    <t>NMTK-055</t>
  </si>
  <si>
    <t>NMTK-053</t>
  </si>
  <si>
    <t>NMTK-009</t>
  </si>
  <si>
    <t>NMTK-069</t>
  </si>
  <si>
    <t>NMTK-045</t>
  </si>
  <si>
    <t>NMTK-079</t>
  </si>
  <si>
    <t>NMTK-073</t>
  </si>
  <si>
    <t>NMTK-010</t>
  </si>
  <si>
    <t>NMTK-078</t>
  </si>
  <si>
    <t>Típusház 056</t>
  </si>
  <si>
    <t>Típusház 086</t>
  </si>
  <si>
    <t>Típusház 003</t>
  </si>
  <si>
    <t>Típusház 019</t>
  </si>
  <si>
    <t>Típusház 068</t>
  </si>
  <si>
    <t>Típusház 092</t>
  </si>
  <si>
    <t>Típusház 017</t>
  </si>
  <si>
    <t>Típusház 093</t>
  </si>
  <si>
    <t>Típusház 030</t>
  </si>
  <si>
    <t>Típusház 087</t>
  </si>
  <si>
    <t>Típusház IQ68</t>
  </si>
  <si>
    <t>Típusház IQ55</t>
  </si>
  <si>
    <t>Típusház IQ87</t>
  </si>
  <si>
    <t>Típusház IQ98</t>
  </si>
  <si>
    <t>Típusház IQ184</t>
  </si>
  <si>
    <t>Típusház IQ116</t>
  </si>
  <si>
    <t>Típusház IQ86</t>
  </si>
  <si>
    <t>IQ108</t>
  </si>
  <si>
    <t>Típusház IQ29</t>
  </si>
  <si>
    <t>Típusház IQ22</t>
  </si>
  <si>
    <t>Típusház IQ187</t>
  </si>
  <si>
    <t>Típusház IQ156</t>
  </si>
  <si>
    <t>Típusház IQ91</t>
  </si>
  <si>
    <t>Típusház IQ40</t>
  </si>
  <si>
    <t>Típusház IQ142</t>
  </si>
  <si>
    <t>Típusház IQ96</t>
  </si>
  <si>
    <t>Típusház IQ117</t>
  </si>
  <si>
    <t>Típusház IQ84</t>
  </si>
  <si>
    <t>Típusház IQ58</t>
  </si>
  <si>
    <t>Típusház IQ56</t>
  </si>
  <si>
    <t>Típusház IQ193</t>
  </si>
  <si>
    <t>Típusház IQ46</t>
  </si>
  <si>
    <t>Típusház IQ34</t>
  </si>
  <si>
    <t>Típusház IQ164</t>
  </si>
  <si>
    <t>Típusház IQ16</t>
  </si>
  <si>
    <t>Típusház IQ204</t>
  </si>
  <si>
    <t>Típusház IQ47</t>
  </si>
  <si>
    <t>Típusház IQ111</t>
  </si>
  <si>
    <t>Típusház IQ27</t>
  </si>
  <si>
    <t>Típusház IQ80</t>
  </si>
  <si>
    <t>Típusház IQ109</t>
  </si>
  <si>
    <t>Típusház IQ167</t>
  </si>
  <si>
    <t>Típusház IQ136</t>
  </si>
  <si>
    <t>Típusház IQ99</t>
  </si>
  <si>
    <t>Típusház IQ169</t>
  </si>
  <si>
    <t>Típusház IQ178</t>
  </si>
  <si>
    <t>Típusház IQ152</t>
  </si>
  <si>
    <t>Típusház IQ75</t>
  </si>
  <si>
    <t>Típusház IQ50</t>
  </si>
  <si>
    <t>Típusház IQ238</t>
  </si>
  <si>
    <t>Típusház IQ148</t>
  </si>
  <si>
    <t>Típusház IQ138</t>
  </si>
  <si>
    <t>Típusház IQ115</t>
  </si>
  <si>
    <t>Típusház IQ201</t>
  </si>
  <si>
    <t>Típusház IQ174</t>
  </si>
  <si>
    <t>Típusház IQ66</t>
  </si>
  <si>
    <t>Típusház IQ143</t>
  </si>
  <si>
    <t>Típusház IQ139</t>
  </si>
  <si>
    <t>Típusház IQ181</t>
  </si>
  <si>
    <t>Típusház IQ77</t>
  </si>
  <si>
    <t>Típusház IQ61</t>
  </si>
  <si>
    <t>Típusház IQ62</t>
  </si>
  <si>
    <t>Típusház IQ153</t>
  </si>
  <si>
    <t>Típusház IQ33</t>
  </si>
  <si>
    <t>Típusház IQ185</t>
  </si>
  <si>
    <t>Típusház IQ65</t>
  </si>
  <si>
    <t>Típusház IQ45</t>
  </si>
  <si>
    <t>Típusház IQ147</t>
  </si>
  <si>
    <t>Típusház IQ52</t>
  </si>
  <si>
    <t>Típusház IQ57</t>
  </si>
  <si>
    <t>Típusház IQ17</t>
  </si>
  <si>
    <t>Típusház IQ2</t>
  </si>
  <si>
    <t>Típusház IQ127</t>
  </si>
  <si>
    <t>Típusház IQ13</t>
  </si>
  <si>
    <t>Típusház IQ24</t>
  </si>
  <si>
    <t>Típusház IQ21</t>
  </si>
  <si>
    <t>Típusház IQ123</t>
  </si>
  <si>
    <t>Típusház IQ15</t>
  </si>
  <si>
    <t>Típusház IQ20</t>
  </si>
  <si>
    <t>Típusház IQ112</t>
  </si>
  <si>
    <t>Típusház IQ205</t>
  </si>
  <si>
    <t>Típusház IQ182</t>
  </si>
  <si>
    <t>Típusház IQ171</t>
  </si>
  <si>
    <t>Típusház IQ14</t>
  </si>
  <si>
    <t>Típusház IQ69</t>
  </si>
  <si>
    <t>Típusház IQ105</t>
  </si>
  <si>
    <t>Típusház IQ151</t>
  </si>
  <si>
    <t>Típusház IQ63</t>
  </si>
  <si>
    <t>Típusház IQ173</t>
  </si>
  <si>
    <t>Típusház IQ49</t>
  </si>
  <si>
    <t>Típusház IQ137</t>
  </si>
  <si>
    <t>Típusház IQ53</t>
  </si>
  <si>
    <t>Típusház IQ6</t>
  </si>
  <si>
    <t>Típusház IQ39</t>
  </si>
  <si>
    <t>Típusház IQ119</t>
  </si>
  <si>
    <t>Típusház IQ102</t>
  </si>
  <si>
    <t>Típusház IQ194</t>
  </si>
  <si>
    <t>Típusház IQ189</t>
  </si>
  <si>
    <t>Típusház IQ51</t>
  </si>
  <si>
    <t>Típusház IQ90</t>
  </si>
  <si>
    <t>Típusház IQ79</t>
  </si>
  <si>
    <t>Típusház IQ172</t>
  </si>
  <si>
    <t>Típusház IQ133</t>
  </si>
  <si>
    <t>Típusház IQ110</t>
  </si>
  <si>
    <t>Típusház IQ12</t>
  </si>
  <si>
    <t>Típusház IQ131</t>
  </si>
  <si>
    <t>Típusház IQ26</t>
  </si>
  <si>
    <t>Típusház IQ196</t>
  </si>
  <si>
    <t>Típusház IQ150</t>
  </si>
  <si>
    <t>Típusház IQ166</t>
  </si>
  <si>
    <t>Típusház IQ42</t>
  </si>
  <si>
    <t>Típusház IQ158</t>
  </si>
  <si>
    <t>Típusház IQ43</t>
  </si>
  <si>
    <t>Típusház IQ170</t>
  </si>
  <si>
    <t>Típusház IQ32</t>
  </si>
  <si>
    <t>Típusház IQ163</t>
  </si>
  <si>
    <t>Típusház IQ54</t>
  </si>
  <si>
    <t>Típusház IQ186</t>
  </si>
  <si>
    <t>Típusház IQ25</t>
  </si>
  <si>
    <t>Típusház IQ64</t>
  </si>
  <si>
    <t>Típusház IQ37</t>
  </si>
  <si>
    <t>Típusház IQ122</t>
  </si>
  <si>
    <t>Típusház IQ23</t>
  </si>
  <si>
    <t>Típusház IQ103</t>
  </si>
  <si>
    <t>Típusház IQ198</t>
  </si>
  <si>
    <t>Típusház IQ101</t>
  </si>
  <si>
    <t>Típusház IQ135</t>
  </si>
  <si>
    <t>Típusház IQ134</t>
  </si>
  <si>
    <t>Típusház IQ18</t>
  </si>
  <si>
    <t>Típusház IQ199</t>
  </si>
  <si>
    <t>Típusház IQ129</t>
  </si>
  <si>
    <t>Típusház IQ180</t>
  </si>
  <si>
    <t>Típusház IQ161</t>
  </si>
  <si>
    <t>Típusház IQ8</t>
  </si>
  <si>
    <t>Típusház IQ162</t>
  </si>
  <si>
    <t>Típusház IQ1</t>
  </si>
  <si>
    <t>Típusház IQ140</t>
  </si>
  <si>
    <t>Típusház IQ195</t>
  </si>
  <si>
    <t>Típusház IQ60</t>
  </si>
  <si>
    <t>Típusház IQ177</t>
  </si>
  <si>
    <t>Típusház IQ59</t>
  </si>
  <si>
    <t>Típusház IQ149</t>
  </si>
  <si>
    <t>Típusház IQ104</t>
  </si>
  <si>
    <t>Típusház IQ168</t>
  </si>
  <si>
    <t>Típusház IQ202</t>
  </si>
  <si>
    <t>Típusház IQ81</t>
  </si>
  <si>
    <t>Típusház IQ155</t>
  </si>
  <si>
    <t>Típusház IQ132</t>
  </si>
  <si>
    <t>Típusház IQ130</t>
  </si>
  <si>
    <t>Típusház IQ192</t>
  </si>
  <si>
    <t>Típusház IQ38</t>
  </si>
  <si>
    <t>Típusház IQ5</t>
  </si>
  <si>
    <t>Típusház IQ125</t>
  </si>
  <si>
    <t>Típusház IQ44</t>
  </si>
  <si>
    <t>Típusház IQ35</t>
  </si>
  <si>
    <t>Típusház IQ100</t>
  </si>
  <si>
    <t>Típusház IQ31</t>
  </si>
  <si>
    <t>Típusház IQ9</t>
  </si>
  <si>
    <t>Típusház IQ146</t>
  </si>
  <si>
    <t>Típusház IQ190</t>
  </si>
  <si>
    <t>Típusház IQ183</t>
  </si>
  <si>
    <t>Típusház IQ10</t>
  </si>
  <si>
    <t>Típusház IQ200</t>
  </si>
  <si>
    <t>Típusház IQ207</t>
  </si>
  <si>
    <t>Típusház IQ71</t>
  </si>
  <si>
    <t>Típusház IQ4</t>
  </si>
  <si>
    <t>Típusház IQ11</t>
  </si>
  <si>
    <t>Típusház IQ176</t>
  </si>
  <si>
    <t>Típusház IQ175</t>
  </si>
  <si>
    <t>Típusház IQ78</t>
  </si>
  <si>
    <t>Típusház IQ85</t>
  </si>
  <si>
    <t>Típusház IQ124</t>
  </si>
  <si>
    <t>Típusház IQ19</t>
  </si>
  <si>
    <t>Típusház IQ191</t>
  </si>
  <si>
    <t>Típusház IQ157</t>
  </si>
  <si>
    <t>Típusház IQ179</t>
  </si>
  <si>
    <t>Típusház IQ67</t>
  </si>
  <si>
    <t>Típusház IQ126</t>
  </si>
  <si>
    <t>Típusház IQ197</t>
  </si>
  <si>
    <t>Típusház IQ206</t>
  </si>
  <si>
    <t>Típusház IQ72</t>
  </si>
  <si>
    <t>Típusház IQ70</t>
  </si>
  <si>
    <t>Típusház IQ203</t>
  </si>
  <si>
    <t>Típusház IQ165</t>
  </si>
  <si>
    <t>Típusház IQ188</t>
  </si>
  <si>
    <t>Típusház IQ7</t>
  </si>
  <si>
    <t>Típusház IQ36</t>
  </si>
  <si>
    <t>Típusház IQ141</t>
  </si>
  <si>
    <t>Típusház IQ154</t>
  </si>
  <si>
    <t>Típusház IQ30</t>
  </si>
  <si>
    <t>Típusház IQ82</t>
  </si>
  <si>
    <t>Típusház IQ114</t>
  </si>
  <si>
    <t>Típusház IQ128</t>
  </si>
  <si>
    <t>Típusház IQ159</t>
  </si>
  <si>
    <t>Típusház IQ121</t>
  </si>
  <si>
    <t>Típusház IQ120</t>
  </si>
  <si>
    <t>Típusház IQ93</t>
  </si>
  <si>
    <t>Típusház IQ83</t>
  </si>
  <si>
    <t>Típusház IQ118</t>
  </si>
  <si>
    <t>Típusház IQ94</t>
  </si>
  <si>
    <t>Köveskál típusház</t>
  </si>
  <si>
    <t>Pilisszentiván típusház</t>
  </si>
  <si>
    <t>Gabon</t>
  </si>
  <si>
    <t>Mozambik</t>
  </si>
  <si>
    <t>Genius</t>
  </si>
  <si>
    <t>Napfényvilla</t>
  </si>
  <si>
    <t>Villa Patriot</t>
  </si>
  <si>
    <t>Villa Mediterraneo</t>
  </si>
  <si>
    <t>Villa Shalmon</t>
  </si>
  <si>
    <t>Villa Pontiac</t>
  </si>
  <si>
    <t>Ice Cube</t>
  </si>
  <si>
    <t>Villa Z</t>
  </si>
  <si>
    <t>Villa Fiorentina</t>
  </si>
  <si>
    <t>Cube XIV</t>
  </si>
  <si>
    <t>Károly</t>
  </si>
  <si>
    <t>Smartdoki</t>
  </si>
  <si>
    <t>Michigan</t>
  </si>
  <si>
    <t>Domuantek</t>
  </si>
  <si>
    <t>Villa Rumba</t>
  </si>
  <si>
    <t>Villa Bolero</t>
  </si>
  <si>
    <t>Solomon</t>
  </si>
  <si>
    <t>Okuvariant</t>
  </si>
  <si>
    <t>Japán</t>
  </si>
  <si>
    <t>Domuspremium</t>
  </si>
  <si>
    <t>Clarissa</t>
  </si>
  <si>
    <t>Castilia</t>
  </si>
  <si>
    <t>Armando</t>
  </si>
  <si>
    <t>Törökbálint</t>
  </si>
  <si>
    <t>DANISH FABRIK,DANISH FABRIK</t>
  </si>
  <si>
    <t>Slim Fit</t>
  </si>
  <si>
    <t>Csubakka</t>
  </si>
  <si>
    <t>Gyula</t>
  </si>
  <si>
    <t>Cappucino</t>
  </si>
  <si>
    <t>Caligula</t>
  </si>
  <si>
    <t>Duvianus</t>
  </si>
  <si>
    <t>Draco</t>
  </si>
  <si>
    <t>Donicius</t>
  </si>
  <si>
    <t>Coolio</t>
  </si>
  <si>
    <t>Bolanus</t>
  </si>
  <si>
    <t>Barbatus</t>
  </si>
  <si>
    <t>Abu-Dzabi</t>
  </si>
  <si>
    <t>Szöul</t>
  </si>
  <si>
    <t>Prága</t>
  </si>
  <si>
    <t>Toronto</t>
  </si>
  <si>
    <t>Minimal Danish Fabrik</t>
  </si>
  <si>
    <t>Klasszikus Danish Fabrik</t>
  </si>
  <si>
    <t>Bicske</t>
  </si>
  <si>
    <t>Zirc</t>
  </si>
  <si>
    <t>Köveskál</t>
  </si>
  <si>
    <t>Jeremiás</t>
  </si>
  <si>
    <t>Vas</t>
  </si>
  <si>
    <t>Üröm</t>
  </si>
  <si>
    <t>Áporka</t>
  </si>
  <si>
    <t>Pócsmegyer</t>
  </si>
  <si>
    <t>Bonifác</t>
  </si>
  <si>
    <t>Bella</t>
  </si>
  <si>
    <t>Tulipán</t>
  </si>
  <si>
    <t>Genesis</t>
  </si>
  <si>
    <t>Tiara</t>
  </si>
  <si>
    <t>Katherina</t>
  </si>
  <si>
    <t>Natalie</t>
  </si>
  <si>
    <t>Üstökös</t>
  </si>
  <si>
    <t>Sztaravoda</t>
  </si>
  <si>
    <t>Addison</t>
  </si>
  <si>
    <t>Katalin</t>
  </si>
  <si>
    <t>Domino</t>
  </si>
  <si>
    <t>Flamenco</t>
  </si>
  <si>
    <t>Balboa</t>
  </si>
  <si>
    <t>Mambo</t>
  </si>
  <si>
    <t>Salsa</t>
  </si>
  <si>
    <t>Jazz</t>
  </si>
  <si>
    <t>Jive</t>
  </si>
  <si>
    <t>Swing</t>
  </si>
  <si>
    <t>Rock and Roll</t>
  </si>
  <si>
    <t>Walzer</t>
  </si>
  <si>
    <t>Shuffle</t>
  </si>
  <si>
    <t>Tango</t>
  </si>
  <si>
    <t>Charleston</t>
  </si>
  <si>
    <t>Pirreusz</t>
  </si>
  <si>
    <t>Spain</t>
  </si>
  <si>
    <t>Tarantino</t>
  </si>
  <si>
    <t>Gerard</t>
  </si>
  <si>
    <t>Hévíz</t>
  </si>
  <si>
    <t>iHOUSE</t>
  </si>
  <si>
    <t>Keramzit</t>
  </si>
  <si>
    <t>Kolibri</t>
  </si>
  <si>
    <t>Marbella</t>
  </si>
  <si>
    <t>Sodo</t>
  </si>
  <si>
    <t>Álom</t>
  </si>
  <si>
    <t>Anúbisz stílusház</t>
  </si>
  <si>
    <t>Beastie Boys</t>
  </si>
  <si>
    <t>Beregon ház</t>
  </si>
  <si>
    <t>Carlito</t>
  </si>
  <si>
    <t>FUZET</t>
  </si>
  <si>
    <t>ELCLASSICO</t>
  </si>
  <si>
    <t>Cinóber</t>
  </si>
  <si>
    <t>Császár Ikonház</t>
  </si>
  <si>
    <t>Don Quijote</t>
  </si>
  <si>
    <t>Dóra</t>
  </si>
  <si>
    <t>India ház</t>
  </si>
  <si>
    <t>Kaláka</t>
  </si>
  <si>
    <t>Kárókatona</t>
  </si>
  <si>
    <t>Kazimir ház</t>
  </si>
  <si>
    <t>Kelly</t>
  </si>
  <si>
    <t>Kicsi Indián</t>
  </si>
  <si>
    <t>Liapor-Balatonmagyaród</t>
  </si>
  <si>
    <t>LIAPOR</t>
  </si>
  <si>
    <t>Balatonszárszó</t>
  </si>
  <si>
    <t>Liapor Bécsújhely</t>
  </si>
  <si>
    <t>Liapor Csillámpóni</t>
  </si>
  <si>
    <t>Liapor Hugó</t>
  </si>
  <si>
    <t>Liapor Novi Grad</t>
  </si>
  <si>
    <t>Liapor Revenge</t>
  </si>
  <si>
    <t>Major</t>
  </si>
  <si>
    <t>Mokka Modern</t>
  </si>
  <si>
    <t>Négy évszak ház</t>
  </si>
  <si>
    <t>Odeon ház</t>
  </si>
  <si>
    <t>Ogyessza Stílusház</t>
  </si>
  <si>
    <t>Saggarius</t>
  </si>
  <si>
    <t>Salamon</t>
  </si>
  <si>
    <t>Siklós</t>
  </si>
  <si>
    <t>SivoLeon</t>
  </si>
  <si>
    <t>Spinoza Villa</t>
  </si>
  <si>
    <t>Szinergia Ikonház</t>
  </si>
  <si>
    <t>Virág Villa</t>
  </si>
  <si>
    <t>Wiesinger Villa</t>
  </si>
  <si>
    <t>Badacsony II</t>
  </si>
  <si>
    <t>Duna Ház</t>
  </si>
  <si>
    <t>LEIER</t>
  </si>
  <si>
    <t>Tisza ház</t>
  </si>
  <si>
    <t>Dráva Ház</t>
  </si>
  <si>
    <t>Bodrog Ház</t>
  </si>
  <si>
    <t>Rába Ház</t>
  </si>
  <si>
    <t>Lajta Ház</t>
  </si>
  <si>
    <t>Marcal Ház</t>
  </si>
  <si>
    <t>Szamos Ház</t>
  </si>
  <si>
    <t>Körös Ház</t>
  </si>
  <si>
    <t>Rábca Ház</t>
  </si>
  <si>
    <t>Sajó Ház</t>
  </si>
  <si>
    <t>Hernád Ház</t>
  </si>
  <si>
    <t>Rumba</t>
  </si>
  <si>
    <t>Ideál</t>
  </si>
  <si>
    <t>Hajnal</t>
  </si>
  <si>
    <t>House mini</t>
  </si>
  <si>
    <t>Fürj</t>
  </si>
  <si>
    <t>Grafit</t>
  </si>
  <si>
    <t>Aurora midi</t>
  </si>
  <si>
    <t>Rio2</t>
  </si>
  <si>
    <t>Aurora Maxi</t>
  </si>
  <si>
    <t>Holdfény</t>
  </si>
  <si>
    <t>Ashley</t>
  </si>
  <si>
    <t>Grund</t>
  </si>
  <si>
    <t>Szavanna</t>
  </si>
  <si>
    <t>Veranda</t>
  </si>
  <si>
    <t>Teodor</t>
  </si>
  <si>
    <t>Szellő</t>
  </si>
  <si>
    <t>Rezeda</t>
  </si>
  <si>
    <t>Lux</t>
  </si>
  <si>
    <t>Vanilla</t>
  </si>
  <si>
    <t>Kos</t>
  </si>
  <si>
    <t>Pegazus</t>
  </si>
  <si>
    <t>Főnix</t>
  </si>
  <si>
    <t>Androméda</t>
  </si>
  <si>
    <t>Orion</t>
  </si>
  <si>
    <t>Arturo</t>
  </si>
  <si>
    <t>Alexandria</t>
  </si>
  <si>
    <t>Alberto</t>
  </si>
  <si>
    <t>Sziriusz</t>
  </si>
  <si>
    <t>Elka</t>
  </si>
  <si>
    <t>Julia</t>
  </si>
  <si>
    <t>Teremtés</t>
  </si>
  <si>
    <t>Hot Spot House</t>
  </si>
  <si>
    <t>Lizett</t>
  </si>
  <si>
    <t>Boróka</t>
  </si>
  <si>
    <t>Mogyoró</t>
  </si>
  <si>
    <t>Úny</t>
  </si>
  <si>
    <t>Szentendre v3</t>
  </si>
  <si>
    <t>Kasia</t>
  </si>
  <si>
    <t>Panna</t>
  </si>
  <si>
    <t>Ábel</t>
  </si>
  <si>
    <t>Bueno</t>
  </si>
  <si>
    <t>VarioSIP 50</t>
  </si>
  <si>
    <t>VarioSip 60</t>
  </si>
  <si>
    <t>Önfenntartó Alpha17</t>
  </si>
  <si>
    <t>Önfenntartó Zeta 12</t>
  </si>
  <si>
    <t>Önfenntartó Delta 13</t>
  </si>
  <si>
    <t>Önfenntartó Family 11</t>
  </si>
  <si>
    <t>Dorian</t>
  </si>
  <si>
    <t>Tess</t>
  </si>
  <si>
    <t>Oliver</t>
  </si>
  <si>
    <t>Elvis</t>
  </si>
  <si>
    <t>Indy</t>
  </si>
  <si>
    <t>Jack</t>
  </si>
  <si>
    <t>Luke</t>
  </si>
  <si>
    <t>Nathan</t>
  </si>
  <si>
    <t>Ryder</t>
  </si>
  <si>
    <t>Stella</t>
  </si>
  <si>
    <t>Camilla</t>
  </si>
  <si>
    <t>Roger</t>
  </si>
  <si>
    <t>Andrew</t>
  </si>
  <si>
    <t>Cora</t>
  </si>
  <si>
    <t>Ava</t>
  </si>
  <si>
    <t>Minka</t>
  </si>
  <si>
    <t>Kis</t>
  </si>
  <si>
    <t>Balatonrendes</t>
  </si>
  <si>
    <t>Balatonalmádi</t>
  </si>
  <si>
    <t>Seregélyes</t>
  </si>
  <si>
    <t>Budakeszi</t>
  </si>
  <si>
    <t>Gyenesdiás</t>
  </si>
  <si>
    <t>Pomáz</t>
  </si>
  <si>
    <t>Balatongyörök</t>
  </si>
  <si>
    <t>Bicske II</t>
  </si>
  <si>
    <t>Berkenye II</t>
  </si>
  <si>
    <t>Vác</t>
  </si>
  <si>
    <t>Berzence</t>
  </si>
  <si>
    <t>Serengeti</t>
  </si>
  <si>
    <t>Dániel</t>
  </si>
  <si>
    <t>Rio Grande</t>
  </si>
  <si>
    <t>Berkenye-99</t>
  </si>
  <si>
    <t>Pluto</t>
  </si>
  <si>
    <t>Lyra</t>
  </si>
  <si>
    <t>Selena</t>
  </si>
  <si>
    <t>Olívia</t>
  </si>
  <si>
    <t>Chocolate</t>
  </si>
  <si>
    <t>Rikki</t>
  </si>
  <si>
    <t>Vitalis</t>
  </si>
  <si>
    <t>Ferenc</t>
  </si>
  <si>
    <t>Csuka</t>
  </si>
  <si>
    <t>Tüske</t>
  </si>
  <si>
    <t>Alphabet</t>
  </si>
  <si>
    <t>Betamax</t>
  </si>
  <si>
    <t>Zumba</t>
  </si>
  <si>
    <t>Rio</t>
  </si>
  <si>
    <t>Sajó</t>
  </si>
  <si>
    <t>Diego</t>
  </si>
  <si>
    <t>Pionír</t>
  </si>
  <si>
    <t>Eleonóra</t>
  </si>
  <si>
    <t>Woodie</t>
  </si>
  <si>
    <t>Dolce Vita</t>
  </si>
  <si>
    <t>A-frame</t>
  </si>
  <si>
    <t>Toto</t>
  </si>
  <si>
    <t>Villa Polka</t>
  </si>
  <si>
    <t>Tájfun</t>
  </si>
  <si>
    <t>Ottawa</t>
  </si>
  <si>
    <t>Pillangó</t>
  </si>
  <si>
    <t>Gloria</t>
  </si>
  <si>
    <t>Bianka</t>
  </si>
  <si>
    <t>Pikkoló</t>
  </si>
  <si>
    <t>Gabriella</t>
  </si>
  <si>
    <t>Tajga</t>
  </si>
  <si>
    <t>Szófia</t>
  </si>
  <si>
    <t>Calabria</t>
  </si>
  <si>
    <t>Oban</t>
  </si>
  <si>
    <t>Marvel</t>
  </si>
  <si>
    <t>Monte Cristo</t>
  </si>
  <si>
    <t>Black Widow</t>
  </si>
  <si>
    <t>Projekt 2338</t>
  </si>
  <si>
    <t>Noé</t>
  </si>
  <si>
    <t>Voodoo</t>
  </si>
  <si>
    <t>Mastricht</t>
  </si>
  <si>
    <t>Alba Plusz</t>
  </si>
  <si>
    <t>Őszapó Ikerház</t>
  </si>
  <si>
    <t>Michelangelo</t>
  </si>
  <si>
    <t>Túrkeve</t>
  </si>
  <si>
    <t>Eco Practic</t>
  </si>
  <si>
    <t>Daniel</t>
  </si>
  <si>
    <t>Domus Cubus Ikerház</t>
  </si>
  <si>
    <t>Metaverse</t>
  </si>
  <si>
    <t>Sandokan</t>
  </si>
  <si>
    <t>Sándor</t>
  </si>
  <si>
    <t>Ortiz</t>
  </si>
  <si>
    <t>Mango</t>
  </si>
  <si>
    <t>Simon</t>
  </si>
  <si>
    <t>Nero2</t>
  </si>
  <si>
    <t>Nyúl</t>
  </si>
  <si>
    <t>Biatorbágy</t>
  </si>
  <si>
    <t>Boronás</t>
  </si>
  <si>
    <t>Tegehalom</t>
  </si>
  <si>
    <t>Szada</t>
  </si>
  <si>
    <t>Kaktusz</t>
  </si>
  <si>
    <t>Zita</t>
  </si>
  <si>
    <t>Kenese</t>
  </si>
  <si>
    <t>Szeged</t>
  </si>
  <si>
    <t>Ringló</t>
  </si>
  <si>
    <t>Bia</t>
  </si>
  <si>
    <t>Alsónémedi</t>
  </si>
  <si>
    <t>Nagykovácsi</t>
  </si>
  <si>
    <t>Naspolya</t>
  </si>
  <si>
    <t>Mokka Biatorbágy</t>
  </si>
  <si>
    <t>Kelly Alsónémedi</t>
  </si>
  <si>
    <t>Dömsöd</t>
  </si>
  <si>
    <t>Annavölgy</t>
  </si>
  <si>
    <t>Mogyoród</t>
  </si>
  <si>
    <t>Carlo Pilisjászfalu</t>
  </si>
  <si>
    <t>Zánka</t>
  </si>
  <si>
    <t>Tiszasziget</t>
  </si>
  <si>
    <t>Hódmezővásárhely I</t>
  </si>
  <si>
    <t>Hódmezővásárhely II</t>
  </si>
  <si>
    <t>Hódmezővásárhely III</t>
  </si>
  <si>
    <t>Anett</t>
  </si>
  <si>
    <t>Szőreg</t>
  </si>
  <si>
    <t>Püspök</t>
  </si>
  <si>
    <t>Anette 122</t>
  </si>
  <si>
    <t>Tóalmás V1</t>
  </si>
  <si>
    <t>Tóalmás V2</t>
  </si>
  <si>
    <t>Dinnyés</t>
  </si>
  <si>
    <t>Nagyvázsony</t>
  </si>
  <si>
    <t>Egyek</t>
  </si>
  <si>
    <t>Délegyháza</t>
  </si>
  <si>
    <t>Tarján</t>
  </si>
  <si>
    <t>Rákóczifalva</t>
  </si>
  <si>
    <t>Gúla</t>
  </si>
  <si>
    <t>Rézöntő</t>
  </si>
  <si>
    <t>Galgahévíz</t>
  </si>
  <si>
    <t>Budajenő</t>
  </si>
  <si>
    <t>Nagytarcsa</t>
  </si>
  <si>
    <t>Akadémia</t>
  </si>
  <si>
    <t>Jácint</t>
  </si>
  <si>
    <t>K3</t>
  </si>
  <si>
    <t>K4</t>
  </si>
  <si>
    <t>K5</t>
  </si>
  <si>
    <t>Casa Modern - 1 szintes nyaraló</t>
  </si>
  <si>
    <t>Casa Modern - 1 szintes iroda</t>
  </si>
  <si>
    <t>Casa Modern - Gyorsétterem</t>
  </si>
  <si>
    <t>Casa Modern- 2 szintes nyaraló</t>
  </si>
  <si>
    <t>Casa Modern- 2 szintes iroda</t>
  </si>
  <si>
    <t>Casa Modern- garázs/műhely</t>
  </si>
  <si>
    <t>Casa Modern- 2 szintes nyaraló nyeregtetővel</t>
  </si>
  <si>
    <t>Casa Modern- étterem</t>
  </si>
  <si>
    <t>Casa Modern- Bemutató terem</t>
  </si>
  <si>
    <t>Casa Modern- pékség/cukrászda</t>
  </si>
  <si>
    <t>Casa Modern - Edzőterem</t>
  </si>
  <si>
    <t>Casa Modern - szépségszalon</t>
  </si>
  <si>
    <t>Berettyó ház</t>
  </si>
  <si>
    <t>Ikva ház</t>
  </si>
  <si>
    <t>Kerka</t>
  </si>
  <si>
    <t>Pándzsa</t>
  </si>
  <si>
    <t>Séd</t>
  </si>
  <si>
    <t>Zala</t>
  </si>
  <si>
    <t>IQ273</t>
  </si>
  <si>
    <t>IQ274</t>
  </si>
  <si>
    <t>IQ275</t>
  </si>
  <si>
    <t>IQ290</t>
  </si>
  <si>
    <t>IQ291</t>
  </si>
  <si>
    <t>IQ292</t>
  </si>
  <si>
    <t>IQ293</t>
  </si>
  <si>
    <t>IQ294</t>
  </si>
  <si>
    <t>IQ295</t>
  </si>
  <si>
    <t>Paulinka</t>
  </si>
  <si>
    <t>Szilvána</t>
  </si>
  <si>
    <t>Malik</t>
  </si>
  <si>
    <t>Beska</t>
  </si>
  <si>
    <t>Martin</t>
  </si>
  <si>
    <t>Siena</t>
  </si>
  <si>
    <t>Ikerház 01</t>
  </si>
  <si>
    <t>Premier</t>
  </si>
  <si>
    <t>Logan</t>
  </si>
  <si>
    <t>Eco basic</t>
  </si>
  <si>
    <t>Eco plus</t>
  </si>
  <si>
    <t>Mona ikerház</t>
  </si>
  <si>
    <t>Universal-1</t>
  </si>
  <si>
    <t>Universal-2</t>
  </si>
  <si>
    <t>Baba</t>
  </si>
  <si>
    <t>Universal-3</t>
  </si>
  <si>
    <t>Universal-4</t>
  </si>
  <si>
    <t>Universal-F</t>
  </si>
  <si>
    <t>Universal-F_1</t>
  </si>
  <si>
    <t>Universal F-design</t>
  </si>
  <si>
    <t>Akác</t>
  </si>
  <si>
    <t>Athén</t>
  </si>
  <si>
    <t>Kréta</t>
  </si>
  <si>
    <t>Jura</t>
  </si>
  <si>
    <t>Pócsmegyer II</t>
  </si>
  <si>
    <t>Triász</t>
  </si>
  <si>
    <t>Mars</t>
  </si>
  <si>
    <t>Verőce</t>
  </si>
  <si>
    <t>Jupiter</t>
  </si>
  <si>
    <t>Neptunusz</t>
  </si>
  <si>
    <t>Triton</t>
  </si>
  <si>
    <t>Szaturnusz</t>
  </si>
  <si>
    <t>Apolló</t>
  </si>
  <si>
    <t>Vénusz</t>
  </si>
  <si>
    <t>Diana</t>
  </si>
  <si>
    <t>Ceres</t>
  </si>
  <si>
    <t>Szentendre</t>
  </si>
  <si>
    <t>Alma</t>
  </si>
  <si>
    <t>Kugli</t>
  </si>
  <si>
    <t>Passzát</t>
  </si>
  <si>
    <t>Morwenia</t>
  </si>
  <si>
    <t>Valadur</t>
  </si>
  <si>
    <t>Eldarion</t>
  </si>
  <si>
    <t>Baelor</t>
  </si>
  <si>
    <t>Lunara</t>
  </si>
  <si>
    <t>Ysmera</t>
  </si>
  <si>
    <t>Dravion</t>
  </si>
  <si>
    <t>Alkony kapu</t>
  </si>
  <si>
    <t>Zengő liget</t>
  </si>
  <si>
    <t>Patakpart</t>
  </si>
  <si>
    <t>Szélzug</t>
  </si>
  <si>
    <t>Csillagfény</t>
  </si>
  <si>
    <t>Nyári Sóhaj</t>
  </si>
  <si>
    <t>Égi Horizont</t>
  </si>
  <si>
    <t>Tündérkert</t>
  </si>
  <si>
    <t>Fűzfalomb</t>
  </si>
  <si>
    <t>Dunahullám</t>
  </si>
  <si>
    <t>Pusztagyöngye</t>
  </si>
  <si>
    <t>Alföldi Álom</t>
  </si>
  <si>
    <t>Balatonpart</t>
  </si>
  <si>
    <t>Bakony Rejtek</t>
  </si>
  <si>
    <t>Pannon Panoráma</t>
  </si>
  <si>
    <t>Szikrázó Szirt</t>
  </si>
  <si>
    <t>Hegyi Harmat</t>
  </si>
  <si>
    <t>Nyári Napsugár</t>
  </si>
  <si>
    <t>Csillagösvény</t>
  </si>
  <si>
    <t>Felhőfény</t>
  </si>
  <si>
    <t>Virágzó Völgy</t>
  </si>
  <si>
    <t>Aranylomb</t>
  </si>
  <si>
    <t>Szellő Szárnya</t>
  </si>
  <si>
    <t>Tündérnyom</t>
  </si>
  <si>
    <t>Alkonyat álma</t>
  </si>
  <si>
    <t>Fenyves Fészek</t>
  </si>
  <si>
    <t>Derűs Domb</t>
  </si>
  <si>
    <t>Virágvarázs</t>
  </si>
  <si>
    <t>Lepkeház</t>
  </si>
  <si>
    <t>Oázis Otthon</t>
  </si>
  <si>
    <t>Szivárvány Sík</t>
  </si>
  <si>
    <t>Zöld Rév</t>
  </si>
  <si>
    <t>Harmat Rév</t>
  </si>
  <si>
    <t>Jura - Keskeny</t>
  </si>
  <si>
    <t>Jura - Oldalhatáros</t>
  </si>
  <si>
    <t>Ecser</t>
  </si>
  <si>
    <t>Zalaegerszeg</t>
  </si>
  <si>
    <t>Naparany</t>
  </si>
  <si>
    <t>FP-Rózsa</t>
  </si>
  <si>
    <t>FP-Pipacs</t>
  </si>
  <si>
    <t>FP-Ibolya</t>
  </si>
  <si>
    <t>FP-Tulipán</t>
  </si>
  <si>
    <t>FP-Hóvirág</t>
  </si>
  <si>
    <t>FP-Orchidea</t>
  </si>
  <si>
    <t>FP-Napraforgó</t>
  </si>
  <si>
    <t>FP-Kamilla</t>
  </si>
  <si>
    <t>FP-Százszorszép</t>
  </si>
  <si>
    <t>FP-Levendula</t>
  </si>
  <si>
    <t>FP-Hortenzia</t>
  </si>
  <si>
    <t>FP-Jácint</t>
  </si>
  <si>
    <t>FP-Borostyán</t>
  </si>
  <si>
    <t>FP-Krizantén</t>
  </si>
  <si>
    <t>FP-Gyöngyvirág</t>
  </si>
  <si>
    <t>FP-Írisz</t>
  </si>
  <si>
    <t>FP-Árvácska</t>
  </si>
  <si>
    <t>FP-Muskátli</t>
  </si>
  <si>
    <t>FP-Kökörcsin</t>
  </si>
  <si>
    <t>FP-Boglárka</t>
  </si>
  <si>
    <t>FP-Nefelejcs</t>
  </si>
  <si>
    <t>FP-Viola</t>
  </si>
  <si>
    <t>FP-Harmatcsepp</t>
  </si>
  <si>
    <t>Vitalis Energy</t>
  </si>
  <si>
    <t>Fuzet Energy</t>
  </si>
  <si>
    <t>Ciprus</t>
  </si>
  <si>
    <t>Törökhegy I</t>
  </si>
  <si>
    <t>Törökhegy II</t>
  </si>
  <si>
    <t>Törökhegy III</t>
  </si>
  <si>
    <t>De Stijl</t>
  </si>
  <si>
    <t>Jura - Fedett beállóval</t>
  </si>
  <si>
    <t>Jura - Garázs nélkül</t>
  </si>
  <si>
    <t>WP-Sedona</t>
  </si>
  <si>
    <t>WP-Aspen</t>
  </si>
  <si>
    <t>WP-Beaufort</t>
  </si>
  <si>
    <t>WP-Taos</t>
  </si>
  <si>
    <t>WP-Newport</t>
  </si>
  <si>
    <t>WP-Jackson</t>
  </si>
  <si>
    <t>Triász Plus</t>
  </si>
  <si>
    <t>WP-Sitka</t>
  </si>
  <si>
    <t>WP-Traverse</t>
  </si>
  <si>
    <t>WP-Marfa</t>
  </si>
  <si>
    <t>WP-Stowe</t>
  </si>
  <si>
    <t>WP-Galena</t>
  </si>
  <si>
    <t>WP-Leavenworth</t>
  </si>
  <si>
    <t>WP-Breckenridge</t>
  </si>
  <si>
    <t>Gödöllő- Táncsics Mihály</t>
  </si>
  <si>
    <t>WP-Fredericksburg</t>
  </si>
  <si>
    <t>WP-Eureka</t>
  </si>
  <si>
    <t>WP-Mystic</t>
  </si>
  <si>
    <t>Barcelona-100 Prémium</t>
  </si>
  <si>
    <t>Jura Plus</t>
  </si>
  <si>
    <t>Jura Bónusz</t>
  </si>
  <si>
    <t>Jura Prémium</t>
  </si>
  <si>
    <t>Jura Superior</t>
  </si>
  <si>
    <t>Jura Exkluzív</t>
  </si>
  <si>
    <t>Triász Prémium</t>
  </si>
  <si>
    <t>Triász Bónusz</t>
  </si>
  <si>
    <t>WP-Colorado</t>
  </si>
  <si>
    <t>WP-Chicago</t>
  </si>
  <si>
    <t>WP-Manhattan</t>
  </si>
  <si>
    <t>WP-New York</t>
  </si>
  <si>
    <t>WP-Los Angeles</t>
  </si>
  <si>
    <t>WP-San Antonio</t>
  </si>
  <si>
    <t>WP-Denver</t>
  </si>
  <si>
    <t>WP-Columbus</t>
  </si>
  <si>
    <t>WP-Texas</t>
  </si>
  <si>
    <t>WP-Brandon</t>
  </si>
  <si>
    <t>FP-Dallas</t>
  </si>
  <si>
    <t>WP-Atlanta</t>
  </si>
  <si>
    <t>WP-Olivia</t>
  </si>
  <si>
    <t>WP-Winston</t>
  </si>
  <si>
    <t>WP-Virgil</t>
  </si>
  <si>
    <t>WP-Yale</t>
  </si>
  <si>
    <t>WP-Hamilton</t>
  </si>
  <si>
    <t>WP-Rowland</t>
  </si>
  <si>
    <t>WP-Oakland</t>
  </si>
  <si>
    <t>WP-Viper</t>
  </si>
  <si>
    <t>WP-Shiloh</t>
  </si>
  <si>
    <t>WP-Springville</t>
  </si>
  <si>
    <t>WP-Mansfield</t>
  </si>
  <si>
    <t>WP-Minston</t>
  </si>
  <si>
    <t>WP-Salem</t>
  </si>
  <si>
    <t>WP-Tucson</t>
  </si>
  <si>
    <t>WP-Alpine</t>
  </si>
  <si>
    <t>WP-Nava</t>
  </si>
  <si>
    <t>WP-Monroe</t>
  </si>
  <si>
    <t>WP-Kremlin</t>
  </si>
  <si>
    <t>WP-Sedley</t>
  </si>
  <si>
    <t>WP-Oakfield</t>
  </si>
  <si>
    <t>WP-Clark</t>
  </si>
  <si>
    <t>WP-Buffalo</t>
  </si>
  <si>
    <t>WP-Hamburg</t>
  </si>
  <si>
    <t>WP-Fulton</t>
  </si>
  <si>
    <t>WP-Granby</t>
  </si>
  <si>
    <t>WP-Medway</t>
  </si>
  <si>
    <t>WP-Newcastle</t>
  </si>
  <si>
    <t>WP-Jerome</t>
  </si>
  <si>
    <t>WP-Boone</t>
  </si>
  <si>
    <t>WP-Breda</t>
  </si>
  <si>
    <t>WP-Danbury</t>
  </si>
  <si>
    <t>WP-Columbia</t>
  </si>
  <si>
    <t>WP-Lincoln</t>
  </si>
  <si>
    <t>WP-Omaha</t>
  </si>
  <si>
    <t>WP-Norton</t>
  </si>
  <si>
    <t>WP-Macklin</t>
  </si>
  <si>
    <t>WP-Eston</t>
  </si>
  <si>
    <t>WP-Unity</t>
  </si>
  <si>
    <t>WP-Odessa</t>
  </si>
  <si>
    <t>WP-Bradley</t>
  </si>
  <si>
    <t>WP-Cambria</t>
  </si>
  <si>
    <t>Babylonia</t>
  </si>
  <si>
    <t>Carthago</t>
  </si>
  <si>
    <t>Delphi</t>
  </si>
  <si>
    <t>Ephesos</t>
  </si>
  <si>
    <t>Ithaca</t>
  </si>
  <si>
    <t>Jericho</t>
  </si>
  <si>
    <t>Knossos</t>
  </si>
  <si>
    <t>Lydos</t>
  </si>
  <si>
    <t>Mycenae</t>
  </si>
  <si>
    <t>Nineveh</t>
  </si>
  <si>
    <t>Olympus</t>
  </si>
  <si>
    <t>Pompeii</t>
  </si>
  <si>
    <t>Trója</t>
  </si>
  <si>
    <t>Persepolis</t>
  </si>
  <si>
    <t>Thebes</t>
  </si>
  <si>
    <t>Uruk</t>
  </si>
  <si>
    <t>Vitalis Bonus</t>
  </si>
  <si>
    <t>Vitalis Plus</t>
  </si>
  <si>
    <t>Vitalis Superior</t>
  </si>
  <si>
    <t>Túrkeve Plus</t>
  </si>
  <si>
    <t>Túrkeve Bonus</t>
  </si>
  <si>
    <t>Barcelona Plus</t>
  </si>
  <si>
    <t>Barcelona Superior</t>
  </si>
  <si>
    <t>Nyársapát</t>
  </si>
  <si>
    <t>Barcelona Exkluzív</t>
  </si>
  <si>
    <t>Fuzet Plus</t>
  </si>
  <si>
    <t>Fuzet Bónusz</t>
  </si>
  <si>
    <t>Fuzet Superior</t>
  </si>
  <si>
    <t>Fuzet Exkluzív</t>
  </si>
  <si>
    <t>Fuzet Prémium</t>
  </si>
  <si>
    <t>Túrkeve Prémium</t>
  </si>
  <si>
    <t>Liapor Bécsújhely Plus</t>
  </si>
  <si>
    <t>Fuzet Deluxe</t>
  </si>
  <si>
    <t>Liapor Bécsújhely Prémium</t>
  </si>
  <si>
    <t>Liapor Bécsújhely Bónusz</t>
  </si>
  <si>
    <t>Mura ház</t>
  </si>
  <si>
    <t>South Beach Plus</t>
  </si>
  <si>
    <t>South Beach Prémium</t>
  </si>
  <si>
    <t>South Beach Superior</t>
  </si>
  <si>
    <t>Dávid Plus</t>
  </si>
  <si>
    <t>Dávid Bónusz</t>
  </si>
  <si>
    <t>Nathan Plus</t>
  </si>
  <si>
    <t>Nathan Bónusz</t>
  </si>
  <si>
    <t>Vitalis Medencével</t>
  </si>
  <si>
    <t>DP-Hudson</t>
  </si>
  <si>
    <t>DP-Archer</t>
  </si>
  <si>
    <t>DP-Waldo</t>
  </si>
  <si>
    <t>DP-Palatka</t>
  </si>
  <si>
    <t>DP-Hastings</t>
  </si>
  <si>
    <t>DP-Aynor</t>
  </si>
  <si>
    <t>DP-Nakina</t>
  </si>
  <si>
    <t>DP-Ammon</t>
  </si>
  <si>
    <t>DP-Sarecta</t>
  </si>
  <si>
    <t>Krúdy</t>
  </si>
  <si>
    <t>Wild Nature</t>
  </si>
  <si>
    <t>Wooden Brick</t>
  </si>
  <si>
    <t>Csendes</t>
  </si>
  <si>
    <t>Holiday</t>
  </si>
  <si>
    <t>Country</t>
  </si>
  <si>
    <t>Salzburg</t>
  </si>
  <si>
    <t>Freiburg</t>
  </si>
  <si>
    <t>Interlaken</t>
  </si>
  <si>
    <t>Bergen</t>
  </si>
  <si>
    <t>Sintra</t>
  </si>
  <si>
    <t>Pine Forest</t>
  </si>
  <si>
    <t>Mozambik Plusz</t>
  </si>
  <si>
    <t>Dávid Superior</t>
  </si>
  <si>
    <t>Berkenye-151</t>
  </si>
  <si>
    <t>Triász-Superior</t>
  </si>
  <si>
    <t>Triász Luxus</t>
  </si>
  <si>
    <t>Spring</t>
  </si>
  <si>
    <t>Alba Plusz Dupla</t>
  </si>
  <si>
    <t>Rose</t>
  </si>
  <si>
    <t>Venice</t>
  </si>
  <si>
    <t>Idill</t>
  </si>
  <si>
    <t>Dávid Extra</t>
  </si>
  <si>
    <t>Wellness modul</t>
  </si>
  <si>
    <t>Napfény Otthon</t>
  </si>
  <si>
    <t>Harmónia Ház</t>
  </si>
  <si>
    <t>Panoráma Rezidencia</t>
  </si>
  <si>
    <t>Alkonyvilla</t>
  </si>
  <si>
    <t>Belgrád 200</t>
  </si>
  <si>
    <t>Nyugalom széle</t>
  </si>
  <si>
    <t>Édenkert Otthon</t>
  </si>
  <si>
    <t>Holdfény Otthon</t>
  </si>
  <si>
    <t>Békesség háza</t>
  </si>
  <si>
    <t>A-frame Energy</t>
  </si>
  <si>
    <t>Addison Energy</t>
  </si>
  <si>
    <t>Alba Plusz Optimum</t>
  </si>
  <si>
    <t>Alexandria Energy</t>
  </si>
  <si>
    <t>Alma Optimum</t>
  </si>
  <si>
    <t>Anubisz Optimum</t>
  </si>
  <si>
    <t>Apolló Energy</t>
  </si>
  <si>
    <t>Arturo Smart</t>
  </si>
  <si>
    <t>Athén Smart</t>
  </si>
  <si>
    <t>Badacsonyörs Smart</t>
  </si>
  <si>
    <t>Balaton 86 Energy</t>
  </si>
  <si>
    <t>Balatonalmádi Smart</t>
  </si>
  <si>
    <t>Balatonszárszó Optimum</t>
  </si>
  <si>
    <t>Bangkok Optimum</t>
  </si>
  <si>
    <t>Barcelona 86 Smart</t>
  </si>
  <si>
    <t>Barcelona 100 Smart</t>
  </si>
  <si>
    <t>Beastie Boys Optimum</t>
  </si>
  <si>
    <t>Bella Smart</t>
  </si>
  <si>
    <t>Beregszász 118 Smart</t>
  </si>
  <si>
    <t>Berkenye II Optimum</t>
  </si>
  <si>
    <t>Berzence Smart</t>
  </si>
  <si>
    <t>Beska Smart</t>
  </si>
  <si>
    <t>Bianka Optimum</t>
  </si>
  <si>
    <t>Bonifác Kompakt</t>
  </si>
  <si>
    <t>Boróka Smart</t>
  </si>
  <si>
    <t>Brüsszel Kompakt</t>
  </si>
  <si>
    <t>Bueno Optimum</t>
  </si>
  <si>
    <t>Casa Modern Optimum</t>
  </si>
  <si>
    <t>Castilia Optimum</t>
  </si>
  <si>
    <t>Cinóber Smart</t>
  </si>
  <si>
    <t>Clarissa Kompakt</t>
  </si>
  <si>
    <t>Crystal Smart</t>
  </si>
  <si>
    <t>Csubakka Kompakt</t>
  </si>
  <si>
    <t>Dinnyés Kompakt</t>
  </si>
  <si>
    <t>Dávid Smart</t>
  </si>
  <si>
    <t>Eco Basic Smart</t>
  </si>
  <si>
    <t>Eco Plus Smart</t>
  </si>
  <si>
    <t>Fuzet Optimum</t>
  </si>
  <si>
    <t>Főnix Optimum</t>
  </si>
  <si>
    <t>Gingerale Kompakt</t>
  </si>
  <si>
    <t>House MIni Smart</t>
  </si>
  <si>
    <t>Ideál Smart</t>
  </si>
  <si>
    <t>Iga-Koga Optimum</t>
  </si>
  <si>
    <t>Típusház IQ119 Smart</t>
  </si>
  <si>
    <t>Isztambul 99 Kompakt</t>
  </si>
  <si>
    <t>Japán Optimum</t>
  </si>
  <si>
    <t>Julia Kompakt</t>
  </si>
  <si>
    <t>Jura Smart</t>
  </si>
  <si>
    <t>Kasia Optimum</t>
  </si>
  <si>
    <t>Kicsi Indián Kompakt</t>
  </si>
  <si>
    <t>Kormorán Smart</t>
  </si>
  <si>
    <t>Károly Optimum</t>
  </si>
  <si>
    <t>Lepkeház Smart</t>
  </si>
  <si>
    <t>Liapor Revenge Kompakt</t>
  </si>
  <si>
    <t>Lux Optimum</t>
  </si>
  <si>
    <t>Luxor Smart</t>
  </si>
  <si>
    <t>Malena 003 Optimum</t>
  </si>
  <si>
    <t>Magyarország Kompakt</t>
  </si>
  <si>
    <t>Mars Smart</t>
  </si>
  <si>
    <t>Martin Optimum</t>
  </si>
  <si>
    <t>Mastricht Smart</t>
  </si>
  <si>
    <t>Metaverse Kompakt</t>
  </si>
  <si>
    <t>Michigan Optimum</t>
  </si>
  <si>
    <t>Minimal Danish Fabrik Smart</t>
  </si>
  <si>
    <t>Monte Cristo Smart</t>
  </si>
  <si>
    <t>Napfényvilla Kompakt</t>
  </si>
  <si>
    <t>Nathan Optimum</t>
  </si>
  <si>
    <t>Nero Kompakt</t>
  </si>
  <si>
    <t>NMTK-089 Optimum</t>
  </si>
  <si>
    <t>Négy Évszak ház Smart</t>
  </si>
  <si>
    <t>Nílus Kompakt</t>
  </si>
  <si>
    <t>Ogyessza Stílusház Optimum</t>
  </si>
  <si>
    <t>Önfenntartó Zeta 12 Smart</t>
  </si>
  <si>
    <t>Paloznak Kompakt</t>
  </si>
  <si>
    <t>Passzát Optimum</t>
  </si>
  <si>
    <t>Dream 86 Kompakt</t>
  </si>
  <si>
    <t>Dream 82 Smart</t>
  </si>
  <si>
    <t>Dream 173 Optimum</t>
  </si>
  <si>
    <t>Pilisszentiván típusház Kompakt</t>
  </si>
  <si>
    <t>Portofino Optimum</t>
  </si>
  <si>
    <t>Premier Smart</t>
  </si>
  <si>
    <t>Siena Optimum</t>
  </si>
  <si>
    <t>SivoLeon Kompakt</t>
  </si>
  <si>
    <t>South Beach Kompakt</t>
  </si>
  <si>
    <t>Spinoza Villa Optimum</t>
  </si>
  <si>
    <t>Szavanna Smart</t>
  </si>
  <si>
    <t>Sümeg Kompakt</t>
  </si>
  <si>
    <t>Teremtés Optimum</t>
  </si>
  <si>
    <t>Tiara Smart</t>
  </si>
  <si>
    <t>Típusház IQ13 Kompakt</t>
  </si>
  <si>
    <t>Triász Optimum</t>
  </si>
  <si>
    <t>Tájfun Smart</t>
  </si>
  <si>
    <t>Túrkeve Kompakt</t>
  </si>
  <si>
    <t>Tüske Optimum</t>
  </si>
  <si>
    <t>VarioSip 50 Smart</t>
  </si>
  <si>
    <t>VarioSIP 60 Smart</t>
  </si>
  <si>
    <t>Velence 76 Kompakt</t>
  </si>
  <si>
    <t>Veranda Optimum</t>
  </si>
  <si>
    <t>Villa Bolero Smart</t>
  </si>
  <si>
    <t>Villa Pontiac Smart</t>
  </si>
  <si>
    <t>Villa Z Optimum</t>
  </si>
  <si>
    <t>Villa Maori Kompakt</t>
  </si>
  <si>
    <t>Westo Smart</t>
  </si>
  <si>
    <t>Wiesinger Villa Optimum</t>
  </si>
  <si>
    <t>Ábel Smart</t>
  </si>
  <si>
    <t>Álom Kompakt</t>
  </si>
  <si>
    <t>Áporka Optimum</t>
  </si>
  <si>
    <t>Önfenntartó Alpha17 Smart</t>
  </si>
  <si>
    <t>Harmónia Lak</t>
  </si>
  <si>
    <t>Wellness modul 2</t>
  </si>
  <si>
    <t>Rivendell</t>
  </si>
  <si>
    <t>Winterfell</t>
  </si>
  <si>
    <t>Ered Luin</t>
  </si>
  <si>
    <t>Narnia</t>
  </si>
  <si>
    <t>Lothlórien</t>
  </si>
  <si>
    <t>Hogsmeade</t>
  </si>
  <si>
    <t>Elantris</t>
  </si>
  <si>
    <t>Avalon</t>
  </si>
  <si>
    <t>Camelot</t>
  </si>
  <si>
    <t>Stormhold</t>
  </si>
  <si>
    <t>Perranth</t>
  </si>
  <si>
    <t>Roshar</t>
  </si>
  <si>
    <t>Shadar</t>
  </si>
  <si>
    <t>Ketterdam</t>
  </si>
  <si>
    <t>Logoth</t>
  </si>
  <si>
    <t>Gondor</t>
  </si>
  <si>
    <t>Rohan</t>
  </si>
  <si>
    <t>Paravel</t>
  </si>
  <si>
    <t>Beleriand</t>
  </si>
  <si>
    <t>Mistralton</t>
  </si>
  <si>
    <t>Everspring</t>
  </si>
  <si>
    <t>Eldaraon</t>
  </si>
  <si>
    <t>Sylveria</t>
  </si>
  <si>
    <t>Nymerien</t>
  </si>
  <si>
    <t>Thaloria</t>
  </si>
  <si>
    <t>Ashvalen</t>
  </si>
  <si>
    <t>Solaria</t>
  </si>
  <si>
    <t>Ironhold</t>
  </si>
  <si>
    <t>Shadowmere</t>
  </si>
  <si>
    <t>Arenthia</t>
  </si>
  <si>
    <t>Csendtenger</t>
  </si>
  <si>
    <t>Csillagzápor</t>
  </si>
  <si>
    <t>Ezüsthullám</t>
  </si>
  <si>
    <t>Lélekárnyék</t>
  </si>
  <si>
    <t>Szélcsend</t>
  </si>
  <si>
    <t>Harmony Home</t>
  </si>
  <si>
    <t>Éden Ház</t>
  </si>
  <si>
    <t>Aurora Cottage</t>
  </si>
  <si>
    <t>Horizon Haven</t>
  </si>
  <si>
    <t>Silverstone Home</t>
  </si>
  <si>
    <t>Primavera House</t>
  </si>
  <si>
    <t>Alpine Abode</t>
  </si>
  <si>
    <t>Solaris Villa</t>
  </si>
  <si>
    <t>Whispering Pines</t>
  </si>
  <si>
    <t>Golden Meadow</t>
  </si>
  <si>
    <t>Cloudscape</t>
  </si>
  <si>
    <t>Crystal Cove</t>
  </si>
  <si>
    <t>Willow Breeze</t>
  </si>
  <si>
    <t>Völgyház</t>
  </si>
  <si>
    <t>Aranyliget</t>
  </si>
  <si>
    <t>Felhőkert</t>
  </si>
  <si>
    <t>Hajnali Fényház</t>
  </si>
  <si>
    <t>Szellő Rezidencia</t>
  </si>
  <si>
    <t>Gyöngyvirág Rezidencia</t>
  </si>
  <si>
    <t>Hermész Lapos</t>
  </si>
  <si>
    <t>Rózsakert Otthon</t>
  </si>
  <si>
    <t>Hermész Magas</t>
  </si>
  <si>
    <t>Átrium Villa</t>
  </si>
  <si>
    <t>Erisz Lapos</t>
  </si>
  <si>
    <t>ACÉLVÁZAS,ACÉLVÁZAS</t>
  </si>
  <si>
    <t>Fűzfa Liget</t>
  </si>
  <si>
    <t>Héraklész Lapos</t>
  </si>
  <si>
    <t>Pillangó Kert</t>
  </si>
  <si>
    <t>Napkelte Ház</t>
  </si>
  <si>
    <t>Borostyán Lak</t>
  </si>
  <si>
    <t>Héraklész Magas</t>
  </si>
  <si>
    <t>Erisz Magas</t>
  </si>
  <si>
    <t>Nyírfa Rezidencia</t>
  </si>
  <si>
    <t>Irisz Lapos</t>
  </si>
  <si>
    <t>Rubin Ház</t>
  </si>
  <si>
    <t>Irisz Magas</t>
  </si>
  <si>
    <t>Selyem Rév</t>
  </si>
  <si>
    <t>Hajnali Harmat</t>
  </si>
  <si>
    <t>Perszephoné Lapos</t>
  </si>
  <si>
    <t>Arborétum Ház</t>
  </si>
  <si>
    <t>Perszephoné Magas</t>
  </si>
  <si>
    <t>Oázis Rezidencia</t>
  </si>
  <si>
    <t>Káprázatos Villa</t>
  </si>
  <si>
    <t>Csermely ház</t>
  </si>
  <si>
    <t>Tulipán Rezidencia</t>
  </si>
  <si>
    <t>Levander Kúria</t>
  </si>
  <si>
    <t>Dionüszosz Lapos</t>
  </si>
  <si>
    <t>Korall Villa</t>
  </si>
  <si>
    <t>Dionüszosz Magas</t>
  </si>
  <si>
    <t>Hádész Lapos</t>
  </si>
  <si>
    <t>Menta Liget</t>
  </si>
  <si>
    <t>Hádész Magas</t>
  </si>
  <si>
    <t>Tiszafa Rezidencia</t>
  </si>
  <si>
    <t>Holdfény Ház</t>
  </si>
  <si>
    <t>Jakuzzi</t>
  </si>
  <si>
    <t>Kerti Pihenő</t>
  </si>
  <si>
    <t>Erdőszéli Kúria</t>
  </si>
  <si>
    <t>Diófa Rezidencia</t>
  </si>
  <si>
    <t>Pihenő liget</t>
  </si>
  <si>
    <t>Havasi Gyöngy</t>
  </si>
  <si>
    <t>Velencei Panoráma</t>
  </si>
  <si>
    <t>Mistral Ház</t>
  </si>
  <si>
    <t>Boróka Lak</t>
  </si>
  <si>
    <t>Angyalvár</t>
  </si>
  <si>
    <t>Zafír Otthon</t>
  </si>
  <si>
    <t>Alföldi Nyugalom</t>
  </si>
  <si>
    <t>Sáfrány Kúria</t>
  </si>
  <si>
    <t>Gránit Lak</t>
  </si>
  <si>
    <t>Levendula Lak</t>
  </si>
  <si>
    <t>Domena Otthon</t>
  </si>
  <si>
    <t>Napvirág Otthon</t>
  </si>
  <si>
    <t>Völgykapu</t>
  </si>
  <si>
    <t>Vadszőlő</t>
  </si>
  <si>
    <t>Kristálypart</t>
  </si>
  <si>
    <t>ZenHaus</t>
  </si>
  <si>
    <t>Terra Nova</t>
  </si>
  <si>
    <t>Breeze Home</t>
  </si>
  <si>
    <t>Elysium</t>
  </si>
  <si>
    <t>Onyx Villa</t>
  </si>
  <si>
    <t>Nimbus</t>
  </si>
  <si>
    <t>Nova Domus</t>
  </si>
  <si>
    <t>Solstice Home</t>
  </si>
  <si>
    <t>Marokkó</t>
  </si>
  <si>
    <t>Nairobi</t>
  </si>
  <si>
    <t>Zanzibár</t>
  </si>
  <si>
    <t>Timbuktu</t>
  </si>
  <si>
    <t>Dakar</t>
  </si>
  <si>
    <t>Valencia</t>
  </si>
  <si>
    <t>Bordeaux</t>
  </si>
  <si>
    <t>Vancouver</t>
  </si>
  <si>
    <t>Savannah</t>
  </si>
  <si>
    <t>Quito</t>
  </si>
  <si>
    <t>Nógrád, Muskátli</t>
  </si>
  <si>
    <t>Apollón Magas</t>
  </si>
  <si>
    <t>Árész Lapos</t>
  </si>
  <si>
    <t>Árész Magas</t>
  </si>
  <si>
    <t>Héliosz Magas</t>
  </si>
  <si>
    <t>Héliosz Lapos</t>
  </si>
  <si>
    <t>Artemisz Magas</t>
  </si>
  <si>
    <t>Artemisz Lapos</t>
  </si>
  <si>
    <t>ebes</t>
  </si>
  <si>
    <t>Twin Peaks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</si>
</sst>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Ft-40E]"/>
    <numFmt numFmtId="165" formatCode="#,##0\ [$Ft-40E]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9900FF"/>
      </left>
      <top style="thick">
        <color rgb="FF9900FF"/>
      </top>
    </border>
    <border>
      <top style="thick">
        <color rgb="FF9900FF"/>
      </top>
    </border>
    <border>
      <right style="thick">
        <color rgb="FF9900FF"/>
      </right>
      <top style="thick">
        <color rgb="FF9900FF"/>
      </top>
    </border>
    <border>
      <left style="thick">
        <color rgb="FF9900FF"/>
      </left>
    </border>
    <border>
      <left style="thick">
        <color rgb="FF9900FF"/>
      </left>
      <bottom style="thick">
        <color rgb="FF9900FF"/>
      </bottom>
    </border>
    <border>
      <bottom style="thick">
        <color rgb="FF9900FF"/>
      </bottom>
    </border>
    <border>
      <right style="thick">
        <color rgb="FF9900FF"/>
      </right>
      <bottom style="thick">
        <color rgb="FF9900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shrinkToFit="0" wrapText="1"/>
    </xf>
    <xf borderId="0" fillId="4" fontId="1" numFmtId="0" xfId="0" applyAlignment="1" applyFill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8" fontId="1" numFmtId="0" xfId="0" applyAlignment="1" applyBorder="1" applyFill="1" applyFont="1">
      <alignment horizontal="center" shrinkToFit="0" wrapText="1"/>
    </xf>
    <xf borderId="0" fillId="9" fontId="1" numFmtId="0" xfId="0" applyAlignment="1" applyFill="1" applyFont="1">
      <alignment vertical="bottom"/>
    </xf>
    <xf borderId="0" fillId="9" fontId="1" numFmtId="0" xfId="0" applyAlignment="1" applyFont="1">
      <alignment horizontal="center" shrinkToFit="0" vertical="bottom" wrapText="1"/>
    </xf>
    <xf borderId="0" fillId="0" fontId="2" numFmtId="0" xfId="0" applyFont="1"/>
    <xf borderId="0" fillId="10" fontId="2" numFmtId="0" xfId="0" applyAlignment="1" applyFill="1" applyFont="1">
      <alignment horizontal="center"/>
    </xf>
    <xf borderId="0" fillId="11" fontId="2" numFmtId="164" xfId="0" applyFill="1" applyFont="1" applyNumberFormat="1"/>
    <xf borderId="0" fillId="11" fontId="2" numFmtId="164" xfId="0" applyFont="1" applyNumberFormat="1"/>
    <xf borderId="1" fillId="12" fontId="2" numFmtId="0" xfId="0" applyAlignment="1" applyBorder="1" applyFill="1" applyFont="1">
      <alignment horizontal="center"/>
    </xf>
    <xf borderId="1" fillId="12" fontId="2" numFmtId="0" xfId="0" applyAlignment="1" applyBorder="1" applyFont="1">
      <alignment horizontal="center" vertical="bottom"/>
    </xf>
    <xf borderId="1" fillId="13" fontId="2" numFmtId="165" xfId="0" applyAlignment="1" applyBorder="1" applyFill="1" applyFont="1" applyNumberFormat="1">
      <alignment horizontal="right" shrinkToFit="0" vertical="bottom" wrapText="1"/>
    </xf>
    <xf borderId="1" fillId="14" fontId="1" numFmtId="0" xfId="0" applyAlignment="1" applyBorder="1" applyFill="1" applyFont="1">
      <alignment readingOrder="0"/>
    </xf>
    <xf borderId="1" fillId="14" fontId="2" numFmtId="164" xfId="0" applyBorder="1" applyFont="1" applyNumberFormat="1"/>
    <xf borderId="1" fillId="14" fontId="2" numFmtId="0" xfId="0" applyAlignment="1" applyBorder="1" applyFont="1">
      <alignment horizontal="center"/>
    </xf>
    <xf borderId="1" fillId="15" fontId="2" numFmtId="164" xfId="0" applyBorder="1" applyFill="1" applyFont="1" applyNumberFormat="1"/>
    <xf borderId="0" fillId="16" fontId="2" numFmtId="0" xfId="0" applyAlignment="1" applyFill="1" applyFont="1">
      <alignment vertical="bottom"/>
    </xf>
    <xf borderId="0" fillId="16" fontId="2" numFmtId="0" xfId="0" applyAlignment="1" applyFont="1">
      <alignment horizontal="right" readingOrder="0" vertical="bottom"/>
    </xf>
    <xf borderId="0" fillId="16" fontId="2" numFmtId="0" xfId="0" applyAlignment="1" applyFont="1">
      <alignment horizontal="right" vertical="bottom"/>
    </xf>
    <xf borderId="1" fillId="13" fontId="2" numFmtId="165" xfId="0" applyAlignment="1" applyBorder="1" applyFont="1" applyNumberFormat="1">
      <alignment horizontal="right" vertical="bottom"/>
    </xf>
    <xf borderId="1" fillId="14" fontId="1" numFmtId="0" xfId="0" applyBorder="1" applyFont="1"/>
    <xf borderId="2" fillId="9" fontId="1" numFmtId="0" xfId="0" applyBorder="1" applyFont="1"/>
    <xf borderId="3" fillId="9" fontId="1" numFmtId="0" xfId="0" applyAlignment="1" applyBorder="1" applyFont="1">
      <alignment horizontal="center" shrinkToFit="0" wrapText="1"/>
    </xf>
    <xf borderId="4" fillId="9" fontId="1" numFmtId="0" xfId="0" applyAlignment="1" applyBorder="1" applyFont="1">
      <alignment horizontal="center" shrinkToFit="0" wrapText="1"/>
    </xf>
    <xf borderId="5" fillId="16" fontId="2" numFmtId="0" xfId="0" applyBorder="1" applyFont="1"/>
    <xf borderId="0" fillId="16" fontId="2" numFmtId="0" xfId="0" applyAlignment="1" applyFont="1">
      <alignment readingOrder="0"/>
    </xf>
    <xf borderId="0" fillId="17" fontId="2" numFmtId="0" xfId="0" applyFill="1" applyFont="1"/>
    <xf borderId="0" fillId="16" fontId="2" numFmtId="0" xfId="0" applyFont="1"/>
    <xf borderId="0" fillId="0" fontId="2" numFmtId="165" xfId="0" applyAlignment="1" applyFont="1" applyNumberFormat="1">
      <alignment horizontal="right" vertical="bottom"/>
    </xf>
    <xf borderId="6" fillId="16" fontId="2" numFmtId="0" xfId="0" applyBorder="1" applyFont="1"/>
    <xf borderId="7" fillId="16" fontId="2" numFmtId="0" xfId="0" applyBorder="1" applyFont="1"/>
    <xf borderId="8" fillId="16" fontId="2" numFmtId="0" xfId="0" applyBorder="1" applyFont="1"/>
    <xf borderId="0" fillId="18" fontId="3" numFmtId="0" xfId="0" applyAlignment="1" applyFill="1" applyFont="1">
      <alignment readingOrder="0"/>
    </xf>
    <xf borderId="0" fillId="18" fontId="3" numFmtId="0" xfId="0" applyFont="1"/>
    <xf borderId="0" fillId="0" fontId="1" numFmtId="165" xfId="0" applyAlignment="1" applyFont="1" applyNumberFormat="1">
      <alignment horizontal="left" vertical="bottom"/>
    </xf>
    <xf quotePrefix="1"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13.25"/>
    <col customWidth="1" min="3" max="3" width="10.0"/>
    <col customWidth="1" min="4" max="4" width="26.88"/>
    <col customWidth="1" min="5" max="13" width="15.38"/>
    <col customWidth="1" min="14" max="14" width="2.88"/>
    <col customWidth="1" min="18" max="18" width="11.88"/>
    <col customWidth="1" min="19" max="19" width="2.13"/>
    <col customWidth="1" min="21" max="21" width="16.25"/>
    <col customWidth="1" min="22" max="22" width="16.75"/>
    <col customWidth="1" min="23" max="23" width="19.75"/>
    <col customWidth="1" min="24" max="24" width="2.0"/>
    <col customWidth="1" min="25" max="25" width="18.5"/>
    <col customWidth="1" min="26" max="26" width="3.25"/>
    <col customWidth="1" min="27" max="27" width="14.0"/>
    <col customWidth="1" min="28" max="29" width="10.38"/>
    <col customWidth="1" min="30" max="30" width="11.75"/>
  </cols>
  <sheetData>
    <row r="1">
      <c r="A1" s="1"/>
      <c r="B1" s="1"/>
      <c r="C1" s="2"/>
      <c r="D1" s="1"/>
      <c r="E1" s="3" t="s">
        <v>0</v>
      </c>
      <c r="F1" s="3"/>
      <c r="G1" s="3"/>
      <c r="H1" s="3" t="s">
        <v>1</v>
      </c>
      <c r="I1" s="3"/>
      <c r="J1" s="3"/>
      <c r="K1" s="3" t="s">
        <v>2</v>
      </c>
      <c r="L1" s="3"/>
      <c r="M1" s="3"/>
    </row>
    <row r="2">
      <c r="A2" s="4" t="s">
        <v>3</v>
      </c>
      <c r="B2" s="5" t="s">
        <v>4</v>
      </c>
      <c r="C2" s="6" t="s">
        <v>5</v>
      </c>
      <c r="D2" s="4" t="s">
        <v>6</v>
      </c>
      <c r="E2" s="3" t="s">
        <v>7</v>
      </c>
      <c r="F2" s="3" t="s">
        <v>8</v>
      </c>
      <c r="G2" s="3" t="s">
        <v>9</v>
      </c>
      <c r="H2" s="3" t="s">
        <v>7</v>
      </c>
      <c r="I2" s="3" t="s">
        <v>8</v>
      </c>
      <c r="J2" s="3" t="s">
        <v>9</v>
      </c>
      <c r="K2" s="3" t="s">
        <v>7</v>
      </c>
      <c r="L2" s="3" t="s">
        <v>8</v>
      </c>
      <c r="M2" s="3" t="s">
        <v>9</v>
      </c>
      <c r="O2" s="7" t="s">
        <v>10</v>
      </c>
      <c r="P2" s="7" t="s">
        <v>11</v>
      </c>
      <c r="Q2" s="7" t="s">
        <v>12</v>
      </c>
      <c r="R2" s="8" t="s">
        <v>13</v>
      </c>
      <c r="T2" s="9" t="s">
        <v>14</v>
      </c>
      <c r="U2" s="9" t="s">
        <v>15</v>
      </c>
      <c r="V2" s="9" t="s">
        <v>16</v>
      </c>
      <c r="W2" s="9" t="s">
        <v>17</v>
      </c>
      <c r="X2" s="10"/>
      <c r="Y2" s="11" t="s">
        <v>18</v>
      </c>
      <c r="AA2" s="12" t="s">
        <v>19</v>
      </c>
      <c r="AB2" s="13" t="s">
        <v>20</v>
      </c>
      <c r="AC2" s="13" t="s">
        <v>21</v>
      </c>
      <c r="AD2" s="13" t="s">
        <v>22</v>
      </c>
    </row>
    <row r="3">
      <c r="A3" s="14" t="s">
        <v>23</v>
      </c>
      <c r="B3" s="14">
        <v>72.0</v>
      </c>
      <c r="C3" s="15">
        <f t="shared" ref="C3:C1342" si="4">if(B3&gt;$P$15,$Q$16,if(B3&gt;$P$14,$Q$15,if(B3&gt;$P$13,$Q$14,if(B3&gt;$P$12,$Q$13,if(B3&gt;$P$11,$Q$12,if(B3&gt;$P$10,$Q$11,if(B3&gt;$P$9,$Q$10,if(B3&gt;$P$8,$Q$9,if(B3&gt;$P$7,$Q$8,if(B3&gt;$P$6,$Q$7,if(B3&gt;$P$5,$Q$6,if(B3&gt;$P$4,$Q$5,if(B3&gt;$P$3,$Q$4,$Q$3)))))))))))))</f>
        <v>9</v>
      </c>
      <c r="D3" s="14" t="s">
        <v>24</v>
      </c>
      <c r="E3" s="16">
        <f t="shared" ref="E3:G3" si="1">ROUNDUP((XLOOKUP($D3,$T$3:$T$10,$U$3:$U$10)*XLOOKUP(E$2,$AA$3:$AA$5,$AB$3:$AB$5)-ABS(XLOOKUP($C3,$Q$3:$Q$16,$R$3:$R$16)))*$B3,-5)</f>
        <v>26400000</v>
      </c>
      <c r="F3" s="16">
        <f t="shared" si="1"/>
        <v>40400000</v>
      </c>
      <c r="G3" s="16">
        <f t="shared" si="1"/>
        <v>43300000</v>
      </c>
      <c r="H3" s="17">
        <f t="shared" ref="H3:J3" si="2">roundup((XLOOKUP($D3,$T$3:$T$10,$U$3:$U$10)*XLOOKUP(H$2,$AA$3:$AA$5,$AC$3:$AC$5)-ABS(XLOOKUP($C3,$Q$3:$Q$16,$R$3:$R$16)))*$B3,-5)</f>
        <v>23200000</v>
      </c>
      <c r="I3" s="17">
        <f t="shared" si="2"/>
        <v>48000000</v>
      </c>
      <c r="J3" s="17">
        <f t="shared" si="2"/>
        <v>51400000</v>
      </c>
      <c r="K3" s="17">
        <f t="shared" ref="K3:M3" si="3">roundup((XLOOKUP($D3,$T$3:$T$10,$U$3:$U$10)*XLOOKUP(K$2,$AA$3:$AA$5,$AD$3:$AD$5)-ABS(XLOOKUP($C3,$Q$3:$Q$16,$R$3:$R$16)))*$B3,-5)</f>
        <v>26000000</v>
      </c>
      <c r="L3" s="17">
        <f t="shared" si="3"/>
        <v>53200000</v>
      </c>
      <c r="M3" s="17">
        <f t="shared" si="3"/>
        <v>56900000</v>
      </c>
      <c r="O3" s="18">
        <v>0.0</v>
      </c>
      <c r="P3" s="19">
        <v>30.0</v>
      </c>
      <c r="Q3" s="18">
        <v>1.0</v>
      </c>
      <c r="R3" s="20">
        <v>0.0</v>
      </c>
      <c r="T3" s="21" t="s">
        <v>25</v>
      </c>
      <c r="U3" s="22">
        <v>599500.0</v>
      </c>
      <c r="V3" s="23">
        <v>0.92</v>
      </c>
      <c r="W3" s="22">
        <f t="shared" ref="W3:W10" si="8">V3*$Y$3</f>
        <v>597540</v>
      </c>
      <c r="Y3" s="24">
        <v>649500.0</v>
      </c>
      <c r="AA3" s="25" t="s">
        <v>7</v>
      </c>
      <c r="AB3" s="26">
        <v>0.65</v>
      </c>
      <c r="AC3" s="27">
        <v>0.584</v>
      </c>
      <c r="AD3" s="27">
        <v>0.641</v>
      </c>
    </row>
    <row r="4">
      <c r="A4" s="14" t="s">
        <v>26</v>
      </c>
      <c r="B4" s="14">
        <v>113.0</v>
      </c>
      <c r="C4" s="15">
        <f t="shared" si="4"/>
        <v>11</v>
      </c>
      <c r="D4" s="14" t="s">
        <v>27</v>
      </c>
      <c r="E4" s="16" t="str">
        <f t="shared" ref="E4:G4" si="5">ROUNDUP((XLOOKUP($D4,$T$3:$T$10,$U$3:$U$10)*XLOOKUP(E$2,$AA$3:$AA$5,$AB$3:$AB$5)-ABS(XLOOKUP($C4,$Q$3:$Q$16,$R$3:$R$16)))*$B4,-5)</f>
        <v>#N/A</v>
      </c>
      <c r="F4" s="16" t="str">
        <f t="shared" si="5"/>
        <v>#N/A</v>
      </c>
      <c r="G4" s="16" t="str">
        <f t="shared" si="5"/>
        <v>#N/A</v>
      </c>
      <c r="H4" s="17" t="str">
        <f t="shared" ref="H4:J4" si="6">roundup((XLOOKUP($D4,$T$3:$T$10,$U$3:$U$10)*XLOOKUP(H$2,$AA$3:$AA$5,$AC$3:$AC$5)-ABS(XLOOKUP($C4,$Q$3:$Q$16,$R$3:$R$16)))*$B4,-5)</f>
        <v>#N/A</v>
      </c>
      <c r="I4" s="17" t="str">
        <f t="shared" si="6"/>
        <v>#N/A</v>
      </c>
      <c r="J4" s="17" t="str">
        <f t="shared" si="6"/>
        <v>#N/A</v>
      </c>
      <c r="K4" s="17" t="str">
        <f t="shared" ref="K4:M4" si="7">roundup((XLOOKUP($D4,$T$3:$T$10,$U$3:$U$10)*XLOOKUP(K$2,$AA$3:$AA$5,$AD$3:$AD$5)-ABS(XLOOKUP($C4,$Q$3:$Q$16,$R$3:$R$16)))*$B4,-5)</f>
        <v>#N/A</v>
      </c>
      <c r="L4" s="17" t="str">
        <f t="shared" si="7"/>
        <v>#N/A</v>
      </c>
      <c r="M4" s="17" t="str">
        <f t="shared" si="7"/>
        <v>#N/A</v>
      </c>
      <c r="O4" s="18">
        <f t="shared" ref="O4:O16" si="12">P3+1</f>
        <v>31</v>
      </c>
      <c r="P4" s="19">
        <v>32.0</v>
      </c>
      <c r="Q4" s="18">
        <v>2.0</v>
      </c>
      <c r="R4" s="28">
        <v>-15000.0</v>
      </c>
      <c r="T4" s="29" t="s">
        <v>28</v>
      </c>
      <c r="U4" s="22">
        <v>670000.0</v>
      </c>
      <c r="V4" s="23">
        <v>1.03</v>
      </c>
      <c r="W4" s="22">
        <f t="shared" si="8"/>
        <v>668985</v>
      </c>
      <c r="AA4" s="25" t="s">
        <v>8</v>
      </c>
      <c r="AB4" s="27">
        <v>0.94</v>
      </c>
      <c r="AC4" s="27">
        <v>1.098</v>
      </c>
      <c r="AD4" s="27">
        <v>1.205</v>
      </c>
    </row>
    <row r="5">
      <c r="A5" s="14" t="s">
        <v>29</v>
      </c>
      <c r="B5" s="14">
        <v>60.0</v>
      </c>
      <c r="C5" s="15">
        <f t="shared" si="4"/>
        <v>8</v>
      </c>
      <c r="D5" s="14" t="s">
        <v>30</v>
      </c>
      <c r="E5" s="16" t="str">
        <f t="shared" ref="E5:G5" si="9">ROUNDUP((XLOOKUP($D5,$T$3:$T$10,$U$3:$U$10)*XLOOKUP(E$2,$AA$3:$AA$5,$AB$3:$AB$5)-ABS(XLOOKUP($C5,$Q$3:$Q$16,$R$3:$R$16)))*$B5,-5)</f>
        <v>#N/A</v>
      </c>
      <c r="F5" s="16" t="str">
        <f t="shared" si="9"/>
        <v>#N/A</v>
      </c>
      <c r="G5" s="16" t="str">
        <f t="shared" si="9"/>
        <v>#N/A</v>
      </c>
      <c r="H5" s="17" t="str">
        <f t="shared" ref="H5:J5" si="10">roundup((XLOOKUP($D5,$T$3:$T$10,$U$3:$U$10)*XLOOKUP(H$2,$AA$3:$AA$5,$AC$3:$AC$5)-ABS(XLOOKUP($C5,$Q$3:$Q$16,$R$3:$R$16)))*$B5,-5)</f>
        <v>#N/A</v>
      </c>
      <c r="I5" s="17" t="str">
        <f t="shared" si="10"/>
        <v>#N/A</v>
      </c>
      <c r="J5" s="17" t="str">
        <f t="shared" si="10"/>
        <v>#N/A</v>
      </c>
      <c r="K5" s="17" t="str">
        <f t="shared" ref="K5:M5" si="11">roundup((XLOOKUP($D5,$T$3:$T$10,$U$3:$U$10)*XLOOKUP(K$2,$AA$3:$AA$5,$AD$3:$AD$5)-ABS(XLOOKUP($C5,$Q$3:$Q$16,$R$3:$R$16)))*$B5,-5)</f>
        <v>#N/A</v>
      </c>
      <c r="L5" s="17" t="str">
        <f t="shared" si="11"/>
        <v>#N/A</v>
      </c>
      <c r="M5" s="17" t="str">
        <f t="shared" si="11"/>
        <v>#N/A</v>
      </c>
      <c r="O5" s="18">
        <f t="shared" si="12"/>
        <v>33</v>
      </c>
      <c r="P5" s="19">
        <v>36.0</v>
      </c>
      <c r="Q5" s="18">
        <v>3.0</v>
      </c>
      <c r="R5" s="28">
        <v>-32000.0</v>
      </c>
      <c r="T5" s="29" t="s">
        <v>31</v>
      </c>
      <c r="U5" s="22">
        <v>579500.0</v>
      </c>
      <c r="V5" s="23">
        <v>0.89</v>
      </c>
      <c r="W5" s="22">
        <f t="shared" si="8"/>
        <v>578055</v>
      </c>
      <c r="AA5" s="25" t="s">
        <v>9</v>
      </c>
      <c r="AB5" s="27">
        <v>1.0</v>
      </c>
      <c r="AC5" s="27">
        <v>1.168</v>
      </c>
      <c r="AD5" s="27">
        <v>1.282</v>
      </c>
    </row>
    <row r="6">
      <c r="A6" s="14" t="s">
        <v>32</v>
      </c>
      <c r="B6" s="14">
        <v>104.0</v>
      </c>
      <c r="C6" s="15">
        <f t="shared" si="4"/>
        <v>11</v>
      </c>
      <c r="D6" s="14" t="s">
        <v>33</v>
      </c>
      <c r="E6" s="16">
        <f t="shared" ref="E6:G6" si="13">ROUNDUP((XLOOKUP($D6,$T$3:$T$10,$U$3:$U$10)*XLOOKUP(E$2,$AA$3:$AA$5,$AB$3:$AB$5)-ABS(XLOOKUP($C6,$Q$3:$Q$16,$R$3:$R$16)))*$B6,-5)</f>
        <v>22600000</v>
      </c>
      <c r="F6" s="16">
        <f t="shared" si="13"/>
        <v>40100000</v>
      </c>
      <c r="G6" s="16">
        <f t="shared" si="13"/>
        <v>43700000</v>
      </c>
      <c r="H6" s="17">
        <f t="shared" ref="H6:J6" si="14">roundup((XLOOKUP($D6,$T$3:$T$10,$U$3:$U$10)*XLOOKUP(H$2,$AA$3:$AA$5,$AC$3:$AC$5)-ABS(XLOOKUP($C6,$Q$3:$Q$16,$R$3:$R$16)))*$B6,-5)</f>
        <v>18600000</v>
      </c>
      <c r="I6" s="17">
        <f t="shared" si="14"/>
        <v>49600000</v>
      </c>
      <c r="J6" s="17">
        <f t="shared" si="14"/>
        <v>53800000</v>
      </c>
      <c r="K6" s="17">
        <f t="shared" ref="K6:M6" si="15">roundup((XLOOKUP($D6,$T$3:$T$10,$U$3:$U$10)*XLOOKUP(K$2,$AA$3:$AA$5,$AD$3:$AD$5)-ABS(XLOOKUP($C6,$Q$3:$Q$16,$R$3:$R$16)))*$B6,-5)</f>
        <v>22000000</v>
      </c>
      <c r="L6" s="17">
        <f t="shared" si="15"/>
        <v>56000000</v>
      </c>
      <c r="M6" s="17">
        <f t="shared" si="15"/>
        <v>60700000</v>
      </c>
      <c r="O6" s="18">
        <f t="shared" si="12"/>
        <v>37</v>
      </c>
      <c r="P6" s="19">
        <v>40.0</v>
      </c>
      <c r="Q6" s="18">
        <v>4.0</v>
      </c>
      <c r="R6" s="28">
        <v>-36000.0</v>
      </c>
      <c r="T6" s="29" t="s">
        <v>34</v>
      </c>
      <c r="U6" s="22">
        <v>654000.0</v>
      </c>
      <c r="V6" s="23">
        <v>1.01</v>
      </c>
      <c r="W6" s="22">
        <f t="shared" si="8"/>
        <v>655995</v>
      </c>
    </row>
    <row r="7">
      <c r="A7" s="14" t="s">
        <v>35</v>
      </c>
      <c r="B7" s="14">
        <v>156.0</v>
      </c>
      <c r="C7" s="15">
        <f t="shared" si="4"/>
        <v>11</v>
      </c>
      <c r="D7" s="14" t="s">
        <v>36</v>
      </c>
      <c r="E7" s="16">
        <f t="shared" ref="E7:G7" si="16">ROUNDUP((XLOOKUP($D7,$T$3:$T$10,$U$3:$U$10)*XLOOKUP(E$2,$AA$3:$AA$5,$AB$3:$AB$5)-ABS(XLOOKUP($C7,$Q$3:$Q$16,$R$3:$R$16)))*$B7,-5)</f>
        <v>40900000</v>
      </c>
      <c r="F7" s="16">
        <f t="shared" si="16"/>
        <v>70300000</v>
      </c>
      <c r="G7" s="16">
        <f t="shared" si="16"/>
        <v>76400000</v>
      </c>
      <c r="H7" s="17">
        <f t="shared" ref="H7:J7" si="17">roundup((XLOOKUP($D7,$T$3:$T$10,$U$3:$U$10)*XLOOKUP(H$2,$AA$3:$AA$5,$AC$3:$AC$5)-ABS(XLOOKUP($C7,$Q$3:$Q$16,$R$3:$R$16)))*$B7,-5)</f>
        <v>34300000</v>
      </c>
      <c r="I7" s="17">
        <f t="shared" si="17"/>
        <v>86300000</v>
      </c>
      <c r="J7" s="17">
        <f t="shared" si="17"/>
        <v>93400000</v>
      </c>
      <c r="K7" s="17">
        <f t="shared" ref="K7:M7" si="18">roundup((XLOOKUP($D7,$T$3:$T$10,$U$3:$U$10)*XLOOKUP(K$2,$AA$3:$AA$5,$AD$3:$AD$5)-ABS(XLOOKUP($C7,$Q$3:$Q$16,$R$3:$R$16)))*$B7,-5)</f>
        <v>40000000</v>
      </c>
      <c r="L7" s="17">
        <f t="shared" si="18"/>
        <v>97200000</v>
      </c>
      <c r="M7" s="17">
        <f t="shared" si="18"/>
        <v>105000000</v>
      </c>
      <c r="O7" s="18">
        <f t="shared" si="12"/>
        <v>41</v>
      </c>
      <c r="P7" s="19">
        <v>45.0</v>
      </c>
      <c r="Q7" s="18">
        <v>5.0</v>
      </c>
      <c r="R7" s="28">
        <v>-38000.0</v>
      </c>
      <c r="T7" s="29" t="s">
        <v>24</v>
      </c>
      <c r="U7" s="22">
        <v>669600.0</v>
      </c>
      <c r="V7" s="23">
        <v>1.03</v>
      </c>
      <c r="W7" s="22">
        <f t="shared" si="8"/>
        <v>668985</v>
      </c>
    </row>
    <row r="8">
      <c r="A8" s="14" t="s">
        <v>37</v>
      </c>
      <c r="B8" s="14">
        <v>87.0</v>
      </c>
      <c r="C8" s="15">
        <f t="shared" si="4"/>
        <v>11</v>
      </c>
      <c r="D8" s="14" t="s">
        <v>33</v>
      </c>
      <c r="E8" s="16">
        <f t="shared" ref="E8:G8" si="19">ROUNDUP((XLOOKUP($D8,$T$3:$T$10,$U$3:$U$10)*XLOOKUP(E$2,$AA$3:$AA$5,$AB$3:$AB$5)-ABS(XLOOKUP($C8,$Q$3:$Q$16,$R$3:$R$16)))*$B8,-5)</f>
        <v>18900000</v>
      </c>
      <c r="F8" s="16">
        <f t="shared" si="19"/>
        <v>33500000</v>
      </c>
      <c r="G8" s="16">
        <f t="shared" si="19"/>
        <v>36500000</v>
      </c>
      <c r="H8" s="17">
        <f t="shared" ref="H8:J8" si="20">roundup((XLOOKUP($D8,$T$3:$T$10,$U$3:$U$10)*XLOOKUP(H$2,$AA$3:$AA$5,$AC$3:$AC$5)-ABS(XLOOKUP($C8,$Q$3:$Q$16,$R$3:$R$16)))*$B8,-5)</f>
        <v>15600000</v>
      </c>
      <c r="I8" s="17">
        <f t="shared" si="20"/>
        <v>41500000</v>
      </c>
      <c r="J8" s="17">
        <f t="shared" si="20"/>
        <v>45000000</v>
      </c>
      <c r="K8" s="17">
        <f t="shared" ref="K8:M8" si="21">roundup((XLOOKUP($D8,$T$3:$T$10,$U$3:$U$10)*XLOOKUP(K$2,$AA$3:$AA$5,$AD$3:$AD$5)-ABS(XLOOKUP($C8,$Q$3:$Q$16,$R$3:$R$16)))*$B8,-5)</f>
        <v>18400000</v>
      </c>
      <c r="L8" s="17">
        <f t="shared" si="21"/>
        <v>46900000</v>
      </c>
      <c r="M8" s="17">
        <f t="shared" si="21"/>
        <v>50800000</v>
      </c>
      <c r="O8" s="18">
        <f t="shared" si="12"/>
        <v>46</v>
      </c>
      <c r="P8" s="19">
        <v>50.0</v>
      </c>
      <c r="Q8" s="18">
        <v>6.0</v>
      </c>
      <c r="R8" s="28">
        <v>-45000.0</v>
      </c>
      <c r="T8" s="29" t="s">
        <v>38</v>
      </c>
      <c r="U8" s="22">
        <v>649500.0</v>
      </c>
      <c r="V8" s="23">
        <v>1.0</v>
      </c>
      <c r="W8" s="22">
        <f t="shared" si="8"/>
        <v>649500</v>
      </c>
      <c r="AA8" s="30" t="s">
        <v>19</v>
      </c>
      <c r="AB8" s="31" t="s">
        <v>20</v>
      </c>
      <c r="AC8" s="31" t="s">
        <v>21</v>
      </c>
      <c r="AD8" s="32" t="s">
        <v>22</v>
      </c>
    </row>
    <row r="9">
      <c r="A9" s="14" t="s">
        <v>39</v>
      </c>
      <c r="B9" s="14">
        <v>130.0</v>
      </c>
      <c r="C9" s="15">
        <f t="shared" si="4"/>
        <v>11</v>
      </c>
      <c r="D9" s="14" t="s">
        <v>36</v>
      </c>
      <c r="E9" s="16">
        <f t="shared" ref="E9:G9" si="22">ROUNDUP((XLOOKUP($D9,$T$3:$T$10,$U$3:$U$10)*XLOOKUP(E$2,$AA$3:$AA$5,$AB$3:$AB$5)-ABS(XLOOKUP($C9,$Q$3:$Q$16,$R$3:$R$16)))*$B9,-5)</f>
        <v>34100000</v>
      </c>
      <c r="F9" s="16">
        <f t="shared" si="22"/>
        <v>58600000</v>
      </c>
      <c r="G9" s="16">
        <f t="shared" si="22"/>
        <v>63700000</v>
      </c>
      <c r="H9" s="17">
        <f t="shared" ref="H9:J9" si="23">roundup((XLOOKUP($D9,$T$3:$T$10,$U$3:$U$10)*XLOOKUP(H$2,$AA$3:$AA$5,$AC$3:$AC$5)-ABS(XLOOKUP($C9,$Q$3:$Q$16,$R$3:$R$16)))*$B9,-5)</f>
        <v>28600000</v>
      </c>
      <c r="I9" s="17">
        <f t="shared" si="23"/>
        <v>72000000</v>
      </c>
      <c r="J9" s="17">
        <f t="shared" si="23"/>
        <v>77900000</v>
      </c>
      <c r="K9" s="17">
        <f t="shared" ref="K9:M9" si="24">roundup((XLOOKUP($D9,$T$3:$T$10,$U$3:$U$10)*XLOOKUP(K$2,$AA$3:$AA$5,$AD$3:$AD$5)-ABS(XLOOKUP($C9,$Q$3:$Q$16,$R$3:$R$16)))*$B9,-5)</f>
        <v>33400000</v>
      </c>
      <c r="L9" s="17">
        <f t="shared" si="24"/>
        <v>81000000</v>
      </c>
      <c r="M9" s="17">
        <f t="shared" si="24"/>
        <v>87500000</v>
      </c>
      <c r="O9" s="18">
        <f t="shared" si="12"/>
        <v>51</v>
      </c>
      <c r="P9" s="19">
        <v>55.0</v>
      </c>
      <c r="Q9" s="18">
        <v>7.0</v>
      </c>
      <c r="R9" s="28">
        <v>-50000.0</v>
      </c>
      <c r="T9" s="29" t="s">
        <v>40</v>
      </c>
      <c r="U9" s="22">
        <v>659500.0</v>
      </c>
      <c r="V9" s="23">
        <v>1.02</v>
      </c>
      <c r="W9" s="22">
        <f t="shared" si="8"/>
        <v>662490</v>
      </c>
      <c r="AA9" s="33" t="s">
        <v>7</v>
      </c>
      <c r="AB9" s="34">
        <v>0.65</v>
      </c>
      <c r="AC9" s="35">
        <f t="shared" ref="AC9:AD9" si="25">roundup($AB9*AC$11,3)</f>
        <v>0.76</v>
      </c>
      <c r="AD9" s="35">
        <f t="shared" si="25"/>
        <v>0.834</v>
      </c>
    </row>
    <row r="10">
      <c r="A10" s="14" t="s">
        <v>41</v>
      </c>
      <c r="B10" s="14">
        <v>95.0</v>
      </c>
      <c r="C10" s="15">
        <f t="shared" si="4"/>
        <v>11</v>
      </c>
      <c r="D10" s="14" t="s">
        <v>33</v>
      </c>
      <c r="E10" s="16">
        <f t="shared" ref="E10:G10" si="26">ROUNDUP((XLOOKUP($D10,$T$3:$T$10,$U$3:$U$10)*XLOOKUP(E$2,$AA$3:$AA$5,$AB$3:$AB$5)-ABS(XLOOKUP($C10,$Q$3:$Q$16,$R$3:$R$16)))*$B10,-5)</f>
        <v>20600000</v>
      </c>
      <c r="F10" s="16">
        <f t="shared" si="26"/>
        <v>36600000</v>
      </c>
      <c r="G10" s="16">
        <f t="shared" si="26"/>
        <v>39900000</v>
      </c>
      <c r="H10" s="17">
        <f t="shared" ref="H10:J10" si="27">roundup((XLOOKUP($D10,$T$3:$T$10,$U$3:$U$10)*XLOOKUP(H$2,$AA$3:$AA$5,$AC$3:$AC$5)-ABS(XLOOKUP($C10,$Q$3:$Q$16,$R$3:$R$16)))*$B10,-5)</f>
        <v>17000000</v>
      </c>
      <c r="I10" s="17">
        <f t="shared" si="27"/>
        <v>45300000</v>
      </c>
      <c r="J10" s="17">
        <f t="shared" si="27"/>
        <v>49200000</v>
      </c>
      <c r="K10" s="17">
        <f t="shared" ref="K10:M10" si="28">roundup((XLOOKUP($D10,$T$3:$T$10,$U$3:$U$10)*XLOOKUP(K$2,$AA$3:$AA$5,$AD$3:$AD$5)-ABS(XLOOKUP($C10,$Q$3:$Q$16,$R$3:$R$16)))*$B10,-5)</f>
        <v>20100000</v>
      </c>
      <c r="L10" s="17">
        <f t="shared" si="28"/>
        <v>51200000</v>
      </c>
      <c r="M10" s="17">
        <f t="shared" si="28"/>
        <v>55400000</v>
      </c>
      <c r="O10" s="18">
        <f t="shared" si="12"/>
        <v>56</v>
      </c>
      <c r="P10" s="19">
        <v>60.0</v>
      </c>
      <c r="Q10" s="18">
        <v>8.0</v>
      </c>
      <c r="R10" s="28">
        <v>-65000.0</v>
      </c>
      <c r="T10" s="29" t="s">
        <v>42</v>
      </c>
      <c r="U10" s="22">
        <v>610000.0</v>
      </c>
      <c r="V10" s="23">
        <v>0.94</v>
      </c>
      <c r="W10" s="22">
        <f t="shared" si="8"/>
        <v>610530</v>
      </c>
      <c r="AA10" s="33" t="s">
        <v>8</v>
      </c>
      <c r="AB10" s="36">
        <v>0.94</v>
      </c>
      <c r="AC10" s="35">
        <f t="shared" ref="AC10:AD10" si="29">roundup($AB10*AC$11,3)</f>
        <v>1.098</v>
      </c>
      <c r="AD10" s="35">
        <f t="shared" si="29"/>
        <v>1.206</v>
      </c>
    </row>
    <row r="11">
      <c r="A11" s="14" t="s">
        <v>43</v>
      </c>
      <c r="B11" s="14">
        <v>134.0</v>
      </c>
      <c r="C11" s="15">
        <f t="shared" si="4"/>
        <v>11</v>
      </c>
      <c r="D11" s="14" t="s">
        <v>36</v>
      </c>
      <c r="E11" s="16">
        <f t="shared" ref="E11:G11" si="30">ROUNDUP((XLOOKUP($D11,$T$3:$T$10,$U$3:$U$10)*XLOOKUP(E$2,$AA$3:$AA$5,$AB$3:$AB$5)-ABS(XLOOKUP($C11,$Q$3:$Q$16,$R$3:$R$16)))*$B11,-5)</f>
        <v>35200000</v>
      </c>
      <c r="F11" s="16">
        <f t="shared" si="30"/>
        <v>60400000</v>
      </c>
      <c r="G11" s="16">
        <f t="shared" si="30"/>
        <v>65600000</v>
      </c>
      <c r="H11" s="17">
        <f t="shared" ref="H11:J11" si="31">roundup((XLOOKUP($D11,$T$3:$T$10,$U$3:$U$10)*XLOOKUP(H$2,$AA$3:$AA$5,$AC$3:$AC$5)-ABS(XLOOKUP($C11,$Q$3:$Q$16,$R$3:$R$16)))*$B11,-5)</f>
        <v>29400000</v>
      </c>
      <c r="I11" s="17">
        <f t="shared" si="31"/>
        <v>74200000</v>
      </c>
      <c r="J11" s="17">
        <f t="shared" si="31"/>
        <v>80300000</v>
      </c>
      <c r="K11" s="17">
        <f t="shared" ref="K11:M11" si="32">roundup((XLOOKUP($D11,$T$3:$T$10,$U$3:$U$10)*XLOOKUP(K$2,$AA$3:$AA$5,$AD$3:$AD$5)-ABS(XLOOKUP($C11,$Q$3:$Q$16,$R$3:$R$16)))*$B11,-5)</f>
        <v>34400000</v>
      </c>
      <c r="L11" s="17">
        <f t="shared" si="32"/>
        <v>83500000</v>
      </c>
      <c r="M11" s="17">
        <f t="shared" si="32"/>
        <v>90200000</v>
      </c>
      <c r="O11" s="18">
        <f t="shared" si="12"/>
        <v>61</v>
      </c>
      <c r="P11" s="19">
        <v>75.0</v>
      </c>
      <c r="Q11" s="18">
        <v>9.0</v>
      </c>
      <c r="R11" s="28">
        <v>-69000.0</v>
      </c>
      <c r="T11" s="37"/>
      <c r="AA11" s="38" t="s">
        <v>9</v>
      </c>
      <c r="AB11" s="39">
        <v>1.0</v>
      </c>
      <c r="AC11" s="39">
        <v>1.168</v>
      </c>
      <c r="AD11" s="40">
        <v>1.282</v>
      </c>
    </row>
    <row r="12">
      <c r="A12" s="14" t="s">
        <v>44</v>
      </c>
      <c r="B12" s="14">
        <v>130.0</v>
      </c>
      <c r="C12" s="15">
        <f t="shared" si="4"/>
        <v>11</v>
      </c>
      <c r="D12" s="14" t="s">
        <v>36</v>
      </c>
      <c r="E12" s="16">
        <f t="shared" ref="E12:G12" si="33">ROUNDUP((XLOOKUP($D12,$T$3:$T$10,$U$3:$U$10)*XLOOKUP(E$2,$AA$3:$AA$5,$AB$3:$AB$5)-ABS(XLOOKUP($C12,$Q$3:$Q$16,$R$3:$R$16)))*$B12,-5)</f>
        <v>34100000</v>
      </c>
      <c r="F12" s="16">
        <f t="shared" si="33"/>
        <v>58600000</v>
      </c>
      <c r="G12" s="16">
        <f t="shared" si="33"/>
        <v>63700000</v>
      </c>
      <c r="H12" s="17">
        <f t="shared" ref="H12:J12" si="34">roundup((XLOOKUP($D12,$T$3:$T$10,$U$3:$U$10)*XLOOKUP(H$2,$AA$3:$AA$5,$AC$3:$AC$5)-ABS(XLOOKUP($C12,$Q$3:$Q$16,$R$3:$R$16)))*$B12,-5)</f>
        <v>28600000</v>
      </c>
      <c r="I12" s="17">
        <f t="shared" si="34"/>
        <v>72000000</v>
      </c>
      <c r="J12" s="17">
        <f t="shared" si="34"/>
        <v>77900000</v>
      </c>
      <c r="K12" s="17">
        <f t="shared" ref="K12:M12" si="35">roundup((XLOOKUP($D12,$T$3:$T$10,$U$3:$U$10)*XLOOKUP(K$2,$AA$3:$AA$5,$AD$3:$AD$5)-ABS(XLOOKUP($C12,$Q$3:$Q$16,$R$3:$R$16)))*$B12,-5)</f>
        <v>33400000</v>
      </c>
      <c r="L12" s="17">
        <f t="shared" si="35"/>
        <v>81000000</v>
      </c>
      <c r="M12" s="17">
        <f t="shared" si="35"/>
        <v>87500000</v>
      </c>
      <c r="O12" s="18">
        <f t="shared" si="12"/>
        <v>76</v>
      </c>
      <c r="P12" s="19">
        <v>80.0</v>
      </c>
      <c r="Q12" s="18">
        <v>10.0</v>
      </c>
      <c r="R12" s="28">
        <v>-130000.0</v>
      </c>
      <c r="T12" s="37"/>
      <c r="AA12" s="41" t="s">
        <v>45</v>
      </c>
      <c r="AB12" s="42"/>
      <c r="AC12" s="42"/>
      <c r="AD12" s="42"/>
    </row>
    <row r="13">
      <c r="A13" s="14" t="s">
        <v>46</v>
      </c>
      <c r="B13" s="14">
        <v>131.0</v>
      </c>
      <c r="C13" s="15">
        <f t="shared" si="4"/>
        <v>11</v>
      </c>
      <c r="D13" s="14" t="s">
        <v>33</v>
      </c>
      <c r="E13" s="16">
        <f t="shared" ref="E13:G13" si="36">ROUNDUP((XLOOKUP($D13,$T$3:$T$10,$U$3:$U$10)*XLOOKUP(E$2,$AA$3:$AA$5,$AB$3:$AB$5)-ABS(XLOOKUP($C13,$Q$3:$Q$16,$R$3:$R$16)))*$B13,-5)</f>
        <v>28400000</v>
      </c>
      <c r="F13" s="16">
        <f t="shared" si="36"/>
        <v>50400000</v>
      </c>
      <c r="G13" s="16">
        <f t="shared" si="36"/>
        <v>55000000</v>
      </c>
      <c r="H13" s="17">
        <f t="shared" ref="H13:J13" si="37">roundup((XLOOKUP($D13,$T$3:$T$10,$U$3:$U$10)*XLOOKUP(H$2,$AA$3:$AA$5,$AC$3:$AC$5)-ABS(XLOOKUP($C13,$Q$3:$Q$16,$R$3:$R$16)))*$B13,-5)</f>
        <v>23400000</v>
      </c>
      <c r="I13" s="17">
        <f t="shared" si="37"/>
        <v>62400000</v>
      </c>
      <c r="J13" s="17">
        <f t="shared" si="37"/>
        <v>67800000</v>
      </c>
      <c r="K13" s="17">
        <f t="shared" ref="K13:M13" si="38">roundup((XLOOKUP($D13,$T$3:$T$10,$U$3:$U$10)*XLOOKUP(K$2,$AA$3:$AA$5,$AD$3:$AD$5)-ABS(XLOOKUP($C13,$Q$3:$Q$16,$R$3:$R$16)))*$B13,-5)</f>
        <v>27800000</v>
      </c>
      <c r="L13" s="17">
        <f t="shared" si="38"/>
        <v>70600000</v>
      </c>
      <c r="M13" s="17">
        <f t="shared" si="38"/>
        <v>76400000</v>
      </c>
      <c r="O13" s="18">
        <f t="shared" si="12"/>
        <v>81</v>
      </c>
      <c r="P13" s="19">
        <v>160.0</v>
      </c>
      <c r="Q13" s="18">
        <v>11.0</v>
      </c>
      <c r="R13" s="28">
        <v>-160000.0</v>
      </c>
      <c r="T13" s="43" t="s">
        <v>47</v>
      </c>
    </row>
    <row r="14">
      <c r="A14" s="14" t="s">
        <v>48</v>
      </c>
      <c r="B14" s="14">
        <v>131.0</v>
      </c>
      <c r="C14" s="15">
        <f t="shared" si="4"/>
        <v>11</v>
      </c>
      <c r="D14" s="14" t="s">
        <v>36</v>
      </c>
      <c r="E14" s="16">
        <f t="shared" ref="E14:G14" si="39">ROUNDUP((XLOOKUP($D14,$T$3:$T$10,$U$3:$U$10)*XLOOKUP(E$2,$AA$3:$AA$5,$AB$3:$AB$5)-ABS(XLOOKUP($C14,$Q$3:$Q$16,$R$3:$R$16)))*$B14,-5)</f>
        <v>34400000</v>
      </c>
      <c r="F14" s="16">
        <f t="shared" si="39"/>
        <v>59100000</v>
      </c>
      <c r="G14" s="16">
        <f t="shared" si="39"/>
        <v>64200000</v>
      </c>
      <c r="H14" s="17">
        <f t="shared" ref="H14:J14" si="40">roundup((XLOOKUP($D14,$T$3:$T$10,$U$3:$U$10)*XLOOKUP(H$2,$AA$3:$AA$5,$AC$3:$AC$5)-ABS(XLOOKUP($C14,$Q$3:$Q$16,$R$3:$R$16)))*$B14,-5)</f>
        <v>28800000</v>
      </c>
      <c r="I14" s="17">
        <f t="shared" si="40"/>
        <v>72500000</v>
      </c>
      <c r="J14" s="17">
        <f t="shared" si="40"/>
        <v>78500000</v>
      </c>
      <c r="K14" s="17">
        <f t="shared" ref="K14:M14" si="41">roundup((XLOOKUP($D14,$T$3:$T$10,$U$3:$U$10)*XLOOKUP(K$2,$AA$3:$AA$5,$AD$3:$AD$5)-ABS(XLOOKUP($C14,$Q$3:$Q$16,$R$3:$R$16)))*$B14,-5)</f>
        <v>33600000</v>
      </c>
      <c r="L14" s="17">
        <f t="shared" si="41"/>
        <v>81600000</v>
      </c>
      <c r="M14" s="17">
        <f t="shared" si="41"/>
        <v>88200000</v>
      </c>
      <c r="O14" s="18">
        <f t="shared" si="12"/>
        <v>161</v>
      </c>
      <c r="P14" s="19">
        <v>180.0</v>
      </c>
      <c r="Q14" s="18">
        <v>12.0</v>
      </c>
      <c r="R14" s="28">
        <v>-165000.0</v>
      </c>
      <c r="T14" s="44" t="s">
        <v>49</v>
      </c>
      <c r="U14" s="45"/>
      <c r="V14" s="45"/>
      <c r="W14" s="45"/>
    </row>
    <row r="15">
      <c r="A15" s="14" t="s">
        <v>50</v>
      </c>
      <c r="B15" s="14">
        <v>123.0</v>
      </c>
      <c r="C15" s="15">
        <f t="shared" si="4"/>
        <v>11</v>
      </c>
      <c r="D15" s="14" t="s">
        <v>33</v>
      </c>
      <c r="E15" s="16">
        <f t="shared" ref="E15:G15" si="42">ROUNDUP((XLOOKUP($D15,$T$3:$T$10,$U$3:$U$10)*XLOOKUP(E$2,$AA$3:$AA$5,$AB$3:$AB$5)-ABS(XLOOKUP($C15,$Q$3:$Q$16,$R$3:$R$16)))*$B15,-5)</f>
        <v>26700000</v>
      </c>
      <c r="F15" s="16">
        <f t="shared" si="42"/>
        <v>47400000</v>
      </c>
      <c r="G15" s="16">
        <f t="shared" si="42"/>
        <v>51600000</v>
      </c>
      <c r="H15" s="17">
        <f t="shared" ref="H15:J15" si="43">roundup((XLOOKUP($D15,$T$3:$T$10,$U$3:$U$10)*XLOOKUP(H$2,$AA$3:$AA$5,$AC$3:$AC$5)-ABS(XLOOKUP($C15,$Q$3:$Q$16,$R$3:$R$16)))*$B15,-5)</f>
        <v>22000000</v>
      </c>
      <c r="I15" s="17">
        <f t="shared" si="43"/>
        <v>58600000</v>
      </c>
      <c r="J15" s="17">
        <f t="shared" si="43"/>
        <v>63600000</v>
      </c>
      <c r="K15" s="17">
        <f t="shared" ref="K15:M15" si="44">roundup((XLOOKUP($D15,$T$3:$T$10,$U$3:$U$10)*XLOOKUP(K$2,$AA$3:$AA$5,$AD$3:$AD$5)-ABS(XLOOKUP($C15,$Q$3:$Q$16,$R$3:$R$16)))*$B15,-5)</f>
        <v>26100000</v>
      </c>
      <c r="L15" s="17">
        <f t="shared" si="44"/>
        <v>66300000</v>
      </c>
      <c r="M15" s="17">
        <f t="shared" si="44"/>
        <v>71700000</v>
      </c>
      <c r="O15" s="18">
        <f t="shared" si="12"/>
        <v>181</v>
      </c>
      <c r="P15" s="19">
        <v>220.0</v>
      </c>
      <c r="Q15" s="18">
        <v>13.0</v>
      </c>
      <c r="R15" s="28">
        <v>-180000.0</v>
      </c>
      <c r="T15" s="46"/>
    </row>
    <row r="16">
      <c r="A16" s="14" t="s">
        <v>51</v>
      </c>
      <c r="B16" s="14">
        <v>115.0</v>
      </c>
      <c r="C16" s="15">
        <f t="shared" si="4"/>
        <v>11</v>
      </c>
      <c r="D16" s="14" t="s">
        <v>36</v>
      </c>
      <c r="E16" s="16">
        <f t="shared" ref="E16:G16" si="45">ROUNDUP((XLOOKUP($D16,$T$3:$T$10,$U$3:$U$10)*XLOOKUP(E$2,$AA$3:$AA$5,$AB$3:$AB$5)-ABS(XLOOKUP($C16,$Q$3:$Q$16,$R$3:$R$16)))*$B16,-5)</f>
        <v>30200000</v>
      </c>
      <c r="F16" s="16">
        <f t="shared" si="45"/>
        <v>51900000</v>
      </c>
      <c r="G16" s="16">
        <f t="shared" si="45"/>
        <v>56300000</v>
      </c>
      <c r="H16" s="17">
        <f t="shared" ref="H16:J16" si="46">roundup((XLOOKUP($D16,$T$3:$T$10,$U$3:$U$10)*XLOOKUP(H$2,$AA$3:$AA$5,$AC$3:$AC$5)-ABS(XLOOKUP($C16,$Q$3:$Q$16,$R$3:$R$16)))*$B16,-5)</f>
        <v>25300000</v>
      </c>
      <c r="I16" s="17">
        <f t="shared" si="46"/>
        <v>63700000</v>
      </c>
      <c r="J16" s="17">
        <f t="shared" si="46"/>
        <v>68900000</v>
      </c>
      <c r="K16" s="17">
        <f t="shared" ref="K16:M16" si="47">roundup((XLOOKUP($D16,$T$3:$T$10,$U$3:$U$10)*XLOOKUP(K$2,$AA$3:$AA$5,$AD$3:$AD$5)-ABS(XLOOKUP($C16,$Q$3:$Q$16,$R$3:$R$16)))*$B16,-5)</f>
        <v>29500000</v>
      </c>
      <c r="L16" s="17">
        <f t="shared" si="47"/>
        <v>71700000</v>
      </c>
      <c r="M16" s="17">
        <f t="shared" si="47"/>
        <v>77400000</v>
      </c>
      <c r="O16" s="18">
        <f t="shared" si="12"/>
        <v>221</v>
      </c>
      <c r="P16" s="19">
        <v>300.0</v>
      </c>
      <c r="Q16" s="18">
        <v>14.0</v>
      </c>
      <c r="R16" s="28">
        <v>-189000.0</v>
      </c>
      <c r="T16" s="47" t="s">
        <v>52</v>
      </c>
    </row>
    <row r="17">
      <c r="A17" s="14" t="s">
        <v>53</v>
      </c>
      <c r="B17" s="14">
        <v>115.0</v>
      </c>
      <c r="C17" s="15">
        <f t="shared" si="4"/>
        <v>11</v>
      </c>
      <c r="D17" s="14" t="s">
        <v>36</v>
      </c>
      <c r="E17" s="16">
        <f t="shared" ref="E17:G17" si="48">ROUNDUP((XLOOKUP($D17,$T$3:$T$10,$U$3:$U$10)*XLOOKUP(E$2,$AA$3:$AA$5,$AB$3:$AB$5)-ABS(XLOOKUP($C17,$Q$3:$Q$16,$R$3:$R$16)))*$B17,-5)</f>
        <v>30200000</v>
      </c>
      <c r="F17" s="16">
        <f t="shared" si="48"/>
        <v>51900000</v>
      </c>
      <c r="G17" s="16">
        <f t="shared" si="48"/>
        <v>56300000</v>
      </c>
      <c r="H17" s="17">
        <f t="shared" ref="H17:J17" si="49">roundup((XLOOKUP($D17,$T$3:$T$10,$U$3:$U$10)*XLOOKUP(H$2,$AA$3:$AA$5,$AC$3:$AC$5)-ABS(XLOOKUP($C17,$Q$3:$Q$16,$R$3:$R$16)))*$B17,-5)</f>
        <v>25300000</v>
      </c>
      <c r="I17" s="17">
        <f t="shared" si="49"/>
        <v>63700000</v>
      </c>
      <c r="J17" s="17">
        <f t="shared" si="49"/>
        <v>68900000</v>
      </c>
      <c r="K17" s="17">
        <f t="shared" ref="K17:M17" si="50">roundup((XLOOKUP($D17,$T$3:$T$10,$U$3:$U$10)*XLOOKUP(K$2,$AA$3:$AA$5,$AD$3:$AD$5)-ABS(XLOOKUP($C17,$Q$3:$Q$16,$R$3:$R$16)))*$B17,-5)</f>
        <v>29500000</v>
      </c>
      <c r="L17" s="17">
        <f t="shared" si="50"/>
        <v>71700000</v>
      </c>
      <c r="M17" s="17">
        <f t="shared" si="50"/>
        <v>77400000</v>
      </c>
      <c r="T17" s="44" t="s">
        <v>54</v>
      </c>
    </row>
    <row r="18">
      <c r="A18" s="14" t="s">
        <v>55</v>
      </c>
      <c r="B18" s="14">
        <v>137.0</v>
      </c>
      <c r="C18" s="15">
        <f t="shared" si="4"/>
        <v>11</v>
      </c>
      <c r="D18" s="14" t="s">
        <v>36</v>
      </c>
      <c r="E18" s="16">
        <f t="shared" ref="E18:G18" si="51">ROUNDUP((XLOOKUP($D18,$T$3:$T$10,$U$3:$U$10)*XLOOKUP(E$2,$AA$3:$AA$5,$AB$3:$AB$5)-ABS(XLOOKUP($C18,$Q$3:$Q$16,$R$3:$R$16)))*$B18,-5)</f>
        <v>36000000</v>
      </c>
      <c r="F18" s="16">
        <f t="shared" si="51"/>
        <v>61800000</v>
      </c>
      <c r="G18" s="16">
        <f t="shared" si="51"/>
        <v>67100000</v>
      </c>
      <c r="H18" s="17">
        <f t="shared" ref="H18:J18" si="52">roundup((XLOOKUP($D18,$T$3:$T$10,$U$3:$U$10)*XLOOKUP(H$2,$AA$3:$AA$5,$AC$3:$AC$5)-ABS(XLOOKUP($C18,$Q$3:$Q$16,$R$3:$R$16)))*$B18,-5)</f>
        <v>30100000</v>
      </c>
      <c r="I18" s="17">
        <f t="shared" si="52"/>
        <v>75800000</v>
      </c>
      <c r="J18" s="17">
        <f t="shared" si="52"/>
        <v>82100000</v>
      </c>
      <c r="K18" s="17">
        <f t="shared" ref="K18:M18" si="53">roundup((XLOOKUP($D18,$T$3:$T$10,$U$3:$U$10)*XLOOKUP(K$2,$AA$3:$AA$5,$AD$3:$AD$5)-ABS(XLOOKUP($C18,$Q$3:$Q$16,$R$3:$R$16)))*$B18,-5)</f>
        <v>35200000</v>
      </c>
      <c r="L18" s="17">
        <f t="shared" si="53"/>
        <v>85400000</v>
      </c>
      <c r="M18" s="17">
        <f t="shared" si="53"/>
        <v>92200000</v>
      </c>
    </row>
    <row r="19">
      <c r="A19" s="14" t="s">
        <v>56</v>
      </c>
      <c r="B19" s="14">
        <v>135.0</v>
      </c>
      <c r="C19" s="15">
        <f t="shared" si="4"/>
        <v>11</v>
      </c>
      <c r="D19" s="14" t="s">
        <v>33</v>
      </c>
      <c r="E19" s="16">
        <f t="shared" ref="E19:G19" si="54">ROUNDUP((XLOOKUP($D19,$T$3:$T$10,$U$3:$U$10)*XLOOKUP(E$2,$AA$3:$AA$5,$AB$3:$AB$5)-ABS(XLOOKUP($C19,$Q$3:$Q$16,$R$3:$R$16)))*$B19,-5)</f>
        <v>29300000</v>
      </c>
      <c r="F19" s="16">
        <f t="shared" si="54"/>
        <v>52000000</v>
      </c>
      <c r="G19" s="16">
        <f t="shared" si="54"/>
        <v>56700000</v>
      </c>
      <c r="H19" s="17">
        <f t="shared" ref="H19:J19" si="55">roundup((XLOOKUP($D19,$T$3:$T$10,$U$3:$U$10)*XLOOKUP(H$2,$AA$3:$AA$5,$AC$3:$AC$5)-ABS(XLOOKUP($C19,$Q$3:$Q$16,$R$3:$R$16)))*$B19,-5)</f>
        <v>24100000</v>
      </c>
      <c r="I19" s="17">
        <f t="shared" si="55"/>
        <v>64300000</v>
      </c>
      <c r="J19" s="17">
        <f t="shared" si="55"/>
        <v>69800000</v>
      </c>
      <c r="K19" s="17">
        <f t="shared" ref="K19:M19" si="56">roundup((XLOOKUP($D19,$T$3:$T$10,$U$3:$U$10)*XLOOKUP(K$2,$AA$3:$AA$5,$AD$3:$AD$5)-ABS(XLOOKUP($C19,$Q$3:$Q$16,$R$3:$R$16)))*$B19,-5)</f>
        <v>28600000</v>
      </c>
      <c r="L19" s="17">
        <f t="shared" si="56"/>
        <v>72700000</v>
      </c>
      <c r="M19" s="17">
        <f t="shared" si="56"/>
        <v>78700000</v>
      </c>
    </row>
    <row r="20">
      <c r="A20" s="14" t="s">
        <v>57</v>
      </c>
      <c r="B20" s="14">
        <v>125.0</v>
      </c>
      <c r="C20" s="15">
        <f t="shared" si="4"/>
        <v>11</v>
      </c>
      <c r="D20" s="14" t="s">
        <v>33</v>
      </c>
      <c r="E20" s="16">
        <f t="shared" ref="E20:G20" si="57">ROUNDUP((XLOOKUP($D20,$T$3:$T$10,$U$3:$U$10)*XLOOKUP(E$2,$AA$3:$AA$5,$AB$3:$AB$5)-ABS(XLOOKUP($C20,$Q$3:$Q$16,$R$3:$R$16)))*$B20,-5)</f>
        <v>27100000</v>
      </c>
      <c r="F20" s="16">
        <f t="shared" si="57"/>
        <v>48100000</v>
      </c>
      <c r="G20" s="16">
        <f t="shared" si="57"/>
        <v>52500000</v>
      </c>
      <c r="H20" s="17">
        <f t="shared" ref="H20:J20" si="58">roundup((XLOOKUP($D20,$T$3:$T$10,$U$3:$U$10)*XLOOKUP(H$2,$AA$3:$AA$5,$AC$3:$AC$5)-ABS(XLOOKUP($C20,$Q$3:$Q$16,$R$3:$R$16)))*$B20,-5)</f>
        <v>22400000</v>
      </c>
      <c r="I20" s="17">
        <f t="shared" si="58"/>
        <v>59600000</v>
      </c>
      <c r="J20" s="17">
        <f t="shared" si="58"/>
        <v>64700000</v>
      </c>
      <c r="K20" s="17">
        <f t="shared" ref="K20:M20" si="59">roundup((XLOOKUP($D20,$T$3:$T$10,$U$3:$U$10)*XLOOKUP(K$2,$AA$3:$AA$5,$AD$3:$AD$5)-ABS(XLOOKUP($C20,$Q$3:$Q$16,$R$3:$R$16)))*$B20,-5)</f>
        <v>26500000</v>
      </c>
      <c r="L20" s="17">
        <f t="shared" si="59"/>
        <v>67300000</v>
      </c>
      <c r="M20" s="17">
        <f t="shared" si="59"/>
        <v>72900000</v>
      </c>
    </row>
    <row r="21">
      <c r="A21" s="14" t="s">
        <v>58</v>
      </c>
      <c r="B21" s="14">
        <v>130.0</v>
      </c>
      <c r="C21" s="15">
        <f t="shared" si="4"/>
        <v>11</v>
      </c>
      <c r="D21" s="14" t="s">
        <v>36</v>
      </c>
      <c r="E21" s="16">
        <f t="shared" ref="E21:G21" si="60">ROUNDUP((XLOOKUP($D21,$T$3:$T$10,$U$3:$U$10)*XLOOKUP(E$2,$AA$3:$AA$5,$AB$3:$AB$5)-ABS(XLOOKUP($C21,$Q$3:$Q$16,$R$3:$R$16)))*$B21,-5)</f>
        <v>34100000</v>
      </c>
      <c r="F21" s="16">
        <f t="shared" si="60"/>
        <v>58600000</v>
      </c>
      <c r="G21" s="16">
        <f t="shared" si="60"/>
        <v>63700000</v>
      </c>
      <c r="H21" s="17">
        <f t="shared" ref="H21:J21" si="61">roundup((XLOOKUP($D21,$T$3:$T$10,$U$3:$U$10)*XLOOKUP(H$2,$AA$3:$AA$5,$AC$3:$AC$5)-ABS(XLOOKUP($C21,$Q$3:$Q$16,$R$3:$R$16)))*$B21,-5)</f>
        <v>28600000</v>
      </c>
      <c r="I21" s="17">
        <f t="shared" si="61"/>
        <v>72000000</v>
      </c>
      <c r="J21" s="17">
        <f t="shared" si="61"/>
        <v>77900000</v>
      </c>
      <c r="K21" s="17">
        <f t="shared" ref="K21:M21" si="62">roundup((XLOOKUP($D21,$T$3:$T$10,$U$3:$U$10)*XLOOKUP(K$2,$AA$3:$AA$5,$AD$3:$AD$5)-ABS(XLOOKUP($C21,$Q$3:$Q$16,$R$3:$R$16)))*$B21,-5)</f>
        <v>33400000</v>
      </c>
      <c r="L21" s="17">
        <f t="shared" si="62"/>
        <v>81000000</v>
      </c>
      <c r="M21" s="17">
        <f t="shared" si="62"/>
        <v>87500000</v>
      </c>
    </row>
    <row r="22">
      <c r="A22" s="14" t="s">
        <v>59</v>
      </c>
      <c r="B22" s="14">
        <v>109.0</v>
      </c>
      <c r="C22" s="15">
        <f t="shared" si="4"/>
        <v>11</v>
      </c>
      <c r="D22" s="14" t="s">
        <v>33</v>
      </c>
      <c r="E22" s="16">
        <f t="shared" ref="E22:G22" si="63">ROUNDUP((XLOOKUP($D22,$T$3:$T$10,$U$3:$U$10)*XLOOKUP(E$2,$AA$3:$AA$5,$AB$3:$AB$5)-ABS(XLOOKUP($C22,$Q$3:$Q$16,$R$3:$R$16)))*$B22,-5)</f>
        <v>23700000</v>
      </c>
      <c r="F22" s="16">
        <f t="shared" si="63"/>
        <v>42000000</v>
      </c>
      <c r="G22" s="16">
        <f t="shared" si="63"/>
        <v>45800000</v>
      </c>
      <c r="H22" s="17">
        <f t="shared" ref="H22:J22" si="64">roundup((XLOOKUP($D22,$T$3:$T$10,$U$3:$U$10)*XLOOKUP(H$2,$AA$3:$AA$5,$AC$3:$AC$5)-ABS(XLOOKUP($C22,$Q$3:$Q$16,$R$3:$R$16)))*$B22,-5)</f>
        <v>19500000</v>
      </c>
      <c r="I22" s="17">
        <f t="shared" si="64"/>
        <v>52000000</v>
      </c>
      <c r="J22" s="17">
        <f t="shared" si="64"/>
        <v>56400000</v>
      </c>
      <c r="K22" s="17">
        <f t="shared" ref="K22:M22" si="65">roundup((XLOOKUP($D22,$T$3:$T$10,$U$3:$U$10)*XLOOKUP(K$2,$AA$3:$AA$5,$AD$3:$AD$5)-ABS(XLOOKUP($C22,$Q$3:$Q$16,$R$3:$R$16)))*$B22,-5)</f>
        <v>23100000</v>
      </c>
      <c r="L22" s="17">
        <f t="shared" si="65"/>
        <v>58700000</v>
      </c>
      <c r="M22" s="17">
        <f t="shared" si="65"/>
        <v>63600000</v>
      </c>
    </row>
    <row r="23">
      <c r="A23" s="14" t="s">
        <v>60</v>
      </c>
      <c r="B23" s="14">
        <v>120.0</v>
      </c>
      <c r="C23" s="15">
        <f t="shared" si="4"/>
        <v>11</v>
      </c>
      <c r="D23" s="14" t="s">
        <v>36</v>
      </c>
      <c r="E23" s="16">
        <f t="shared" ref="E23:G23" si="66">ROUNDUP((XLOOKUP($D23,$T$3:$T$10,$U$3:$U$10)*XLOOKUP(E$2,$AA$3:$AA$5,$AB$3:$AB$5)-ABS(XLOOKUP($C23,$Q$3:$Q$16,$R$3:$R$16)))*$B23,-5)</f>
        <v>31500000</v>
      </c>
      <c r="F23" s="16">
        <f t="shared" si="66"/>
        <v>54100000</v>
      </c>
      <c r="G23" s="16">
        <f t="shared" si="66"/>
        <v>58800000</v>
      </c>
      <c r="H23" s="17">
        <f t="shared" ref="H23:J23" si="67">roundup((XLOOKUP($D23,$T$3:$T$10,$U$3:$U$10)*XLOOKUP(H$2,$AA$3:$AA$5,$AC$3:$AC$5)-ABS(XLOOKUP($C23,$Q$3:$Q$16,$R$3:$R$16)))*$B23,-5)</f>
        <v>26400000</v>
      </c>
      <c r="I23" s="17">
        <f t="shared" si="67"/>
        <v>66400000</v>
      </c>
      <c r="J23" s="17">
        <f t="shared" si="67"/>
        <v>71900000</v>
      </c>
      <c r="K23" s="17">
        <f t="shared" ref="K23:M23" si="68">roundup((XLOOKUP($D23,$T$3:$T$10,$U$3:$U$10)*XLOOKUP(K$2,$AA$3:$AA$5,$AD$3:$AD$5)-ABS(XLOOKUP($C23,$Q$3:$Q$16,$R$3:$R$16)))*$B23,-5)</f>
        <v>30800000</v>
      </c>
      <c r="L23" s="17">
        <f t="shared" si="68"/>
        <v>74800000</v>
      </c>
      <c r="M23" s="17">
        <f t="shared" si="68"/>
        <v>80800000</v>
      </c>
    </row>
    <row r="24">
      <c r="A24" s="14" t="s">
        <v>61</v>
      </c>
      <c r="B24" s="14">
        <v>128.0</v>
      </c>
      <c r="C24" s="15">
        <f t="shared" si="4"/>
        <v>11</v>
      </c>
      <c r="D24" s="14" t="s">
        <v>36</v>
      </c>
      <c r="E24" s="16">
        <f t="shared" ref="E24:G24" si="69">ROUNDUP((XLOOKUP($D24,$T$3:$T$10,$U$3:$U$10)*XLOOKUP(E$2,$AA$3:$AA$5,$AB$3:$AB$5)-ABS(XLOOKUP($C24,$Q$3:$Q$16,$R$3:$R$16)))*$B24,-5)</f>
        <v>33600000</v>
      </c>
      <c r="F24" s="16">
        <f t="shared" si="69"/>
        <v>57700000</v>
      </c>
      <c r="G24" s="16">
        <f t="shared" si="69"/>
        <v>62700000</v>
      </c>
      <c r="H24" s="17">
        <f t="shared" ref="H24:J24" si="70">roundup((XLOOKUP($D24,$T$3:$T$10,$U$3:$U$10)*XLOOKUP(H$2,$AA$3:$AA$5,$AC$3:$AC$5)-ABS(XLOOKUP($C24,$Q$3:$Q$16,$R$3:$R$16)))*$B24,-5)</f>
        <v>28100000</v>
      </c>
      <c r="I24" s="17">
        <f t="shared" si="70"/>
        <v>70900000</v>
      </c>
      <c r="J24" s="17">
        <f t="shared" si="70"/>
        <v>76700000</v>
      </c>
      <c r="K24" s="17">
        <f t="shared" ref="K24:M24" si="71">roundup((XLOOKUP($D24,$T$3:$T$10,$U$3:$U$10)*XLOOKUP(K$2,$AA$3:$AA$5,$AD$3:$AD$5)-ABS(XLOOKUP($C24,$Q$3:$Q$16,$R$3:$R$16)))*$B24,-5)</f>
        <v>32900000</v>
      </c>
      <c r="L24" s="17">
        <f t="shared" si="71"/>
        <v>79700000</v>
      </c>
      <c r="M24" s="17">
        <f t="shared" si="71"/>
        <v>86200000</v>
      </c>
    </row>
    <row r="25">
      <c r="A25" s="14" t="s">
        <v>62</v>
      </c>
      <c r="B25" s="14">
        <v>125.0</v>
      </c>
      <c r="C25" s="15">
        <f t="shared" si="4"/>
        <v>11</v>
      </c>
      <c r="D25" s="14" t="s">
        <v>36</v>
      </c>
      <c r="E25" s="16">
        <f t="shared" ref="E25:G25" si="72">ROUNDUP((XLOOKUP($D25,$T$3:$T$10,$U$3:$U$10)*XLOOKUP(E$2,$AA$3:$AA$5,$AB$3:$AB$5)-ABS(XLOOKUP($C25,$Q$3:$Q$16,$R$3:$R$16)))*$B25,-5)</f>
        <v>32800000</v>
      </c>
      <c r="F25" s="16">
        <f t="shared" si="72"/>
        <v>56400000</v>
      </c>
      <c r="G25" s="16">
        <f t="shared" si="72"/>
        <v>61200000</v>
      </c>
      <c r="H25" s="17">
        <f t="shared" ref="H25:J25" si="73">roundup((XLOOKUP($D25,$T$3:$T$10,$U$3:$U$10)*XLOOKUP(H$2,$AA$3:$AA$5,$AC$3:$AC$5)-ABS(XLOOKUP($C25,$Q$3:$Q$16,$R$3:$R$16)))*$B25,-5)</f>
        <v>27500000</v>
      </c>
      <c r="I25" s="17">
        <f t="shared" si="73"/>
        <v>69200000</v>
      </c>
      <c r="J25" s="17">
        <f t="shared" si="73"/>
        <v>74900000</v>
      </c>
      <c r="K25" s="17">
        <f t="shared" ref="K25:M25" si="74">roundup((XLOOKUP($D25,$T$3:$T$10,$U$3:$U$10)*XLOOKUP(K$2,$AA$3:$AA$5,$AD$3:$AD$5)-ABS(XLOOKUP($C25,$Q$3:$Q$16,$R$3:$R$16)))*$B25,-5)</f>
        <v>32100000</v>
      </c>
      <c r="L25" s="17">
        <f t="shared" si="74"/>
        <v>77900000</v>
      </c>
      <c r="M25" s="17">
        <f t="shared" si="74"/>
        <v>84100000</v>
      </c>
    </row>
    <row r="26">
      <c r="A26" s="14" t="s">
        <v>63</v>
      </c>
      <c r="B26" s="14">
        <v>184.0</v>
      </c>
      <c r="C26" s="15">
        <f t="shared" si="4"/>
        <v>13</v>
      </c>
      <c r="D26" s="14" t="s">
        <v>33</v>
      </c>
      <c r="E26" s="16">
        <f t="shared" ref="E26:G26" si="75">ROUNDUP((XLOOKUP($D26,$T$3:$T$10,$U$3:$U$10)*XLOOKUP(E$2,$AA$3:$AA$5,$AB$3:$AB$5)-ABS(XLOOKUP($C26,$Q$3:$Q$16,$R$3:$R$16)))*$B26,-5)</f>
        <v>36200000</v>
      </c>
      <c r="F26" s="16">
        <f t="shared" si="75"/>
        <v>67200000</v>
      </c>
      <c r="G26" s="16">
        <f t="shared" si="75"/>
        <v>73600000</v>
      </c>
      <c r="H26" s="17">
        <f t="shared" ref="H26:J26" si="76">roundup((XLOOKUP($D26,$T$3:$T$10,$U$3:$U$10)*XLOOKUP(H$2,$AA$3:$AA$5,$AC$3:$AC$5)-ABS(XLOOKUP($C26,$Q$3:$Q$16,$R$3:$R$16)))*$B26,-5)</f>
        <v>29200000</v>
      </c>
      <c r="I26" s="17">
        <f t="shared" si="76"/>
        <v>84000000</v>
      </c>
      <c r="J26" s="17">
        <f t="shared" si="76"/>
        <v>91500000</v>
      </c>
      <c r="K26" s="17">
        <f t="shared" ref="K26:M26" si="77">roundup((XLOOKUP($D26,$T$3:$T$10,$U$3:$U$10)*XLOOKUP(K$2,$AA$3:$AA$5,$AD$3:$AD$5)-ABS(XLOOKUP($C26,$Q$3:$Q$16,$R$3:$R$16)))*$B26,-5)</f>
        <v>35300000</v>
      </c>
      <c r="L26" s="17">
        <f t="shared" si="77"/>
        <v>95400000</v>
      </c>
      <c r="M26" s="17">
        <f t="shared" si="77"/>
        <v>103600000</v>
      </c>
    </row>
    <row r="27">
      <c r="A27" s="14" t="s">
        <v>64</v>
      </c>
      <c r="B27" s="14">
        <v>179.0</v>
      </c>
      <c r="C27" s="15">
        <f t="shared" si="4"/>
        <v>12</v>
      </c>
      <c r="D27" s="14" t="s">
        <v>33</v>
      </c>
      <c r="E27" s="16">
        <f t="shared" ref="E27:G27" si="78">ROUNDUP((XLOOKUP($D27,$T$3:$T$10,$U$3:$U$10)*XLOOKUP(E$2,$AA$3:$AA$5,$AB$3:$AB$5)-ABS(XLOOKUP($C27,$Q$3:$Q$16,$R$3:$R$16)))*$B27,-5)</f>
        <v>37900000</v>
      </c>
      <c r="F27" s="16">
        <f t="shared" si="78"/>
        <v>68000000</v>
      </c>
      <c r="G27" s="16">
        <f t="shared" si="78"/>
        <v>74200000</v>
      </c>
      <c r="H27" s="17">
        <f t="shared" ref="H27:J27" si="79">roundup((XLOOKUP($D27,$T$3:$T$10,$U$3:$U$10)*XLOOKUP(H$2,$AA$3:$AA$5,$AC$3:$AC$5)-ABS(XLOOKUP($C27,$Q$3:$Q$16,$R$3:$R$16)))*$B27,-5)</f>
        <v>31100000</v>
      </c>
      <c r="I27" s="17">
        <f t="shared" si="79"/>
        <v>84400000</v>
      </c>
      <c r="J27" s="17">
        <f t="shared" si="79"/>
        <v>91700000</v>
      </c>
      <c r="K27" s="17">
        <f t="shared" ref="K27:M27" si="80">roundup((XLOOKUP($D27,$T$3:$T$10,$U$3:$U$10)*XLOOKUP(K$2,$AA$3:$AA$5,$AD$3:$AD$5)-ABS(XLOOKUP($C27,$Q$3:$Q$16,$R$3:$R$16)))*$B27,-5)</f>
        <v>37000000</v>
      </c>
      <c r="L27" s="17">
        <f t="shared" si="80"/>
        <v>95500000</v>
      </c>
      <c r="M27" s="17">
        <f t="shared" si="80"/>
        <v>103500000</v>
      </c>
    </row>
    <row r="28">
      <c r="A28" s="14" t="s">
        <v>65</v>
      </c>
      <c r="B28" s="14">
        <v>186.0</v>
      </c>
      <c r="C28" s="15">
        <f t="shared" si="4"/>
        <v>13</v>
      </c>
      <c r="D28" s="14" t="s">
        <v>33</v>
      </c>
      <c r="E28" s="16">
        <f t="shared" ref="E28:G28" si="81">ROUNDUP((XLOOKUP($D28,$T$3:$T$10,$U$3:$U$10)*XLOOKUP(E$2,$AA$3:$AA$5,$AB$3:$AB$5)-ABS(XLOOKUP($C28,$Q$3:$Q$16,$R$3:$R$16)))*$B28,-5)</f>
        <v>36600000</v>
      </c>
      <c r="F28" s="16">
        <f t="shared" si="81"/>
        <v>67900000</v>
      </c>
      <c r="G28" s="16">
        <f t="shared" si="81"/>
        <v>74400000</v>
      </c>
      <c r="H28" s="17">
        <f t="shared" ref="H28:J28" si="82">roundup((XLOOKUP($D28,$T$3:$T$10,$U$3:$U$10)*XLOOKUP(H$2,$AA$3:$AA$5,$AC$3:$AC$5)-ABS(XLOOKUP($C28,$Q$3:$Q$16,$R$3:$R$16)))*$B28,-5)</f>
        <v>29500000</v>
      </c>
      <c r="I28" s="17">
        <f t="shared" si="82"/>
        <v>84900000</v>
      </c>
      <c r="J28" s="17">
        <f t="shared" si="82"/>
        <v>92500000</v>
      </c>
      <c r="K28" s="17">
        <f t="shared" ref="K28:M28" si="83">roundup((XLOOKUP($D28,$T$3:$T$10,$U$3:$U$10)*XLOOKUP(K$2,$AA$3:$AA$5,$AD$3:$AD$5)-ABS(XLOOKUP($C28,$Q$3:$Q$16,$R$3:$R$16)))*$B28,-5)</f>
        <v>35700000</v>
      </c>
      <c r="L28" s="17">
        <f t="shared" si="83"/>
        <v>96500000</v>
      </c>
      <c r="M28" s="17">
        <f t="shared" si="83"/>
        <v>104800000</v>
      </c>
    </row>
    <row r="29">
      <c r="A29" s="14" t="s">
        <v>66</v>
      </c>
      <c r="B29" s="14">
        <v>243.0</v>
      </c>
      <c r="C29" s="15">
        <f t="shared" si="4"/>
        <v>14</v>
      </c>
      <c r="D29" s="14" t="s">
        <v>33</v>
      </c>
      <c r="E29" s="16">
        <f t="shared" ref="E29:G29" si="84">ROUNDUP((XLOOKUP($D29,$T$3:$T$10,$U$3:$U$10)*XLOOKUP(E$2,$AA$3:$AA$5,$AB$3:$AB$5)-ABS(XLOOKUP($C29,$Q$3:$Q$16,$R$3:$R$16)))*$B29,-5)</f>
        <v>45700000</v>
      </c>
      <c r="F29" s="16">
        <f t="shared" si="84"/>
        <v>86500000</v>
      </c>
      <c r="G29" s="16">
        <f t="shared" si="84"/>
        <v>94900000</v>
      </c>
      <c r="H29" s="17">
        <f t="shared" ref="H29:J29" si="85">roundup((XLOOKUP($D29,$T$3:$T$10,$U$3:$U$10)*XLOOKUP(H$2,$AA$3:$AA$5,$AC$3:$AC$5)-ABS(XLOOKUP($C29,$Q$3:$Q$16,$R$3:$R$16)))*$B29,-5)</f>
        <v>36400000</v>
      </c>
      <c r="I29" s="17">
        <f t="shared" si="85"/>
        <v>108700000</v>
      </c>
      <c r="J29" s="17">
        <f t="shared" si="85"/>
        <v>118600000</v>
      </c>
      <c r="K29" s="17">
        <f t="shared" ref="K29:M29" si="86">roundup((XLOOKUP($D29,$T$3:$T$10,$U$3:$U$10)*XLOOKUP(K$2,$AA$3:$AA$5,$AD$3:$AD$5)-ABS(XLOOKUP($C29,$Q$3:$Q$16,$R$3:$R$16)))*$B29,-5)</f>
        <v>44400000</v>
      </c>
      <c r="L29" s="17">
        <f t="shared" si="86"/>
        <v>123800000</v>
      </c>
      <c r="M29" s="17">
        <f t="shared" si="86"/>
        <v>134700000</v>
      </c>
    </row>
    <row r="30">
      <c r="A30" s="14" t="s">
        <v>67</v>
      </c>
      <c r="B30" s="14">
        <v>178.0</v>
      </c>
      <c r="C30" s="15">
        <f t="shared" si="4"/>
        <v>12</v>
      </c>
      <c r="D30" s="14" t="s">
        <v>33</v>
      </c>
      <c r="E30" s="16">
        <f t="shared" ref="E30:G30" si="87">ROUNDUP((XLOOKUP($D30,$T$3:$T$10,$U$3:$U$10)*XLOOKUP(E$2,$AA$3:$AA$5,$AB$3:$AB$5)-ABS(XLOOKUP($C30,$Q$3:$Q$16,$R$3:$R$16)))*$B30,-5)</f>
        <v>37700000</v>
      </c>
      <c r="F30" s="16">
        <f t="shared" si="87"/>
        <v>67600000</v>
      </c>
      <c r="G30" s="16">
        <f t="shared" si="87"/>
        <v>73800000</v>
      </c>
      <c r="H30" s="17">
        <f t="shared" ref="H30:J30" si="88">roundup((XLOOKUP($D30,$T$3:$T$10,$U$3:$U$10)*XLOOKUP(H$2,$AA$3:$AA$5,$AC$3:$AC$5)-ABS(XLOOKUP($C30,$Q$3:$Q$16,$R$3:$R$16)))*$B30,-5)</f>
        <v>30900000</v>
      </c>
      <c r="I30" s="17">
        <f t="shared" si="88"/>
        <v>83900000</v>
      </c>
      <c r="J30" s="17">
        <f t="shared" si="88"/>
        <v>91200000</v>
      </c>
      <c r="K30" s="17">
        <f t="shared" ref="K30:M30" si="89">roundup((XLOOKUP($D30,$T$3:$T$10,$U$3:$U$10)*XLOOKUP(K$2,$AA$3:$AA$5,$AD$3:$AD$5)-ABS(XLOOKUP($C30,$Q$3:$Q$16,$R$3:$R$16)))*$B30,-5)</f>
        <v>36800000</v>
      </c>
      <c r="L30" s="17">
        <f t="shared" si="89"/>
        <v>95000000</v>
      </c>
      <c r="M30" s="17">
        <f t="shared" si="89"/>
        <v>102900000</v>
      </c>
    </row>
    <row r="31">
      <c r="A31" s="14" t="s">
        <v>68</v>
      </c>
      <c r="B31" s="14">
        <v>153.0</v>
      </c>
      <c r="C31" s="15">
        <f t="shared" si="4"/>
        <v>11</v>
      </c>
      <c r="D31" s="14" t="s">
        <v>33</v>
      </c>
      <c r="E31" s="16">
        <f t="shared" ref="E31:G31" si="90">ROUNDUP((XLOOKUP($D31,$T$3:$T$10,$U$3:$U$10)*XLOOKUP(E$2,$AA$3:$AA$5,$AB$3:$AB$5)-ABS(XLOOKUP($C31,$Q$3:$Q$16,$R$3:$R$16)))*$B31,-5)</f>
        <v>33200000</v>
      </c>
      <c r="F31" s="16">
        <f t="shared" si="90"/>
        <v>58900000</v>
      </c>
      <c r="G31" s="16">
        <f t="shared" si="90"/>
        <v>64200000</v>
      </c>
      <c r="H31" s="17">
        <f t="shared" ref="H31:J31" si="91">roundup((XLOOKUP($D31,$T$3:$T$10,$U$3:$U$10)*XLOOKUP(H$2,$AA$3:$AA$5,$AC$3:$AC$5)-ABS(XLOOKUP($C31,$Q$3:$Q$16,$R$3:$R$16)))*$B31,-5)</f>
        <v>27300000</v>
      </c>
      <c r="I31" s="17">
        <f t="shared" si="91"/>
        <v>72900000</v>
      </c>
      <c r="J31" s="17">
        <f t="shared" si="91"/>
        <v>79100000</v>
      </c>
      <c r="K31" s="17">
        <f t="shared" ref="K31:M31" si="92">roundup((XLOOKUP($D31,$T$3:$T$10,$U$3:$U$10)*XLOOKUP(K$2,$AA$3:$AA$5,$AD$3:$AD$5)-ABS(XLOOKUP($C31,$Q$3:$Q$16,$R$3:$R$16)))*$B31,-5)</f>
        <v>32400000</v>
      </c>
      <c r="L31" s="17">
        <f t="shared" si="92"/>
        <v>82400000</v>
      </c>
      <c r="M31" s="17">
        <f t="shared" si="92"/>
        <v>89200000</v>
      </c>
    </row>
    <row r="32">
      <c r="A32" s="14" t="s">
        <v>69</v>
      </c>
      <c r="B32" s="14">
        <v>184.0</v>
      </c>
      <c r="C32" s="15">
        <f t="shared" si="4"/>
        <v>13</v>
      </c>
      <c r="D32" s="14" t="s">
        <v>33</v>
      </c>
      <c r="E32" s="16">
        <f t="shared" ref="E32:G32" si="93">ROUNDUP((XLOOKUP($D32,$T$3:$T$10,$U$3:$U$10)*XLOOKUP(E$2,$AA$3:$AA$5,$AB$3:$AB$5)-ABS(XLOOKUP($C32,$Q$3:$Q$16,$R$3:$R$16)))*$B32,-5)</f>
        <v>36200000</v>
      </c>
      <c r="F32" s="16">
        <f t="shared" si="93"/>
        <v>67200000</v>
      </c>
      <c r="G32" s="16">
        <f t="shared" si="93"/>
        <v>73600000</v>
      </c>
      <c r="H32" s="17">
        <f t="shared" ref="H32:J32" si="94">roundup((XLOOKUP($D32,$T$3:$T$10,$U$3:$U$10)*XLOOKUP(H$2,$AA$3:$AA$5,$AC$3:$AC$5)-ABS(XLOOKUP($C32,$Q$3:$Q$16,$R$3:$R$16)))*$B32,-5)</f>
        <v>29200000</v>
      </c>
      <c r="I32" s="17">
        <f t="shared" si="94"/>
        <v>84000000</v>
      </c>
      <c r="J32" s="17">
        <f t="shared" si="94"/>
        <v>91500000</v>
      </c>
      <c r="K32" s="17">
        <f t="shared" ref="K32:M32" si="95">roundup((XLOOKUP($D32,$T$3:$T$10,$U$3:$U$10)*XLOOKUP(K$2,$AA$3:$AA$5,$AD$3:$AD$5)-ABS(XLOOKUP($C32,$Q$3:$Q$16,$R$3:$R$16)))*$B32,-5)</f>
        <v>35300000</v>
      </c>
      <c r="L32" s="17">
        <f t="shared" si="95"/>
        <v>95400000</v>
      </c>
      <c r="M32" s="17">
        <f t="shared" si="95"/>
        <v>103600000</v>
      </c>
    </row>
    <row r="33">
      <c r="A33" s="14" t="s">
        <v>70</v>
      </c>
      <c r="B33" s="14">
        <v>117.0</v>
      </c>
      <c r="C33" s="15">
        <f t="shared" si="4"/>
        <v>11</v>
      </c>
      <c r="D33" s="14" t="s">
        <v>33</v>
      </c>
      <c r="E33" s="16">
        <f t="shared" ref="E33:G33" si="96">ROUNDUP((XLOOKUP($D33,$T$3:$T$10,$U$3:$U$10)*XLOOKUP(E$2,$AA$3:$AA$5,$AB$3:$AB$5)-ABS(XLOOKUP($C33,$Q$3:$Q$16,$R$3:$R$16)))*$B33,-5)</f>
        <v>25400000</v>
      </c>
      <c r="F33" s="16">
        <f t="shared" si="96"/>
        <v>45100000</v>
      </c>
      <c r="G33" s="16">
        <f t="shared" si="96"/>
        <v>49100000</v>
      </c>
      <c r="H33" s="17">
        <f t="shared" ref="H33:J33" si="97">roundup((XLOOKUP($D33,$T$3:$T$10,$U$3:$U$10)*XLOOKUP(H$2,$AA$3:$AA$5,$AC$3:$AC$5)-ABS(XLOOKUP($C33,$Q$3:$Q$16,$R$3:$R$16)))*$B33,-5)</f>
        <v>20900000</v>
      </c>
      <c r="I33" s="17">
        <f t="shared" si="97"/>
        <v>55800000</v>
      </c>
      <c r="J33" s="17">
        <f t="shared" si="97"/>
        <v>60500000</v>
      </c>
      <c r="K33" s="17">
        <f t="shared" ref="K33:M33" si="98">roundup((XLOOKUP($D33,$T$3:$T$10,$U$3:$U$10)*XLOOKUP(K$2,$AA$3:$AA$5,$AD$3:$AD$5)-ABS(XLOOKUP($C33,$Q$3:$Q$16,$R$3:$R$16)))*$B33,-5)</f>
        <v>24800000</v>
      </c>
      <c r="L33" s="17">
        <f t="shared" si="98"/>
        <v>63000000</v>
      </c>
      <c r="M33" s="17">
        <f t="shared" si="98"/>
        <v>68300000</v>
      </c>
    </row>
    <row r="34">
      <c r="A34" s="14" t="s">
        <v>71</v>
      </c>
      <c r="B34" s="14">
        <v>139.0</v>
      </c>
      <c r="C34" s="15">
        <f t="shared" si="4"/>
        <v>11</v>
      </c>
      <c r="D34" s="14" t="s">
        <v>33</v>
      </c>
      <c r="E34" s="16">
        <f t="shared" ref="E34:G34" si="99">ROUNDUP((XLOOKUP($D34,$T$3:$T$10,$U$3:$U$10)*XLOOKUP(E$2,$AA$3:$AA$5,$AB$3:$AB$5)-ABS(XLOOKUP($C34,$Q$3:$Q$16,$R$3:$R$16)))*$B34,-5)</f>
        <v>30200000</v>
      </c>
      <c r="F34" s="16">
        <f t="shared" si="99"/>
        <v>53500000</v>
      </c>
      <c r="G34" s="16">
        <f t="shared" si="99"/>
        <v>58400000</v>
      </c>
      <c r="H34" s="17">
        <f t="shared" ref="H34:J34" si="100">roundup((XLOOKUP($D34,$T$3:$T$10,$U$3:$U$10)*XLOOKUP(H$2,$AA$3:$AA$5,$AC$3:$AC$5)-ABS(XLOOKUP($C34,$Q$3:$Q$16,$R$3:$R$16)))*$B34,-5)</f>
        <v>24900000</v>
      </c>
      <c r="I34" s="17">
        <f t="shared" si="100"/>
        <v>66300000</v>
      </c>
      <c r="J34" s="17">
        <f t="shared" si="100"/>
        <v>71900000</v>
      </c>
      <c r="K34" s="17">
        <f t="shared" ref="K34:M34" si="101">roundup((XLOOKUP($D34,$T$3:$T$10,$U$3:$U$10)*XLOOKUP(K$2,$AA$3:$AA$5,$AD$3:$AD$5)-ABS(XLOOKUP($C34,$Q$3:$Q$16,$R$3:$R$16)))*$B34,-5)</f>
        <v>29400000</v>
      </c>
      <c r="L34" s="17">
        <f t="shared" si="101"/>
        <v>74900000</v>
      </c>
      <c r="M34" s="17">
        <f t="shared" si="101"/>
        <v>81100000</v>
      </c>
    </row>
    <row r="35">
      <c r="A35" s="14" t="s">
        <v>72</v>
      </c>
      <c r="B35" s="14">
        <v>98.0</v>
      </c>
      <c r="C35" s="15">
        <f t="shared" si="4"/>
        <v>11</v>
      </c>
      <c r="D35" s="14" t="s">
        <v>33</v>
      </c>
      <c r="E35" s="16">
        <f t="shared" ref="E35:G35" si="102">ROUNDUP((XLOOKUP($D35,$T$3:$T$10,$U$3:$U$10)*XLOOKUP(E$2,$AA$3:$AA$5,$AB$3:$AB$5)-ABS(XLOOKUP($C35,$Q$3:$Q$16,$R$3:$R$16)))*$B35,-5)</f>
        <v>21300000</v>
      </c>
      <c r="F35" s="16">
        <f t="shared" si="102"/>
        <v>37800000</v>
      </c>
      <c r="G35" s="16">
        <f t="shared" si="102"/>
        <v>41200000</v>
      </c>
      <c r="H35" s="17">
        <f t="shared" ref="H35:J35" si="103">roundup((XLOOKUP($D35,$T$3:$T$10,$U$3:$U$10)*XLOOKUP(H$2,$AA$3:$AA$5,$AC$3:$AC$5)-ABS(XLOOKUP($C35,$Q$3:$Q$16,$R$3:$R$16)))*$B35,-5)</f>
        <v>17500000</v>
      </c>
      <c r="I35" s="17">
        <f t="shared" si="103"/>
        <v>46700000</v>
      </c>
      <c r="J35" s="17">
        <f t="shared" si="103"/>
        <v>50700000</v>
      </c>
      <c r="K35" s="17">
        <f t="shared" ref="K35:M35" si="104">roundup((XLOOKUP($D35,$T$3:$T$10,$U$3:$U$10)*XLOOKUP(K$2,$AA$3:$AA$5,$AD$3:$AD$5)-ABS(XLOOKUP($C35,$Q$3:$Q$16,$R$3:$R$16)))*$B35,-5)</f>
        <v>20800000</v>
      </c>
      <c r="L35" s="17">
        <f t="shared" si="104"/>
        <v>52800000</v>
      </c>
      <c r="M35" s="17">
        <f t="shared" si="104"/>
        <v>57200000</v>
      </c>
    </row>
    <row r="36">
      <c r="A36" s="14" t="s">
        <v>73</v>
      </c>
      <c r="B36" s="14">
        <v>234.0</v>
      </c>
      <c r="C36" s="15">
        <f t="shared" si="4"/>
        <v>14</v>
      </c>
      <c r="D36" s="14" t="s">
        <v>33</v>
      </c>
      <c r="E36" s="16">
        <f t="shared" ref="E36:G36" si="105">ROUNDUP((XLOOKUP($D36,$T$3:$T$10,$U$3:$U$10)*XLOOKUP(E$2,$AA$3:$AA$5,$AB$3:$AB$5)-ABS(XLOOKUP($C36,$Q$3:$Q$16,$R$3:$R$16)))*$B36,-5)</f>
        <v>44000000</v>
      </c>
      <c r="F36" s="16">
        <f t="shared" si="105"/>
        <v>83300000</v>
      </c>
      <c r="G36" s="16">
        <f t="shared" si="105"/>
        <v>91400000</v>
      </c>
      <c r="H36" s="17">
        <f t="shared" ref="H36:J36" si="106">roundup((XLOOKUP($D36,$T$3:$T$10,$U$3:$U$10)*XLOOKUP(H$2,$AA$3:$AA$5,$AC$3:$AC$5)-ABS(XLOOKUP($C36,$Q$3:$Q$16,$R$3:$R$16)))*$B36,-5)</f>
        <v>35000000</v>
      </c>
      <c r="I36" s="17">
        <f t="shared" si="106"/>
        <v>104700000</v>
      </c>
      <c r="J36" s="17">
        <f t="shared" si="106"/>
        <v>114200000</v>
      </c>
      <c r="K36" s="17">
        <f t="shared" ref="K36:M36" si="107">roundup((XLOOKUP($D36,$T$3:$T$10,$U$3:$U$10)*XLOOKUP(K$2,$AA$3:$AA$5,$AD$3:$AD$5)-ABS(XLOOKUP($C36,$Q$3:$Q$16,$R$3:$R$16)))*$B36,-5)</f>
        <v>42700000</v>
      </c>
      <c r="L36" s="17">
        <f t="shared" si="107"/>
        <v>119200000</v>
      </c>
      <c r="M36" s="17">
        <f t="shared" si="107"/>
        <v>129700000</v>
      </c>
    </row>
    <row r="37">
      <c r="A37" s="14" t="s">
        <v>74</v>
      </c>
      <c r="B37" s="14">
        <v>115.0</v>
      </c>
      <c r="C37" s="15">
        <f t="shared" si="4"/>
        <v>11</v>
      </c>
      <c r="D37" s="14" t="s">
        <v>33</v>
      </c>
      <c r="E37" s="16">
        <f t="shared" ref="E37:G37" si="108">ROUNDUP((XLOOKUP($D37,$T$3:$T$10,$U$3:$U$10)*XLOOKUP(E$2,$AA$3:$AA$5,$AB$3:$AB$5)-ABS(XLOOKUP($C37,$Q$3:$Q$16,$R$3:$R$16)))*$B37,-5)</f>
        <v>25000000</v>
      </c>
      <c r="F37" s="16">
        <f t="shared" si="108"/>
        <v>44300000</v>
      </c>
      <c r="G37" s="16">
        <f t="shared" si="108"/>
        <v>48300000</v>
      </c>
      <c r="H37" s="17">
        <f t="shared" ref="H37:J37" si="109">roundup((XLOOKUP($D37,$T$3:$T$10,$U$3:$U$10)*XLOOKUP(H$2,$AA$3:$AA$5,$AC$3:$AC$5)-ABS(XLOOKUP($C37,$Q$3:$Q$16,$R$3:$R$16)))*$B37,-5)</f>
        <v>20600000</v>
      </c>
      <c r="I37" s="17">
        <f t="shared" si="109"/>
        <v>54800000</v>
      </c>
      <c r="J37" s="17">
        <f t="shared" si="109"/>
        <v>59500000</v>
      </c>
      <c r="K37" s="17">
        <f t="shared" ref="K37:M37" si="110">roundup((XLOOKUP($D37,$T$3:$T$10,$U$3:$U$10)*XLOOKUP(K$2,$AA$3:$AA$5,$AD$3:$AD$5)-ABS(XLOOKUP($C37,$Q$3:$Q$16,$R$3:$R$16)))*$B37,-5)</f>
        <v>24400000</v>
      </c>
      <c r="L37" s="17">
        <f t="shared" si="110"/>
        <v>62000000</v>
      </c>
      <c r="M37" s="17">
        <f t="shared" si="110"/>
        <v>67100000</v>
      </c>
    </row>
    <row r="38">
      <c r="A38" s="14" t="s">
        <v>75</v>
      </c>
      <c r="B38" s="14">
        <v>214.0</v>
      </c>
      <c r="C38" s="15">
        <f t="shared" si="4"/>
        <v>13</v>
      </c>
      <c r="D38" s="14" t="s">
        <v>33</v>
      </c>
      <c r="E38" s="16">
        <f t="shared" ref="E38:G38" si="111">ROUNDUP((XLOOKUP($D38,$T$3:$T$10,$U$3:$U$10)*XLOOKUP(E$2,$AA$3:$AA$5,$AB$3:$AB$5)-ABS(XLOOKUP($C38,$Q$3:$Q$16,$R$3:$R$16)))*$B38,-5)</f>
        <v>42100000</v>
      </c>
      <c r="F38" s="16">
        <f t="shared" si="111"/>
        <v>78100000</v>
      </c>
      <c r="G38" s="16">
        <f t="shared" si="111"/>
        <v>85500000</v>
      </c>
      <c r="H38" s="17">
        <f t="shared" ref="H38:J38" si="112">roundup((XLOOKUP($D38,$T$3:$T$10,$U$3:$U$10)*XLOOKUP(H$2,$AA$3:$AA$5,$AC$3:$AC$5)-ABS(XLOOKUP($C38,$Q$3:$Q$16,$R$3:$R$16)))*$B38,-5)</f>
        <v>34000000</v>
      </c>
      <c r="I38" s="17">
        <f t="shared" si="112"/>
        <v>97700000</v>
      </c>
      <c r="J38" s="17">
        <f t="shared" si="112"/>
        <v>106400000</v>
      </c>
      <c r="K38" s="17">
        <f t="shared" ref="K38:M38" si="113">roundup((XLOOKUP($D38,$T$3:$T$10,$U$3:$U$10)*XLOOKUP(K$2,$AA$3:$AA$5,$AD$3:$AD$5)-ABS(XLOOKUP($C38,$Q$3:$Q$16,$R$3:$R$16)))*$B38,-5)</f>
        <v>41000000</v>
      </c>
      <c r="L38" s="17">
        <f t="shared" si="113"/>
        <v>111000000</v>
      </c>
      <c r="M38" s="17">
        <f t="shared" si="113"/>
        <v>120500000</v>
      </c>
    </row>
    <row r="39">
      <c r="A39" s="14" t="s">
        <v>76</v>
      </c>
      <c r="B39" s="14">
        <v>208.0</v>
      </c>
      <c r="C39" s="15">
        <f t="shared" si="4"/>
        <v>13</v>
      </c>
      <c r="D39" s="14" t="s">
        <v>33</v>
      </c>
      <c r="E39" s="16">
        <f t="shared" ref="E39:G39" si="114">ROUNDUP((XLOOKUP($D39,$T$3:$T$10,$U$3:$U$10)*XLOOKUP(E$2,$AA$3:$AA$5,$AB$3:$AB$5)-ABS(XLOOKUP($C39,$Q$3:$Q$16,$R$3:$R$16)))*$B39,-5)</f>
        <v>41000000</v>
      </c>
      <c r="F39" s="16">
        <f t="shared" si="114"/>
        <v>75900000</v>
      </c>
      <c r="G39" s="16">
        <f t="shared" si="114"/>
        <v>83100000</v>
      </c>
      <c r="H39" s="17">
        <f t="shared" ref="H39:J39" si="115">roundup((XLOOKUP($D39,$T$3:$T$10,$U$3:$U$10)*XLOOKUP(H$2,$AA$3:$AA$5,$AC$3:$AC$5)-ABS(XLOOKUP($C39,$Q$3:$Q$16,$R$3:$R$16)))*$B39,-5)</f>
        <v>33000000</v>
      </c>
      <c r="I39" s="17">
        <f t="shared" si="115"/>
        <v>95000000</v>
      </c>
      <c r="J39" s="17">
        <f t="shared" si="115"/>
        <v>103400000</v>
      </c>
      <c r="K39" s="17">
        <f t="shared" ref="K39:M39" si="116">roundup((XLOOKUP($D39,$T$3:$T$10,$U$3:$U$10)*XLOOKUP(K$2,$AA$3:$AA$5,$AD$3:$AD$5)-ABS(XLOOKUP($C39,$Q$3:$Q$16,$R$3:$R$16)))*$B39,-5)</f>
        <v>39900000</v>
      </c>
      <c r="L39" s="17">
        <f t="shared" si="116"/>
        <v>107900000</v>
      </c>
      <c r="M39" s="17">
        <f t="shared" si="116"/>
        <v>117100000</v>
      </c>
    </row>
    <row r="40">
      <c r="A40" s="14" t="s">
        <v>77</v>
      </c>
      <c r="B40" s="14">
        <v>132.0</v>
      </c>
      <c r="C40" s="15">
        <f t="shared" si="4"/>
        <v>11</v>
      </c>
      <c r="D40" s="14" t="s">
        <v>33</v>
      </c>
      <c r="E40" s="16">
        <f t="shared" ref="E40:G40" si="117">ROUNDUP((XLOOKUP($D40,$T$3:$T$10,$U$3:$U$10)*XLOOKUP(E$2,$AA$3:$AA$5,$AB$3:$AB$5)-ABS(XLOOKUP($C40,$Q$3:$Q$16,$R$3:$R$16)))*$B40,-5)</f>
        <v>28700000</v>
      </c>
      <c r="F40" s="16">
        <f t="shared" si="117"/>
        <v>50800000</v>
      </c>
      <c r="G40" s="16">
        <f t="shared" si="117"/>
        <v>55400000</v>
      </c>
      <c r="H40" s="17">
        <f t="shared" ref="H40:J40" si="118">roundup((XLOOKUP($D40,$T$3:$T$10,$U$3:$U$10)*XLOOKUP(H$2,$AA$3:$AA$5,$AC$3:$AC$5)-ABS(XLOOKUP($C40,$Q$3:$Q$16,$R$3:$R$16)))*$B40,-5)</f>
        <v>23600000</v>
      </c>
      <c r="I40" s="17">
        <f t="shared" si="118"/>
        <v>62900000</v>
      </c>
      <c r="J40" s="17">
        <f t="shared" si="118"/>
        <v>68300000</v>
      </c>
      <c r="K40" s="17">
        <f t="shared" ref="K40:M40" si="119">roundup((XLOOKUP($D40,$T$3:$T$10,$U$3:$U$10)*XLOOKUP(K$2,$AA$3:$AA$5,$AD$3:$AD$5)-ABS(XLOOKUP($C40,$Q$3:$Q$16,$R$3:$R$16)))*$B40,-5)</f>
        <v>28000000</v>
      </c>
      <c r="L40" s="17">
        <f t="shared" si="119"/>
        <v>71100000</v>
      </c>
      <c r="M40" s="17">
        <f t="shared" si="119"/>
        <v>77000000</v>
      </c>
    </row>
    <row r="41">
      <c r="A41" s="14" t="s">
        <v>78</v>
      </c>
      <c r="B41" s="14">
        <v>212.0</v>
      </c>
      <c r="C41" s="15">
        <f t="shared" si="4"/>
        <v>13</v>
      </c>
      <c r="D41" s="14" t="s">
        <v>33</v>
      </c>
      <c r="E41" s="16">
        <f t="shared" ref="E41:G41" si="120">ROUNDUP((XLOOKUP($D41,$T$3:$T$10,$U$3:$U$10)*XLOOKUP(E$2,$AA$3:$AA$5,$AB$3:$AB$5)-ABS(XLOOKUP($C41,$Q$3:$Q$16,$R$3:$R$16)))*$B41,-5)</f>
        <v>41700000</v>
      </c>
      <c r="F41" s="16">
        <f t="shared" si="120"/>
        <v>77400000</v>
      </c>
      <c r="G41" s="16">
        <f t="shared" si="120"/>
        <v>84700000</v>
      </c>
      <c r="H41" s="17">
        <f t="shared" ref="H41:J41" si="121">roundup((XLOOKUP($D41,$T$3:$T$10,$U$3:$U$10)*XLOOKUP(H$2,$AA$3:$AA$5,$AC$3:$AC$5)-ABS(XLOOKUP($C41,$Q$3:$Q$16,$R$3:$R$16)))*$B41,-5)</f>
        <v>33600000</v>
      </c>
      <c r="I41" s="17">
        <f t="shared" si="121"/>
        <v>96800000</v>
      </c>
      <c r="J41" s="17">
        <f t="shared" si="121"/>
        <v>105400000</v>
      </c>
      <c r="K41" s="17">
        <f t="shared" ref="K41:M41" si="122">roundup((XLOOKUP($D41,$T$3:$T$10,$U$3:$U$10)*XLOOKUP(K$2,$AA$3:$AA$5,$AD$3:$AD$5)-ABS(XLOOKUP($C41,$Q$3:$Q$16,$R$3:$R$16)))*$B41,-5)</f>
        <v>40600000</v>
      </c>
      <c r="L41" s="17">
        <f t="shared" si="122"/>
        <v>109900000</v>
      </c>
      <c r="M41" s="17">
        <f t="shared" si="122"/>
        <v>119400000</v>
      </c>
    </row>
    <row r="42">
      <c r="A42" s="14" t="s">
        <v>79</v>
      </c>
      <c r="B42" s="14">
        <v>296.0</v>
      </c>
      <c r="C42" s="15">
        <f t="shared" si="4"/>
        <v>14</v>
      </c>
      <c r="D42" s="14" t="s">
        <v>33</v>
      </c>
      <c r="E42" s="16">
        <f t="shared" ref="E42:G42" si="123">ROUNDUP((XLOOKUP($D42,$T$3:$T$10,$U$3:$U$10)*XLOOKUP(E$2,$AA$3:$AA$5,$AB$3:$AB$5)-ABS(XLOOKUP($C42,$Q$3:$Q$16,$R$3:$R$16)))*$B42,-5)</f>
        <v>55600000</v>
      </c>
      <c r="F42" s="16">
        <f t="shared" si="123"/>
        <v>105300000</v>
      </c>
      <c r="G42" s="16">
        <f t="shared" si="123"/>
        <v>115600000</v>
      </c>
      <c r="H42" s="17">
        <f t="shared" ref="H42:J42" si="124">roundup((XLOOKUP($D42,$T$3:$T$10,$U$3:$U$10)*XLOOKUP(H$2,$AA$3:$AA$5,$AC$3:$AC$5)-ABS(XLOOKUP($C42,$Q$3:$Q$16,$R$3:$R$16)))*$B42,-5)</f>
        <v>44300000</v>
      </c>
      <c r="I42" s="17">
        <f t="shared" si="124"/>
        <v>132400000</v>
      </c>
      <c r="J42" s="17">
        <f t="shared" si="124"/>
        <v>144500000</v>
      </c>
      <c r="K42" s="17">
        <f t="shared" ref="K42:M42" si="125">roundup((XLOOKUP($D42,$T$3:$T$10,$U$3:$U$10)*XLOOKUP(K$2,$AA$3:$AA$5,$AD$3:$AD$5)-ABS(XLOOKUP($C42,$Q$3:$Q$16,$R$3:$R$16)))*$B42,-5)</f>
        <v>54100000</v>
      </c>
      <c r="L42" s="17">
        <f t="shared" si="125"/>
        <v>150800000</v>
      </c>
      <c r="M42" s="17">
        <f t="shared" si="125"/>
        <v>164000000</v>
      </c>
    </row>
    <row r="43">
      <c r="A43" s="14" t="s">
        <v>80</v>
      </c>
      <c r="B43" s="14">
        <v>95.0</v>
      </c>
      <c r="C43" s="15">
        <f t="shared" si="4"/>
        <v>11</v>
      </c>
      <c r="D43" s="14" t="s">
        <v>33</v>
      </c>
      <c r="E43" s="16">
        <f t="shared" ref="E43:G43" si="126">ROUNDUP((XLOOKUP($D43,$T$3:$T$10,$U$3:$U$10)*XLOOKUP(E$2,$AA$3:$AA$5,$AB$3:$AB$5)-ABS(XLOOKUP($C43,$Q$3:$Q$16,$R$3:$R$16)))*$B43,-5)</f>
        <v>20600000</v>
      </c>
      <c r="F43" s="16">
        <f t="shared" si="126"/>
        <v>36600000</v>
      </c>
      <c r="G43" s="16">
        <f t="shared" si="126"/>
        <v>39900000</v>
      </c>
      <c r="H43" s="17">
        <f t="shared" ref="H43:J43" si="127">roundup((XLOOKUP($D43,$T$3:$T$10,$U$3:$U$10)*XLOOKUP(H$2,$AA$3:$AA$5,$AC$3:$AC$5)-ABS(XLOOKUP($C43,$Q$3:$Q$16,$R$3:$R$16)))*$B43,-5)</f>
        <v>17000000</v>
      </c>
      <c r="I43" s="17">
        <f t="shared" si="127"/>
        <v>45300000</v>
      </c>
      <c r="J43" s="17">
        <f t="shared" si="127"/>
        <v>49200000</v>
      </c>
      <c r="K43" s="17">
        <f t="shared" ref="K43:M43" si="128">roundup((XLOOKUP($D43,$T$3:$T$10,$U$3:$U$10)*XLOOKUP(K$2,$AA$3:$AA$5,$AD$3:$AD$5)-ABS(XLOOKUP($C43,$Q$3:$Q$16,$R$3:$R$16)))*$B43,-5)</f>
        <v>20100000</v>
      </c>
      <c r="L43" s="17">
        <f t="shared" si="128"/>
        <v>51200000</v>
      </c>
      <c r="M43" s="17">
        <f t="shared" si="128"/>
        <v>55400000</v>
      </c>
    </row>
    <row r="44">
      <c r="A44" s="14" t="s">
        <v>81</v>
      </c>
      <c r="B44" s="14">
        <v>115.0</v>
      </c>
      <c r="C44" s="15">
        <f t="shared" si="4"/>
        <v>11</v>
      </c>
      <c r="D44" s="14" t="s">
        <v>33</v>
      </c>
      <c r="E44" s="16">
        <f t="shared" ref="E44:G44" si="129">ROUNDUP((XLOOKUP($D44,$T$3:$T$10,$U$3:$U$10)*XLOOKUP(E$2,$AA$3:$AA$5,$AB$3:$AB$5)-ABS(XLOOKUP($C44,$Q$3:$Q$16,$R$3:$R$16)))*$B44,-5)</f>
        <v>25000000</v>
      </c>
      <c r="F44" s="16">
        <f t="shared" si="129"/>
        <v>44300000</v>
      </c>
      <c r="G44" s="16">
        <f t="shared" si="129"/>
        <v>48300000</v>
      </c>
      <c r="H44" s="17">
        <f t="shared" ref="H44:J44" si="130">roundup((XLOOKUP($D44,$T$3:$T$10,$U$3:$U$10)*XLOOKUP(H$2,$AA$3:$AA$5,$AC$3:$AC$5)-ABS(XLOOKUP($C44,$Q$3:$Q$16,$R$3:$R$16)))*$B44,-5)</f>
        <v>20600000</v>
      </c>
      <c r="I44" s="17">
        <f t="shared" si="130"/>
        <v>54800000</v>
      </c>
      <c r="J44" s="17">
        <f t="shared" si="130"/>
        <v>59500000</v>
      </c>
      <c r="K44" s="17">
        <f t="shared" ref="K44:M44" si="131">roundup((XLOOKUP($D44,$T$3:$T$10,$U$3:$U$10)*XLOOKUP(K$2,$AA$3:$AA$5,$AD$3:$AD$5)-ABS(XLOOKUP($C44,$Q$3:$Q$16,$R$3:$R$16)))*$B44,-5)</f>
        <v>24400000</v>
      </c>
      <c r="L44" s="17">
        <f t="shared" si="131"/>
        <v>62000000</v>
      </c>
      <c r="M44" s="17">
        <f t="shared" si="131"/>
        <v>67100000</v>
      </c>
    </row>
    <row r="45">
      <c r="A45" s="14" t="s">
        <v>82</v>
      </c>
      <c r="B45" s="14">
        <v>257.0</v>
      </c>
      <c r="C45" s="15">
        <f t="shared" si="4"/>
        <v>14</v>
      </c>
      <c r="D45" s="14" t="s">
        <v>33</v>
      </c>
      <c r="E45" s="16">
        <f t="shared" ref="E45:G45" si="132">ROUNDUP((XLOOKUP($D45,$T$3:$T$10,$U$3:$U$10)*XLOOKUP(E$2,$AA$3:$AA$5,$AB$3:$AB$5)-ABS(XLOOKUP($C45,$Q$3:$Q$16,$R$3:$R$16)))*$B45,-5)</f>
        <v>48300000</v>
      </c>
      <c r="F45" s="16">
        <f t="shared" si="132"/>
        <v>91500000</v>
      </c>
      <c r="G45" s="16">
        <f t="shared" si="132"/>
        <v>100400000</v>
      </c>
      <c r="H45" s="17">
        <f t="shared" ref="H45:J45" si="133">roundup((XLOOKUP($D45,$T$3:$T$10,$U$3:$U$10)*XLOOKUP(H$2,$AA$3:$AA$5,$AC$3:$AC$5)-ABS(XLOOKUP($C45,$Q$3:$Q$16,$R$3:$R$16)))*$B45,-5)</f>
        <v>38500000</v>
      </c>
      <c r="I45" s="17">
        <f t="shared" si="133"/>
        <v>115000000</v>
      </c>
      <c r="J45" s="17">
        <f t="shared" si="133"/>
        <v>125400000</v>
      </c>
      <c r="K45" s="17">
        <f t="shared" ref="K45:M45" si="134">roundup((XLOOKUP($D45,$T$3:$T$10,$U$3:$U$10)*XLOOKUP(K$2,$AA$3:$AA$5,$AD$3:$AD$5)-ABS(XLOOKUP($C45,$Q$3:$Q$16,$R$3:$R$16)))*$B45,-5)</f>
        <v>46900000</v>
      </c>
      <c r="L45" s="17">
        <f t="shared" si="134"/>
        <v>130900000</v>
      </c>
      <c r="M45" s="17">
        <f t="shared" si="134"/>
        <v>142400000</v>
      </c>
    </row>
    <row r="46">
      <c r="A46" s="14" t="s">
        <v>83</v>
      </c>
      <c r="B46" s="14">
        <v>156.0</v>
      </c>
      <c r="C46" s="15">
        <f t="shared" si="4"/>
        <v>11</v>
      </c>
      <c r="D46" s="14" t="s">
        <v>33</v>
      </c>
      <c r="E46" s="16">
        <f t="shared" ref="E46:G46" si="135">ROUNDUP((XLOOKUP($D46,$T$3:$T$10,$U$3:$U$10)*XLOOKUP(E$2,$AA$3:$AA$5,$AB$3:$AB$5)-ABS(XLOOKUP($C46,$Q$3:$Q$16,$R$3:$R$16)))*$B46,-5)</f>
        <v>33900000</v>
      </c>
      <c r="F46" s="16">
        <f t="shared" si="135"/>
        <v>60100000</v>
      </c>
      <c r="G46" s="16">
        <f t="shared" si="135"/>
        <v>65500000</v>
      </c>
      <c r="H46" s="17">
        <f t="shared" ref="H46:J46" si="136">roundup((XLOOKUP($D46,$T$3:$T$10,$U$3:$U$10)*XLOOKUP(H$2,$AA$3:$AA$5,$AC$3:$AC$5)-ABS(XLOOKUP($C46,$Q$3:$Q$16,$R$3:$R$16)))*$B46,-5)</f>
        <v>27900000</v>
      </c>
      <c r="I46" s="17">
        <f t="shared" si="136"/>
        <v>74400000</v>
      </c>
      <c r="J46" s="17">
        <f t="shared" si="136"/>
        <v>80700000</v>
      </c>
      <c r="K46" s="17">
        <f t="shared" ref="K46:M46" si="137">roundup((XLOOKUP($D46,$T$3:$T$10,$U$3:$U$10)*XLOOKUP(K$2,$AA$3:$AA$5,$AD$3:$AD$5)-ABS(XLOOKUP($C46,$Q$3:$Q$16,$R$3:$R$16)))*$B46,-5)</f>
        <v>33000000</v>
      </c>
      <c r="L46" s="17">
        <f t="shared" si="137"/>
        <v>84000000</v>
      </c>
      <c r="M46" s="17">
        <f t="shared" si="137"/>
        <v>91000000</v>
      </c>
    </row>
    <row r="47">
      <c r="A47" s="14" t="s">
        <v>84</v>
      </c>
      <c r="B47" s="14">
        <v>173.0</v>
      </c>
      <c r="C47" s="15">
        <f t="shared" si="4"/>
        <v>12</v>
      </c>
      <c r="D47" s="14" t="s">
        <v>33</v>
      </c>
      <c r="E47" s="16">
        <f t="shared" ref="E47:G47" si="138">ROUNDUP((XLOOKUP($D47,$T$3:$T$10,$U$3:$U$10)*XLOOKUP(E$2,$AA$3:$AA$5,$AB$3:$AB$5)-ABS(XLOOKUP($C47,$Q$3:$Q$16,$R$3:$R$16)))*$B47,-5)</f>
        <v>36700000</v>
      </c>
      <c r="F47" s="16">
        <f t="shared" si="138"/>
        <v>65700000</v>
      </c>
      <c r="G47" s="16">
        <f t="shared" si="138"/>
        <v>71800000</v>
      </c>
      <c r="H47" s="17">
        <f t="shared" ref="H47:J47" si="139">roundup((XLOOKUP($D47,$T$3:$T$10,$U$3:$U$10)*XLOOKUP(H$2,$AA$3:$AA$5,$AC$3:$AC$5)-ABS(XLOOKUP($C47,$Q$3:$Q$16,$R$3:$R$16)))*$B47,-5)</f>
        <v>30100000</v>
      </c>
      <c r="I47" s="17">
        <f t="shared" si="139"/>
        <v>81600000</v>
      </c>
      <c r="J47" s="17">
        <f t="shared" si="139"/>
        <v>88600000</v>
      </c>
      <c r="K47" s="17">
        <f t="shared" ref="K47:M47" si="140">roundup((XLOOKUP($D47,$T$3:$T$10,$U$3:$U$10)*XLOOKUP(K$2,$AA$3:$AA$5,$AD$3:$AD$5)-ABS(XLOOKUP($C47,$Q$3:$Q$16,$R$3:$R$16)))*$B47,-5)</f>
        <v>35800000</v>
      </c>
      <c r="L47" s="17">
        <f t="shared" si="140"/>
        <v>92300000</v>
      </c>
      <c r="M47" s="17">
        <f t="shared" si="140"/>
        <v>100000000</v>
      </c>
    </row>
    <row r="48">
      <c r="A48" s="14" t="s">
        <v>85</v>
      </c>
      <c r="B48" s="14">
        <v>82.0</v>
      </c>
      <c r="C48" s="15">
        <f t="shared" si="4"/>
        <v>11</v>
      </c>
      <c r="D48" s="14" t="s">
        <v>33</v>
      </c>
      <c r="E48" s="16">
        <f t="shared" ref="E48:G48" si="141">ROUNDUP((XLOOKUP($D48,$T$3:$T$10,$U$3:$U$10)*XLOOKUP(E$2,$AA$3:$AA$5,$AB$3:$AB$5)-ABS(XLOOKUP($C48,$Q$3:$Q$16,$R$3:$R$16)))*$B48,-5)</f>
        <v>17800000</v>
      </c>
      <c r="F48" s="16">
        <f t="shared" si="141"/>
        <v>31600000</v>
      </c>
      <c r="G48" s="16">
        <f t="shared" si="141"/>
        <v>34400000</v>
      </c>
      <c r="H48" s="17">
        <f t="shared" ref="H48:J48" si="142">roundup((XLOOKUP($D48,$T$3:$T$10,$U$3:$U$10)*XLOOKUP(H$2,$AA$3:$AA$5,$AC$3:$AC$5)-ABS(XLOOKUP($C48,$Q$3:$Q$16,$R$3:$R$16)))*$B48,-5)</f>
        <v>14700000</v>
      </c>
      <c r="I48" s="17">
        <f t="shared" si="142"/>
        <v>39100000</v>
      </c>
      <c r="J48" s="17">
        <f t="shared" si="142"/>
        <v>42400000</v>
      </c>
      <c r="K48" s="17">
        <f t="shared" ref="K48:M48" si="143">roundup((XLOOKUP($D48,$T$3:$T$10,$U$3:$U$10)*XLOOKUP(K$2,$AA$3:$AA$5,$AD$3:$AD$5)-ABS(XLOOKUP($C48,$Q$3:$Q$16,$R$3:$R$16)))*$B48,-5)</f>
        <v>17400000</v>
      </c>
      <c r="L48" s="17">
        <f t="shared" si="143"/>
        <v>44200000</v>
      </c>
      <c r="M48" s="17">
        <f t="shared" si="143"/>
        <v>47800000</v>
      </c>
    </row>
    <row r="49">
      <c r="A49" s="14" t="s">
        <v>86</v>
      </c>
      <c r="B49" s="14">
        <v>133.0</v>
      </c>
      <c r="C49" s="15">
        <f t="shared" si="4"/>
        <v>11</v>
      </c>
      <c r="D49" s="14" t="s">
        <v>33</v>
      </c>
      <c r="E49" s="16">
        <f t="shared" ref="E49:G49" si="144">ROUNDUP((XLOOKUP($D49,$T$3:$T$10,$U$3:$U$10)*XLOOKUP(E$2,$AA$3:$AA$5,$AB$3:$AB$5)-ABS(XLOOKUP($C49,$Q$3:$Q$16,$R$3:$R$16)))*$B49,-5)</f>
        <v>28900000</v>
      </c>
      <c r="F49" s="16">
        <f t="shared" si="144"/>
        <v>51200000</v>
      </c>
      <c r="G49" s="16">
        <f t="shared" si="144"/>
        <v>55800000</v>
      </c>
      <c r="H49" s="17">
        <f t="shared" ref="H49:J49" si="145">roundup((XLOOKUP($D49,$T$3:$T$10,$U$3:$U$10)*XLOOKUP(H$2,$AA$3:$AA$5,$AC$3:$AC$5)-ABS(XLOOKUP($C49,$Q$3:$Q$16,$R$3:$R$16)))*$B49,-5)</f>
        <v>23800000</v>
      </c>
      <c r="I49" s="17">
        <f t="shared" si="145"/>
        <v>63400000</v>
      </c>
      <c r="J49" s="17">
        <f t="shared" si="145"/>
        <v>68800000</v>
      </c>
      <c r="K49" s="17">
        <f t="shared" ref="K49:M49" si="146">roundup((XLOOKUP($D49,$T$3:$T$10,$U$3:$U$10)*XLOOKUP(K$2,$AA$3:$AA$5,$AD$3:$AD$5)-ABS(XLOOKUP($C49,$Q$3:$Q$16,$R$3:$R$16)))*$B49,-5)</f>
        <v>28200000</v>
      </c>
      <c r="L49" s="17">
        <f t="shared" si="146"/>
        <v>71600000</v>
      </c>
      <c r="M49" s="17">
        <f t="shared" si="146"/>
        <v>77600000</v>
      </c>
    </row>
    <row r="50">
      <c r="A50" s="14" t="s">
        <v>87</v>
      </c>
      <c r="B50" s="14">
        <v>168.0</v>
      </c>
      <c r="C50" s="15">
        <f t="shared" si="4"/>
        <v>12</v>
      </c>
      <c r="D50" s="14" t="s">
        <v>33</v>
      </c>
      <c r="E50" s="16">
        <f t="shared" ref="E50:G50" si="147">ROUNDUP((XLOOKUP($D50,$T$3:$T$10,$U$3:$U$10)*XLOOKUP(E$2,$AA$3:$AA$5,$AB$3:$AB$5)-ABS(XLOOKUP($C50,$Q$3:$Q$16,$R$3:$R$16)))*$B50,-5)</f>
        <v>35600000</v>
      </c>
      <c r="F50" s="16">
        <f t="shared" si="147"/>
        <v>63800000</v>
      </c>
      <c r="G50" s="16">
        <f t="shared" si="147"/>
        <v>69700000</v>
      </c>
      <c r="H50" s="17">
        <f t="shared" ref="H50:J50" si="148">roundup((XLOOKUP($D50,$T$3:$T$10,$U$3:$U$10)*XLOOKUP(H$2,$AA$3:$AA$5,$AC$3:$AC$5)-ABS(XLOOKUP($C50,$Q$3:$Q$16,$R$3:$R$16)))*$B50,-5)</f>
        <v>29200000</v>
      </c>
      <c r="I50" s="17">
        <f t="shared" si="148"/>
        <v>79200000</v>
      </c>
      <c r="J50" s="17">
        <f t="shared" si="148"/>
        <v>86000000</v>
      </c>
      <c r="K50" s="17">
        <f t="shared" ref="K50:M50" si="149">roundup((XLOOKUP($D50,$T$3:$T$10,$U$3:$U$10)*XLOOKUP(K$2,$AA$3:$AA$5,$AD$3:$AD$5)-ABS(XLOOKUP($C50,$Q$3:$Q$16,$R$3:$R$16)))*$B50,-5)</f>
        <v>34700000</v>
      </c>
      <c r="L50" s="17">
        <f t="shared" si="149"/>
        <v>89600000</v>
      </c>
      <c r="M50" s="17">
        <f t="shared" si="149"/>
        <v>97100000</v>
      </c>
    </row>
    <row r="51">
      <c r="A51" s="14" t="s">
        <v>88</v>
      </c>
      <c r="B51" s="14">
        <v>178.0</v>
      </c>
      <c r="C51" s="15">
        <f t="shared" si="4"/>
        <v>12</v>
      </c>
      <c r="D51" s="14" t="s">
        <v>33</v>
      </c>
      <c r="E51" s="16">
        <f t="shared" ref="E51:G51" si="150">ROUNDUP((XLOOKUP($D51,$T$3:$T$10,$U$3:$U$10)*XLOOKUP(E$2,$AA$3:$AA$5,$AB$3:$AB$5)-ABS(XLOOKUP($C51,$Q$3:$Q$16,$R$3:$R$16)))*$B51,-5)</f>
        <v>37700000</v>
      </c>
      <c r="F51" s="16">
        <f t="shared" si="150"/>
        <v>67600000</v>
      </c>
      <c r="G51" s="16">
        <f t="shared" si="150"/>
        <v>73800000</v>
      </c>
      <c r="H51" s="17">
        <f t="shared" ref="H51:J51" si="151">roundup((XLOOKUP($D51,$T$3:$T$10,$U$3:$U$10)*XLOOKUP(H$2,$AA$3:$AA$5,$AC$3:$AC$5)-ABS(XLOOKUP($C51,$Q$3:$Q$16,$R$3:$R$16)))*$B51,-5)</f>
        <v>30900000</v>
      </c>
      <c r="I51" s="17">
        <f t="shared" si="151"/>
        <v>83900000</v>
      </c>
      <c r="J51" s="17">
        <f t="shared" si="151"/>
        <v>91200000</v>
      </c>
      <c r="K51" s="17">
        <f t="shared" ref="K51:M51" si="152">roundup((XLOOKUP($D51,$T$3:$T$10,$U$3:$U$10)*XLOOKUP(K$2,$AA$3:$AA$5,$AD$3:$AD$5)-ABS(XLOOKUP($C51,$Q$3:$Q$16,$R$3:$R$16)))*$B51,-5)</f>
        <v>36800000</v>
      </c>
      <c r="L51" s="17">
        <f t="shared" si="152"/>
        <v>95000000</v>
      </c>
      <c r="M51" s="17">
        <f t="shared" si="152"/>
        <v>102900000</v>
      </c>
    </row>
    <row r="52">
      <c r="A52" s="14" t="s">
        <v>89</v>
      </c>
      <c r="B52" s="14">
        <v>162.0</v>
      </c>
      <c r="C52" s="15">
        <f t="shared" si="4"/>
        <v>12</v>
      </c>
      <c r="D52" s="14" t="s">
        <v>33</v>
      </c>
      <c r="E52" s="16">
        <f t="shared" ref="E52:G52" si="153">ROUNDUP((XLOOKUP($D52,$T$3:$T$10,$U$3:$U$10)*XLOOKUP(E$2,$AA$3:$AA$5,$AB$3:$AB$5)-ABS(XLOOKUP($C52,$Q$3:$Q$16,$R$3:$R$16)))*$B52,-5)</f>
        <v>34300000</v>
      </c>
      <c r="F52" s="16">
        <f t="shared" si="153"/>
        <v>61600000</v>
      </c>
      <c r="G52" s="16">
        <f t="shared" si="153"/>
        <v>67200000</v>
      </c>
      <c r="H52" s="17">
        <f t="shared" ref="H52:J52" si="154">roundup((XLOOKUP($D52,$T$3:$T$10,$U$3:$U$10)*XLOOKUP(H$2,$AA$3:$AA$5,$AC$3:$AC$5)-ABS(XLOOKUP($C52,$Q$3:$Q$16,$R$3:$R$16)))*$B52,-5)</f>
        <v>28100000</v>
      </c>
      <c r="I52" s="17">
        <f t="shared" si="154"/>
        <v>76400000</v>
      </c>
      <c r="J52" s="17">
        <f t="shared" si="154"/>
        <v>83000000</v>
      </c>
      <c r="K52" s="17">
        <f t="shared" ref="K52:M52" si="155">roundup((XLOOKUP($D52,$T$3:$T$10,$U$3:$U$10)*XLOOKUP(K$2,$AA$3:$AA$5,$AD$3:$AD$5)-ABS(XLOOKUP($C52,$Q$3:$Q$16,$R$3:$R$16)))*$B52,-5)</f>
        <v>33500000</v>
      </c>
      <c r="L52" s="17">
        <f t="shared" si="155"/>
        <v>86400000</v>
      </c>
      <c r="M52" s="17">
        <f t="shared" si="155"/>
        <v>93700000</v>
      </c>
    </row>
    <row r="53">
      <c r="A53" s="14" t="s">
        <v>90</v>
      </c>
      <c r="B53" s="14">
        <v>60.0</v>
      </c>
      <c r="C53" s="15">
        <f t="shared" si="4"/>
        <v>8</v>
      </c>
      <c r="D53" s="14" t="s">
        <v>33</v>
      </c>
      <c r="E53" s="16">
        <f t="shared" ref="E53:G53" si="156">ROUNDUP((XLOOKUP($D53,$T$3:$T$10,$U$3:$U$10)*XLOOKUP(E$2,$AA$3:$AA$5,$AB$3:$AB$5)-ABS(XLOOKUP($C53,$Q$3:$Q$16,$R$3:$R$16)))*$B53,-5)</f>
        <v>18800000</v>
      </c>
      <c r="F53" s="16">
        <f t="shared" si="156"/>
        <v>28800000</v>
      </c>
      <c r="G53" s="16">
        <f t="shared" si="156"/>
        <v>30900000</v>
      </c>
      <c r="H53" s="17">
        <f t="shared" ref="H53:J53" si="157">roundup((XLOOKUP($D53,$T$3:$T$10,$U$3:$U$10)*XLOOKUP(H$2,$AA$3:$AA$5,$AC$3:$AC$5)-ABS(XLOOKUP($C53,$Q$3:$Q$16,$R$3:$R$16)))*$B53,-5)</f>
        <v>16500000</v>
      </c>
      <c r="I53" s="17">
        <f t="shared" si="157"/>
        <v>34300000</v>
      </c>
      <c r="J53" s="17">
        <f t="shared" si="157"/>
        <v>36800000</v>
      </c>
      <c r="K53" s="17">
        <f t="shared" ref="K53:M53" si="158">roundup((XLOOKUP($D53,$T$3:$T$10,$U$3:$U$10)*XLOOKUP(K$2,$AA$3:$AA$5,$AD$3:$AD$5)-ABS(XLOOKUP($C53,$Q$3:$Q$16,$R$3:$R$16)))*$B53,-5)</f>
        <v>18400000</v>
      </c>
      <c r="L53" s="17">
        <f t="shared" si="158"/>
        <v>38000000</v>
      </c>
      <c r="M53" s="17">
        <f t="shared" si="158"/>
        <v>40700000</v>
      </c>
    </row>
    <row r="54">
      <c r="A54" s="14" t="s">
        <v>91</v>
      </c>
      <c r="B54" s="14">
        <v>186.0</v>
      </c>
      <c r="C54" s="15">
        <f t="shared" si="4"/>
        <v>13</v>
      </c>
      <c r="D54" s="14" t="s">
        <v>33</v>
      </c>
      <c r="E54" s="16">
        <f t="shared" ref="E54:G54" si="159">ROUNDUP((XLOOKUP($D54,$T$3:$T$10,$U$3:$U$10)*XLOOKUP(E$2,$AA$3:$AA$5,$AB$3:$AB$5)-ABS(XLOOKUP($C54,$Q$3:$Q$16,$R$3:$R$16)))*$B54,-5)</f>
        <v>36600000</v>
      </c>
      <c r="F54" s="16">
        <f t="shared" si="159"/>
        <v>67900000</v>
      </c>
      <c r="G54" s="16">
        <f t="shared" si="159"/>
        <v>74400000</v>
      </c>
      <c r="H54" s="17">
        <f t="shared" ref="H54:J54" si="160">roundup((XLOOKUP($D54,$T$3:$T$10,$U$3:$U$10)*XLOOKUP(H$2,$AA$3:$AA$5,$AC$3:$AC$5)-ABS(XLOOKUP($C54,$Q$3:$Q$16,$R$3:$R$16)))*$B54,-5)</f>
        <v>29500000</v>
      </c>
      <c r="I54" s="17">
        <f t="shared" si="160"/>
        <v>84900000</v>
      </c>
      <c r="J54" s="17">
        <f t="shared" si="160"/>
        <v>92500000</v>
      </c>
      <c r="K54" s="17">
        <f t="shared" ref="K54:M54" si="161">roundup((XLOOKUP($D54,$T$3:$T$10,$U$3:$U$10)*XLOOKUP(K$2,$AA$3:$AA$5,$AD$3:$AD$5)-ABS(XLOOKUP($C54,$Q$3:$Q$16,$R$3:$R$16)))*$B54,-5)</f>
        <v>35700000</v>
      </c>
      <c r="L54" s="17">
        <f t="shared" si="161"/>
        <v>96500000</v>
      </c>
      <c r="M54" s="17">
        <f t="shared" si="161"/>
        <v>104800000</v>
      </c>
    </row>
    <row r="55">
      <c r="A55" s="14" t="s">
        <v>92</v>
      </c>
      <c r="B55" s="14">
        <v>172.0</v>
      </c>
      <c r="C55" s="15">
        <f t="shared" si="4"/>
        <v>12</v>
      </c>
      <c r="D55" s="14" t="s">
        <v>33</v>
      </c>
      <c r="E55" s="16">
        <f t="shared" ref="E55:G55" si="162">ROUNDUP((XLOOKUP($D55,$T$3:$T$10,$U$3:$U$10)*XLOOKUP(E$2,$AA$3:$AA$5,$AB$3:$AB$5)-ABS(XLOOKUP($C55,$Q$3:$Q$16,$R$3:$R$16)))*$B55,-5)</f>
        <v>36500000</v>
      </c>
      <c r="F55" s="16">
        <f t="shared" si="162"/>
        <v>65400000</v>
      </c>
      <c r="G55" s="16">
        <f t="shared" si="162"/>
        <v>71300000</v>
      </c>
      <c r="H55" s="17">
        <f t="shared" ref="H55:J55" si="163">roundup((XLOOKUP($D55,$T$3:$T$10,$U$3:$U$10)*XLOOKUP(H$2,$AA$3:$AA$5,$AC$3:$AC$5)-ABS(XLOOKUP($C55,$Q$3:$Q$16,$R$3:$R$16)))*$B55,-5)</f>
        <v>29900000</v>
      </c>
      <c r="I55" s="17">
        <f t="shared" si="163"/>
        <v>81100000</v>
      </c>
      <c r="J55" s="17">
        <f t="shared" si="163"/>
        <v>88100000</v>
      </c>
      <c r="K55" s="17">
        <f t="shared" ref="K55:M55" si="164">roundup((XLOOKUP($D55,$T$3:$T$10,$U$3:$U$10)*XLOOKUP(K$2,$AA$3:$AA$5,$AD$3:$AD$5)-ABS(XLOOKUP($C55,$Q$3:$Q$16,$R$3:$R$16)))*$B55,-5)</f>
        <v>35600000</v>
      </c>
      <c r="L55" s="17">
        <f t="shared" si="164"/>
        <v>91800000</v>
      </c>
      <c r="M55" s="17">
        <f t="shared" si="164"/>
        <v>99500000</v>
      </c>
    </row>
    <row r="56">
      <c r="A56" s="14" t="s">
        <v>93</v>
      </c>
      <c r="B56" s="14">
        <v>134.0</v>
      </c>
      <c r="C56" s="15">
        <f t="shared" si="4"/>
        <v>11</v>
      </c>
      <c r="D56" s="14" t="s">
        <v>33</v>
      </c>
      <c r="E56" s="16">
        <f t="shared" ref="E56:G56" si="165">ROUNDUP((XLOOKUP($D56,$T$3:$T$10,$U$3:$U$10)*XLOOKUP(E$2,$AA$3:$AA$5,$AB$3:$AB$5)-ABS(XLOOKUP($C56,$Q$3:$Q$16,$R$3:$R$16)))*$B56,-5)</f>
        <v>29100000</v>
      </c>
      <c r="F56" s="16">
        <f t="shared" si="165"/>
        <v>51600000</v>
      </c>
      <c r="G56" s="16">
        <f t="shared" si="165"/>
        <v>56300000</v>
      </c>
      <c r="H56" s="17">
        <f t="shared" ref="H56:J56" si="166">roundup((XLOOKUP($D56,$T$3:$T$10,$U$3:$U$10)*XLOOKUP(H$2,$AA$3:$AA$5,$AC$3:$AC$5)-ABS(XLOOKUP($C56,$Q$3:$Q$16,$R$3:$R$16)))*$B56,-5)</f>
        <v>24000000</v>
      </c>
      <c r="I56" s="17">
        <f t="shared" si="166"/>
        <v>63900000</v>
      </c>
      <c r="J56" s="17">
        <f t="shared" si="166"/>
        <v>69300000</v>
      </c>
      <c r="K56" s="17">
        <f t="shared" ref="K56:M56" si="167">roundup((XLOOKUP($D56,$T$3:$T$10,$U$3:$U$10)*XLOOKUP(K$2,$AA$3:$AA$5,$AD$3:$AD$5)-ABS(XLOOKUP($C56,$Q$3:$Q$16,$R$3:$R$16)))*$B56,-5)</f>
        <v>28400000</v>
      </c>
      <c r="L56" s="17">
        <f t="shared" si="167"/>
        <v>72200000</v>
      </c>
      <c r="M56" s="17">
        <f t="shared" si="167"/>
        <v>78200000</v>
      </c>
    </row>
    <row r="57">
      <c r="A57" s="14" t="s">
        <v>94</v>
      </c>
      <c r="B57" s="14">
        <v>124.0</v>
      </c>
      <c r="C57" s="15">
        <f t="shared" si="4"/>
        <v>11</v>
      </c>
      <c r="D57" s="14" t="s">
        <v>33</v>
      </c>
      <c r="E57" s="16">
        <f t="shared" ref="E57:G57" si="168">ROUNDUP((XLOOKUP($D57,$T$3:$T$10,$U$3:$U$10)*XLOOKUP(E$2,$AA$3:$AA$5,$AB$3:$AB$5)-ABS(XLOOKUP($C57,$Q$3:$Q$16,$R$3:$R$16)))*$B57,-5)</f>
        <v>26900000</v>
      </c>
      <c r="F57" s="16">
        <f t="shared" si="168"/>
        <v>47800000</v>
      </c>
      <c r="G57" s="16">
        <f t="shared" si="168"/>
        <v>52100000</v>
      </c>
      <c r="H57" s="17">
        <f t="shared" ref="H57:J57" si="169">roundup((XLOOKUP($D57,$T$3:$T$10,$U$3:$U$10)*XLOOKUP(H$2,$AA$3:$AA$5,$AC$3:$AC$5)-ABS(XLOOKUP($C57,$Q$3:$Q$16,$R$3:$R$16)))*$B57,-5)</f>
        <v>22200000</v>
      </c>
      <c r="I57" s="17">
        <f t="shared" si="169"/>
        <v>59100000</v>
      </c>
      <c r="J57" s="17">
        <f t="shared" si="169"/>
        <v>64100000</v>
      </c>
      <c r="K57" s="17">
        <f t="shared" ref="K57:M57" si="170">roundup((XLOOKUP($D57,$T$3:$T$10,$U$3:$U$10)*XLOOKUP(K$2,$AA$3:$AA$5,$AD$3:$AD$5)-ABS(XLOOKUP($C57,$Q$3:$Q$16,$R$3:$R$16)))*$B57,-5)</f>
        <v>26300000</v>
      </c>
      <c r="L57" s="17">
        <f t="shared" si="170"/>
        <v>66800000</v>
      </c>
      <c r="M57" s="17">
        <f t="shared" si="170"/>
        <v>72300000</v>
      </c>
    </row>
    <row r="58">
      <c r="A58" s="14" t="s">
        <v>95</v>
      </c>
      <c r="B58" s="14">
        <v>146.0</v>
      </c>
      <c r="C58" s="15">
        <f t="shared" si="4"/>
        <v>11</v>
      </c>
      <c r="D58" s="14" t="s">
        <v>36</v>
      </c>
      <c r="E58" s="16">
        <f t="shared" ref="E58:G58" si="171">ROUNDUP((XLOOKUP($D58,$T$3:$T$10,$U$3:$U$10)*XLOOKUP(E$2,$AA$3:$AA$5,$AB$3:$AB$5)-ABS(XLOOKUP($C58,$Q$3:$Q$16,$R$3:$R$16)))*$B58,-5)</f>
        <v>38300000</v>
      </c>
      <c r="F58" s="16">
        <f t="shared" si="171"/>
        <v>65800000</v>
      </c>
      <c r="G58" s="16">
        <f t="shared" si="171"/>
        <v>71500000</v>
      </c>
      <c r="H58" s="17">
        <f t="shared" ref="H58:J58" si="172">roundup((XLOOKUP($D58,$T$3:$T$10,$U$3:$U$10)*XLOOKUP(H$2,$AA$3:$AA$5,$AC$3:$AC$5)-ABS(XLOOKUP($C58,$Q$3:$Q$16,$R$3:$R$16)))*$B58,-5)</f>
        <v>32100000</v>
      </c>
      <c r="I58" s="17">
        <f t="shared" si="172"/>
        <v>80800000</v>
      </c>
      <c r="J58" s="17">
        <f t="shared" si="172"/>
        <v>87400000</v>
      </c>
      <c r="K58" s="17">
        <f t="shared" ref="K58:M58" si="173">roundup((XLOOKUP($D58,$T$3:$T$10,$U$3:$U$10)*XLOOKUP(K$2,$AA$3:$AA$5,$AD$3:$AD$5)-ABS(XLOOKUP($C58,$Q$3:$Q$16,$R$3:$R$16)))*$B58,-5)</f>
        <v>37500000</v>
      </c>
      <c r="L58" s="17">
        <f t="shared" si="173"/>
        <v>91000000</v>
      </c>
      <c r="M58" s="17">
        <f t="shared" si="173"/>
        <v>98300000</v>
      </c>
    </row>
    <row r="59">
      <c r="A59" s="14" t="s">
        <v>96</v>
      </c>
      <c r="B59" s="14">
        <v>301.0</v>
      </c>
      <c r="C59" s="15">
        <f t="shared" si="4"/>
        <v>14</v>
      </c>
      <c r="D59" s="14" t="s">
        <v>36</v>
      </c>
      <c r="E59" s="16">
        <f t="shared" ref="E59:G59" si="174">ROUNDUP((XLOOKUP($D59,$T$3:$T$10,$U$3:$U$10)*XLOOKUP(E$2,$AA$3:$AA$5,$AB$3:$AB$5)-ABS(XLOOKUP($C59,$Q$3:$Q$16,$R$3:$R$16)))*$B59,-5)</f>
        <v>70200000</v>
      </c>
      <c r="F59" s="16">
        <f t="shared" si="174"/>
        <v>126900000</v>
      </c>
      <c r="G59" s="16">
        <f t="shared" si="174"/>
        <v>138700000</v>
      </c>
      <c r="H59" s="17">
        <f t="shared" ref="H59:J59" si="175">roundup((XLOOKUP($D59,$T$3:$T$10,$U$3:$U$10)*XLOOKUP(H$2,$AA$3:$AA$5,$AC$3:$AC$5)-ABS(XLOOKUP($C59,$Q$3:$Q$16,$R$3:$R$16)))*$B59,-5)</f>
        <v>57300000</v>
      </c>
      <c r="I59" s="17">
        <f t="shared" si="175"/>
        <v>157800000</v>
      </c>
      <c r="J59" s="17">
        <f t="shared" si="175"/>
        <v>171500000</v>
      </c>
      <c r="K59" s="17">
        <f t="shared" ref="K59:M59" si="176">roundup((XLOOKUP($D59,$T$3:$T$10,$U$3:$U$10)*XLOOKUP(K$2,$AA$3:$AA$5,$AD$3:$AD$5)-ABS(XLOOKUP($C59,$Q$3:$Q$16,$R$3:$R$16)))*$B59,-5)</f>
        <v>68500000</v>
      </c>
      <c r="L59" s="17">
        <f t="shared" si="176"/>
        <v>178700000</v>
      </c>
      <c r="M59" s="17">
        <f t="shared" si="176"/>
        <v>193800000</v>
      </c>
    </row>
    <row r="60">
      <c r="A60" s="14" t="s">
        <v>97</v>
      </c>
      <c r="B60" s="14">
        <v>91.0</v>
      </c>
      <c r="C60" s="15">
        <f t="shared" si="4"/>
        <v>11</v>
      </c>
      <c r="D60" s="14" t="s">
        <v>36</v>
      </c>
      <c r="E60" s="16">
        <f t="shared" ref="E60:G60" si="177">ROUNDUP((XLOOKUP($D60,$T$3:$T$10,$U$3:$U$10)*XLOOKUP(E$2,$AA$3:$AA$5,$AB$3:$AB$5)-ABS(XLOOKUP($C60,$Q$3:$Q$16,$R$3:$R$16)))*$B60,-5)</f>
        <v>23900000</v>
      </c>
      <c r="F60" s="16">
        <f t="shared" si="177"/>
        <v>41000000</v>
      </c>
      <c r="G60" s="16">
        <f t="shared" si="177"/>
        <v>44600000</v>
      </c>
      <c r="H60" s="17">
        <f t="shared" ref="H60:J60" si="178">roundup((XLOOKUP($D60,$T$3:$T$10,$U$3:$U$10)*XLOOKUP(H$2,$AA$3:$AA$5,$AC$3:$AC$5)-ABS(XLOOKUP($C60,$Q$3:$Q$16,$R$3:$R$16)))*$B60,-5)</f>
        <v>20000000</v>
      </c>
      <c r="I60" s="17">
        <f t="shared" si="178"/>
        <v>50400000</v>
      </c>
      <c r="J60" s="17">
        <f t="shared" si="178"/>
        <v>54500000</v>
      </c>
      <c r="K60" s="17">
        <f t="shared" ref="K60:M60" si="179">roundup((XLOOKUP($D60,$T$3:$T$10,$U$3:$U$10)*XLOOKUP(K$2,$AA$3:$AA$5,$AD$3:$AD$5)-ABS(XLOOKUP($C60,$Q$3:$Q$16,$R$3:$R$16)))*$B60,-5)</f>
        <v>23400000</v>
      </c>
      <c r="L60" s="17">
        <f t="shared" si="179"/>
        <v>56700000</v>
      </c>
      <c r="M60" s="17">
        <f t="shared" si="179"/>
        <v>61300000</v>
      </c>
    </row>
    <row r="61">
      <c r="A61" s="14" t="s">
        <v>98</v>
      </c>
      <c r="B61" s="14">
        <v>87.0</v>
      </c>
      <c r="C61" s="15">
        <f t="shared" si="4"/>
        <v>11</v>
      </c>
      <c r="D61" s="14" t="s">
        <v>33</v>
      </c>
      <c r="E61" s="16">
        <f t="shared" ref="E61:G61" si="180">ROUNDUP((XLOOKUP($D61,$T$3:$T$10,$U$3:$U$10)*XLOOKUP(E$2,$AA$3:$AA$5,$AB$3:$AB$5)-ABS(XLOOKUP($C61,$Q$3:$Q$16,$R$3:$R$16)))*$B61,-5)</f>
        <v>18900000</v>
      </c>
      <c r="F61" s="16">
        <f t="shared" si="180"/>
        <v>33500000</v>
      </c>
      <c r="G61" s="16">
        <f t="shared" si="180"/>
        <v>36500000</v>
      </c>
      <c r="H61" s="17">
        <f t="shared" ref="H61:J61" si="181">roundup((XLOOKUP($D61,$T$3:$T$10,$U$3:$U$10)*XLOOKUP(H$2,$AA$3:$AA$5,$AC$3:$AC$5)-ABS(XLOOKUP($C61,$Q$3:$Q$16,$R$3:$R$16)))*$B61,-5)</f>
        <v>15600000</v>
      </c>
      <c r="I61" s="17">
        <f t="shared" si="181"/>
        <v>41500000</v>
      </c>
      <c r="J61" s="17">
        <f t="shared" si="181"/>
        <v>45000000</v>
      </c>
      <c r="K61" s="17">
        <f t="shared" ref="K61:M61" si="182">roundup((XLOOKUP($D61,$T$3:$T$10,$U$3:$U$10)*XLOOKUP(K$2,$AA$3:$AA$5,$AD$3:$AD$5)-ABS(XLOOKUP($C61,$Q$3:$Q$16,$R$3:$R$16)))*$B61,-5)</f>
        <v>18400000</v>
      </c>
      <c r="L61" s="17">
        <f t="shared" si="182"/>
        <v>46900000</v>
      </c>
      <c r="M61" s="17">
        <f t="shared" si="182"/>
        <v>50800000</v>
      </c>
    </row>
    <row r="62">
      <c r="A62" s="14" t="s">
        <v>99</v>
      </c>
      <c r="B62" s="14">
        <v>116.0</v>
      </c>
      <c r="C62" s="15">
        <f t="shared" si="4"/>
        <v>11</v>
      </c>
      <c r="D62" s="14" t="s">
        <v>36</v>
      </c>
      <c r="E62" s="16">
        <f t="shared" ref="E62:G62" si="183">ROUNDUP((XLOOKUP($D62,$T$3:$T$10,$U$3:$U$10)*XLOOKUP(E$2,$AA$3:$AA$5,$AB$3:$AB$5)-ABS(XLOOKUP($C62,$Q$3:$Q$16,$R$3:$R$16)))*$B62,-5)</f>
        <v>30500000</v>
      </c>
      <c r="F62" s="16">
        <f t="shared" si="183"/>
        <v>52300000</v>
      </c>
      <c r="G62" s="16">
        <f t="shared" si="183"/>
        <v>56800000</v>
      </c>
      <c r="H62" s="17">
        <f t="shared" ref="H62:J62" si="184">roundup((XLOOKUP($D62,$T$3:$T$10,$U$3:$U$10)*XLOOKUP(H$2,$AA$3:$AA$5,$AC$3:$AC$5)-ABS(XLOOKUP($C62,$Q$3:$Q$16,$R$3:$R$16)))*$B62,-5)</f>
        <v>25500000</v>
      </c>
      <c r="I62" s="17">
        <f t="shared" si="184"/>
        <v>64200000</v>
      </c>
      <c r="J62" s="17">
        <f t="shared" si="184"/>
        <v>69500000</v>
      </c>
      <c r="K62" s="17">
        <f t="shared" ref="K62:M62" si="185">roundup((XLOOKUP($D62,$T$3:$T$10,$U$3:$U$10)*XLOOKUP(K$2,$AA$3:$AA$5,$AD$3:$AD$5)-ABS(XLOOKUP($C62,$Q$3:$Q$16,$R$3:$R$16)))*$B62,-5)</f>
        <v>29800000</v>
      </c>
      <c r="L62" s="17">
        <f t="shared" si="185"/>
        <v>72300000</v>
      </c>
      <c r="M62" s="17">
        <f t="shared" si="185"/>
        <v>78100000</v>
      </c>
    </row>
    <row r="63">
      <c r="A63" s="14" t="s">
        <v>100</v>
      </c>
      <c r="B63" s="14">
        <v>141.0</v>
      </c>
      <c r="C63" s="15">
        <f t="shared" si="4"/>
        <v>11</v>
      </c>
      <c r="D63" s="14" t="s">
        <v>36</v>
      </c>
      <c r="E63" s="16">
        <f t="shared" ref="E63:G63" si="186">ROUNDUP((XLOOKUP($D63,$T$3:$T$10,$U$3:$U$10)*XLOOKUP(E$2,$AA$3:$AA$5,$AB$3:$AB$5)-ABS(XLOOKUP($C63,$Q$3:$Q$16,$R$3:$R$16)))*$B63,-5)</f>
        <v>37000000</v>
      </c>
      <c r="F63" s="16">
        <f t="shared" si="186"/>
        <v>63600000</v>
      </c>
      <c r="G63" s="16">
        <f t="shared" si="186"/>
        <v>69100000</v>
      </c>
      <c r="H63" s="17">
        <f t="shared" ref="H63:J63" si="187">roundup((XLOOKUP($D63,$T$3:$T$10,$U$3:$U$10)*XLOOKUP(H$2,$AA$3:$AA$5,$AC$3:$AC$5)-ABS(XLOOKUP($C63,$Q$3:$Q$16,$R$3:$R$16)))*$B63,-5)</f>
        <v>31000000</v>
      </c>
      <c r="I63" s="17">
        <f t="shared" si="187"/>
        <v>78000000</v>
      </c>
      <c r="J63" s="17">
        <f t="shared" si="187"/>
        <v>84500000</v>
      </c>
      <c r="K63" s="17">
        <f t="shared" ref="K63:M63" si="188">roundup((XLOOKUP($D63,$T$3:$T$10,$U$3:$U$10)*XLOOKUP(K$2,$AA$3:$AA$5,$AD$3:$AD$5)-ABS(XLOOKUP($C63,$Q$3:$Q$16,$R$3:$R$16)))*$B63,-5)</f>
        <v>36200000</v>
      </c>
      <c r="L63" s="17">
        <f t="shared" si="188"/>
        <v>87800000</v>
      </c>
      <c r="M63" s="17">
        <f t="shared" si="188"/>
        <v>94900000</v>
      </c>
    </row>
    <row r="64">
      <c r="A64" s="14" t="s">
        <v>101</v>
      </c>
      <c r="B64" s="14">
        <v>315.0</v>
      </c>
      <c r="C64" s="15">
        <f t="shared" si="4"/>
        <v>14</v>
      </c>
      <c r="D64" s="14" t="s">
        <v>36</v>
      </c>
      <c r="E64" s="16">
        <f t="shared" ref="E64:G64" si="189">ROUNDUP((XLOOKUP($D64,$T$3:$T$10,$U$3:$U$10)*XLOOKUP(E$2,$AA$3:$AA$5,$AB$3:$AB$5)-ABS(XLOOKUP($C64,$Q$3:$Q$16,$R$3:$R$16)))*$B64,-5)</f>
        <v>73500000</v>
      </c>
      <c r="F64" s="16">
        <f t="shared" si="189"/>
        <v>132800000</v>
      </c>
      <c r="G64" s="16">
        <f t="shared" si="189"/>
        <v>145100000</v>
      </c>
      <c r="H64" s="17">
        <f t="shared" ref="H64:J64" si="190">roundup((XLOOKUP($D64,$T$3:$T$10,$U$3:$U$10)*XLOOKUP(H$2,$AA$3:$AA$5,$AC$3:$AC$5)-ABS(XLOOKUP($C64,$Q$3:$Q$16,$R$3:$R$16)))*$B64,-5)</f>
        <v>60000000</v>
      </c>
      <c r="I64" s="17">
        <f t="shared" si="190"/>
        <v>165200000</v>
      </c>
      <c r="J64" s="17">
        <f t="shared" si="190"/>
        <v>179500000</v>
      </c>
      <c r="K64" s="17">
        <f t="shared" ref="K64:M64" si="191">roundup((XLOOKUP($D64,$T$3:$T$10,$U$3:$U$10)*XLOOKUP(K$2,$AA$3:$AA$5,$AD$3:$AD$5)-ABS(XLOOKUP($C64,$Q$3:$Q$16,$R$3:$R$16)))*$B64,-5)</f>
        <v>71700000</v>
      </c>
      <c r="L64" s="17">
        <f t="shared" si="191"/>
        <v>187000000</v>
      </c>
      <c r="M64" s="17">
        <f t="shared" si="191"/>
        <v>202800000</v>
      </c>
    </row>
    <row r="65">
      <c r="A65" s="14" t="s">
        <v>102</v>
      </c>
      <c r="B65" s="14">
        <v>333.0</v>
      </c>
      <c r="C65" s="15">
        <f t="shared" si="4"/>
        <v>14</v>
      </c>
      <c r="D65" s="14" t="s">
        <v>33</v>
      </c>
      <c r="E65" s="16">
        <f t="shared" ref="E65:G65" si="192">ROUNDUP((XLOOKUP($D65,$T$3:$T$10,$U$3:$U$10)*XLOOKUP(E$2,$AA$3:$AA$5,$AB$3:$AB$5)-ABS(XLOOKUP($C65,$Q$3:$Q$16,$R$3:$R$16)))*$B65,-5)</f>
        <v>62500000</v>
      </c>
      <c r="F65" s="16">
        <f t="shared" si="192"/>
        <v>118500000</v>
      </c>
      <c r="G65" s="16">
        <f t="shared" si="192"/>
        <v>130100000</v>
      </c>
      <c r="H65" s="17">
        <f t="shared" ref="H65:J65" si="193">roundup((XLOOKUP($D65,$T$3:$T$10,$U$3:$U$10)*XLOOKUP(H$2,$AA$3:$AA$5,$AC$3:$AC$5)-ABS(XLOOKUP($C65,$Q$3:$Q$16,$R$3:$R$16)))*$B65,-5)</f>
        <v>49800000</v>
      </c>
      <c r="I65" s="17">
        <f t="shared" si="193"/>
        <v>149000000</v>
      </c>
      <c r="J65" s="17">
        <f t="shared" si="193"/>
        <v>162500000</v>
      </c>
      <c r="K65" s="17">
        <f t="shared" ref="K65:M65" si="194">roundup((XLOOKUP($D65,$T$3:$T$10,$U$3:$U$10)*XLOOKUP(K$2,$AA$3:$AA$5,$AD$3:$AD$5)-ABS(XLOOKUP($C65,$Q$3:$Q$16,$R$3:$R$16)))*$B65,-5)</f>
        <v>60800000</v>
      </c>
      <c r="L65" s="17">
        <f t="shared" si="194"/>
        <v>169600000</v>
      </c>
      <c r="M65" s="17">
        <f t="shared" si="194"/>
        <v>184500000</v>
      </c>
    </row>
    <row r="66">
      <c r="A66" s="14" t="s">
        <v>103</v>
      </c>
      <c r="B66" s="14">
        <v>332.0</v>
      </c>
      <c r="C66" s="15">
        <f t="shared" si="4"/>
        <v>14</v>
      </c>
      <c r="D66" s="14" t="s">
        <v>36</v>
      </c>
      <c r="E66" s="16">
        <f t="shared" ref="E66:G66" si="195">ROUNDUP((XLOOKUP($D66,$T$3:$T$10,$U$3:$U$10)*XLOOKUP(E$2,$AA$3:$AA$5,$AB$3:$AB$5)-ABS(XLOOKUP($C66,$Q$3:$Q$16,$R$3:$R$16)))*$B66,-5)</f>
        <v>77500000</v>
      </c>
      <c r="F66" s="16">
        <f t="shared" si="195"/>
        <v>140000000</v>
      </c>
      <c r="G66" s="16">
        <f t="shared" si="195"/>
        <v>152900000</v>
      </c>
      <c r="H66" s="17">
        <f t="shared" ref="H66:J66" si="196">roundup((XLOOKUP($D66,$T$3:$T$10,$U$3:$U$10)*XLOOKUP(H$2,$AA$3:$AA$5,$AC$3:$AC$5)-ABS(XLOOKUP($C66,$Q$3:$Q$16,$R$3:$R$16)))*$B66,-5)</f>
        <v>63200000</v>
      </c>
      <c r="I66" s="17">
        <f t="shared" si="196"/>
        <v>174100000</v>
      </c>
      <c r="J66" s="17">
        <f t="shared" si="196"/>
        <v>189200000</v>
      </c>
      <c r="K66" s="17">
        <f t="shared" ref="K66:M66" si="197">roundup((XLOOKUP($D66,$T$3:$T$10,$U$3:$U$10)*XLOOKUP(K$2,$AA$3:$AA$5,$AD$3:$AD$5)-ABS(XLOOKUP($C66,$Q$3:$Q$16,$R$3:$R$16)))*$B66,-5)</f>
        <v>75500000</v>
      </c>
      <c r="L66" s="17">
        <f t="shared" si="197"/>
        <v>197100000</v>
      </c>
      <c r="M66" s="17">
        <f t="shared" si="197"/>
        <v>213700000</v>
      </c>
    </row>
    <row r="67">
      <c r="A67" s="14" t="s">
        <v>104</v>
      </c>
      <c r="B67" s="14">
        <v>376.0</v>
      </c>
      <c r="C67" s="15">
        <f t="shared" si="4"/>
        <v>14</v>
      </c>
      <c r="D67" s="14" t="s">
        <v>36</v>
      </c>
      <c r="E67" s="16">
        <f t="shared" ref="E67:G67" si="198">ROUNDUP((XLOOKUP($D67,$T$3:$T$10,$U$3:$U$10)*XLOOKUP(E$2,$AA$3:$AA$5,$AB$3:$AB$5)-ABS(XLOOKUP($C67,$Q$3:$Q$16,$R$3:$R$16)))*$B67,-5)</f>
        <v>87700000</v>
      </c>
      <c r="F67" s="16">
        <f t="shared" si="198"/>
        <v>158500000</v>
      </c>
      <c r="G67" s="16">
        <f t="shared" si="198"/>
        <v>173200000</v>
      </c>
      <c r="H67" s="17">
        <f t="shared" ref="H67:J67" si="199">roundup((XLOOKUP($D67,$T$3:$T$10,$U$3:$U$10)*XLOOKUP(H$2,$AA$3:$AA$5,$AC$3:$AC$5)-ABS(XLOOKUP($C67,$Q$3:$Q$16,$R$3:$R$16)))*$B67,-5)</f>
        <v>71600000</v>
      </c>
      <c r="I67" s="17">
        <f t="shared" si="199"/>
        <v>197100000</v>
      </c>
      <c r="J67" s="17">
        <f t="shared" si="199"/>
        <v>214200000</v>
      </c>
      <c r="K67" s="17">
        <f t="shared" ref="K67:M67" si="200">roundup((XLOOKUP($D67,$T$3:$T$10,$U$3:$U$10)*XLOOKUP(K$2,$AA$3:$AA$5,$AD$3:$AD$5)-ABS(XLOOKUP($C67,$Q$3:$Q$16,$R$3:$R$16)))*$B67,-5)</f>
        <v>85500000</v>
      </c>
      <c r="L67" s="17">
        <f t="shared" si="200"/>
        <v>223300000</v>
      </c>
      <c r="M67" s="17">
        <f t="shared" si="200"/>
        <v>242100000</v>
      </c>
    </row>
    <row r="68">
      <c r="A68" s="14" t="s">
        <v>105</v>
      </c>
      <c r="B68" s="14">
        <v>292.0</v>
      </c>
      <c r="C68" s="15">
        <f t="shared" si="4"/>
        <v>14</v>
      </c>
      <c r="D68" s="14" t="s">
        <v>36</v>
      </c>
      <c r="E68" s="16">
        <f t="shared" ref="E68:G68" si="201">ROUNDUP((XLOOKUP($D68,$T$3:$T$10,$U$3:$U$10)*XLOOKUP(E$2,$AA$3:$AA$5,$AB$3:$AB$5)-ABS(XLOOKUP($C68,$Q$3:$Q$16,$R$3:$R$16)))*$B68,-5)</f>
        <v>68100000</v>
      </c>
      <c r="F68" s="16">
        <f t="shared" si="201"/>
        <v>123100000</v>
      </c>
      <c r="G68" s="16">
        <f t="shared" si="201"/>
        <v>134500000</v>
      </c>
      <c r="H68" s="17">
        <f t="shared" ref="H68:J68" si="202">roundup((XLOOKUP($D68,$T$3:$T$10,$U$3:$U$10)*XLOOKUP(H$2,$AA$3:$AA$5,$AC$3:$AC$5)-ABS(XLOOKUP($C68,$Q$3:$Q$16,$R$3:$R$16)))*$B68,-5)</f>
        <v>55600000</v>
      </c>
      <c r="I68" s="17">
        <f t="shared" si="202"/>
        <v>153100000</v>
      </c>
      <c r="J68" s="17">
        <f t="shared" si="202"/>
        <v>166400000</v>
      </c>
      <c r="K68" s="17">
        <f t="shared" ref="K68:M68" si="203">roundup((XLOOKUP($D68,$T$3:$T$10,$U$3:$U$10)*XLOOKUP(K$2,$AA$3:$AA$5,$AD$3:$AD$5)-ABS(XLOOKUP($C68,$Q$3:$Q$16,$R$3:$R$16)))*$B68,-5)</f>
        <v>66400000</v>
      </c>
      <c r="L68" s="17">
        <f t="shared" si="203"/>
        <v>173400000</v>
      </c>
      <c r="M68" s="17">
        <f t="shared" si="203"/>
        <v>188000000</v>
      </c>
    </row>
    <row r="69">
      <c r="A69" s="14" t="s">
        <v>106</v>
      </c>
      <c r="B69" s="14">
        <v>236.0</v>
      </c>
      <c r="C69" s="15">
        <f t="shared" si="4"/>
        <v>14</v>
      </c>
      <c r="D69" s="14" t="s">
        <v>36</v>
      </c>
      <c r="E69" s="16">
        <f t="shared" ref="E69:G69" si="204">ROUNDUP((XLOOKUP($D69,$T$3:$T$10,$U$3:$U$10)*XLOOKUP(E$2,$AA$3:$AA$5,$AB$3:$AB$5)-ABS(XLOOKUP($C69,$Q$3:$Q$16,$R$3:$R$16)))*$B69,-5)</f>
        <v>55100000</v>
      </c>
      <c r="F69" s="16">
        <f t="shared" si="204"/>
        <v>99500000</v>
      </c>
      <c r="G69" s="16">
        <f t="shared" si="204"/>
        <v>108700000</v>
      </c>
      <c r="H69" s="17">
        <f t="shared" ref="H69:J69" si="205">roundup((XLOOKUP($D69,$T$3:$T$10,$U$3:$U$10)*XLOOKUP(H$2,$AA$3:$AA$5,$AC$3:$AC$5)-ABS(XLOOKUP($C69,$Q$3:$Q$16,$R$3:$R$16)))*$B69,-5)</f>
        <v>45000000</v>
      </c>
      <c r="I69" s="17">
        <f t="shared" si="205"/>
        <v>123700000</v>
      </c>
      <c r="J69" s="17">
        <f t="shared" si="205"/>
        <v>134500000</v>
      </c>
      <c r="K69" s="17">
        <f t="shared" ref="K69:M69" si="206">roundup((XLOOKUP($D69,$T$3:$T$10,$U$3:$U$10)*XLOOKUP(K$2,$AA$3:$AA$5,$AD$3:$AD$5)-ABS(XLOOKUP($C69,$Q$3:$Q$16,$R$3:$R$16)))*$B69,-5)</f>
        <v>53700000</v>
      </c>
      <c r="L69" s="17">
        <f t="shared" si="206"/>
        <v>140200000</v>
      </c>
      <c r="M69" s="17">
        <f t="shared" si="206"/>
        <v>152000000</v>
      </c>
    </row>
    <row r="70">
      <c r="A70" s="14" t="s">
        <v>107</v>
      </c>
      <c r="B70" s="14">
        <v>115.0</v>
      </c>
      <c r="C70" s="15">
        <f t="shared" si="4"/>
        <v>11</v>
      </c>
      <c r="D70" s="14" t="s">
        <v>36</v>
      </c>
      <c r="E70" s="16">
        <f t="shared" ref="E70:G70" si="207">ROUNDUP((XLOOKUP($D70,$T$3:$T$10,$U$3:$U$10)*XLOOKUP(E$2,$AA$3:$AA$5,$AB$3:$AB$5)-ABS(XLOOKUP($C70,$Q$3:$Q$16,$R$3:$R$16)))*$B70,-5)</f>
        <v>30200000</v>
      </c>
      <c r="F70" s="16">
        <f t="shared" si="207"/>
        <v>51900000</v>
      </c>
      <c r="G70" s="16">
        <f t="shared" si="207"/>
        <v>56300000</v>
      </c>
      <c r="H70" s="17">
        <f t="shared" ref="H70:J70" si="208">roundup((XLOOKUP($D70,$T$3:$T$10,$U$3:$U$10)*XLOOKUP(H$2,$AA$3:$AA$5,$AC$3:$AC$5)-ABS(XLOOKUP($C70,$Q$3:$Q$16,$R$3:$R$16)))*$B70,-5)</f>
        <v>25300000</v>
      </c>
      <c r="I70" s="17">
        <f t="shared" si="208"/>
        <v>63700000</v>
      </c>
      <c r="J70" s="17">
        <f t="shared" si="208"/>
        <v>68900000</v>
      </c>
      <c r="K70" s="17">
        <f t="shared" ref="K70:M70" si="209">roundup((XLOOKUP($D70,$T$3:$T$10,$U$3:$U$10)*XLOOKUP(K$2,$AA$3:$AA$5,$AD$3:$AD$5)-ABS(XLOOKUP($C70,$Q$3:$Q$16,$R$3:$R$16)))*$B70,-5)</f>
        <v>29500000</v>
      </c>
      <c r="L70" s="17">
        <f t="shared" si="209"/>
        <v>71700000</v>
      </c>
      <c r="M70" s="17">
        <f t="shared" si="209"/>
        <v>77400000</v>
      </c>
    </row>
    <row r="71">
      <c r="A71" s="14" t="s">
        <v>108</v>
      </c>
      <c r="B71" s="14">
        <v>62.0</v>
      </c>
      <c r="C71" s="15">
        <f t="shared" si="4"/>
        <v>9</v>
      </c>
      <c r="D71" s="14" t="s">
        <v>33</v>
      </c>
      <c r="E71" s="16">
        <f t="shared" ref="E71:G71" si="210">ROUNDUP((XLOOKUP($D71,$T$3:$T$10,$U$3:$U$10)*XLOOKUP(E$2,$AA$3:$AA$5,$AB$3:$AB$5)-ABS(XLOOKUP($C71,$Q$3:$Q$16,$R$3:$R$16)))*$B71,-5)</f>
        <v>19100000</v>
      </c>
      <c r="F71" s="16">
        <f t="shared" si="210"/>
        <v>29500000</v>
      </c>
      <c r="G71" s="16">
        <f t="shared" si="210"/>
        <v>31700000</v>
      </c>
      <c r="H71" s="17">
        <f t="shared" ref="H71:J71" si="211">roundup((XLOOKUP($D71,$T$3:$T$10,$U$3:$U$10)*XLOOKUP(H$2,$AA$3:$AA$5,$AC$3:$AC$5)-ABS(XLOOKUP($C71,$Q$3:$Q$16,$R$3:$R$16)))*$B71,-5)</f>
        <v>16800000</v>
      </c>
      <c r="I71" s="17">
        <f t="shared" si="211"/>
        <v>35200000</v>
      </c>
      <c r="J71" s="17">
        <f t="shared" si="211"/>
        <v>37700000</v>
      </c>
      <c r="K71" s="17">
        <f t="shared" ref="K71:M71" si="212">roundup((XLOOKUP($D71,$T$3:$T$10,$U$3:$U$10)*XLOOKUP(K$2,$AA$3:$AA$5,$AD$3:$AD$5)-ABS(XLOOKUP($C71,$Q$3:$Q$16,$R$3:$R$16)))*$B71,-5)</f>
        <v>18800000</v>
      </c>
      <c r="L71" s="17">
        <f t="shared" si="212"/>
        <v>39100000</v>
      </c>
      <c r="M71" s="17">
        <f t="shared" si="212"/>
        <v>41800000</v>
      </c>
    </row>
    <row r="72">
      <c r="A72" s="14" t="s">
        <v>109</v>
      </c>
      <c r="B72" s="14">
        <v>118.0</v>
      </c>
      <c r="C72" s="15">
        <f t="shared" si="4"/>
        <v>11</v>
      </c>
      <c r="D72" s="14" t="s">
        <v>33</v>
      </c>
      <c r="E72" s="16">
        <f t="shared" ref="E72:G72" si="213">ROUNDUP((XLOOKUP($D72,$T$3:$T$10,$U$3:$U$10)*XLOOKUP(E$2,$AA$3:$AA$5,$AB$3:$AB$5)-ABS(XLOOKUP($C72,$Q$3:$Q$16,$R$3:$R$16)))*$B72,-5)</f>
        <v>25600000</v>
      </c>
      <c r="F72" s="16">
        <f t="shared" si="213"/>
        <v>45400000</v>
      </c>
      <c r="G72" s="16">
        <f t="shared" si="213"/>
        <v>49600000</v>
      </c>
      <c r="H72" s="17">
        <f t="shared" ref="H72:J72" si="214">roundup((XLOOKUP($D72,$T$3:$T$10,$U$3:$U$10)*XLOOKUP(H$2,$AA$3:$AA$5,$AC$3:$AC$5)-ABS(XLOOKUP($C72,$Q$3:$Q$16,$R$3:$R$16)))*$B72,-5)</f>
        <v>21100000</v>
      </c>
      <c r="I72" s="17">
        <f t="shared" si="214"/>
        <v>56300000</v>
      </c>
      <c r="J72" s="17">
        <f t="shared" si="214"/>
        <v>61000000</v>
      </c>
      <c r="K72" s="17">
        <f t="shared" ref="K72:M72" si="215">roundup((XLOOKUP($D72,$T$3:$T$10,$U$3:$U$10)*XLOOKUP(K$2,$AA$3:$AA$5,$AD$3:$AD$5)-ABS(XLOOKUP($C72,$Q$3:$Q$16,$R$3:$R$16)))*$B72,-5)</f>
        <v>25000000</v>
      </c>
      <c r="L72" s="17">
        <f t="shared" si="215"/>
        <v>63600000</v>
      </c>
      <c r="M72" s="17">
        <f t="shared" si="215"/>
        <v>68800000</v>
      </c>
    </row>
    <row r="73">
      <c r="A73" s="14" t="s">
        <v>110</v>
      </c>
      <c r="B73" s="14">
        <v>90.0</v>
      </c>
      <c r="C73" s="15">
        <f t="shared" si="4"/>
        <v>11</v>
      </c>
      <c r="D73" s="14" t="s">
        <v>36</v>
      </c>
      <c r="E73" s="16">
        <f t="shared" ref="E73:G73" si="216">ROUNDUP((XLOOKUP($D73,$T$3:$T$10,$U$3:$U$10)*XLOOKUP(E$2,$AA$3:$AA$5,$AB$3:$AB$5)-ABS(XLOOKUP($C73,$Q$3:$Q$16,$R$3:$R$16)))*$B73,-5)</f>
        <v>23600000</v>
      </c>
      <c r="F73" s="16">
        <f t="shared" si="216"/>
        <v>40600000</v>
      </c>
      <c r="G73" s="16">
        <f t="shared" si="216"/>
        <v>44100000</v>
      </c>
      <c r="H73" s="17">
        <f t="shared" ref="H73:J73" si="217">roundup((XLOOKUP($D73,$T$3:$T$10,$U$3:$U$10)*XLOOKUP(H$2,$AA$3:$AA$5,$AC$3:$AC$5)-ABS(XLOOKUP($C73,$Q$3:$Q$16,$R$3:$R$16)))*$B73,-5)</f>
        <v>19800000</v>
      </c>
      <c r="I73" s="17">
        <f t="shared" si="217"/>
        <v>49800000</v>
      </c>
      <c r="J73" s="17">
        <f t="shared" si="217"/>
        <v>53900000</v>
      </c>
      <c r="K73" s="17">
        <f t="shared" ref="K73:M73" si="218">roundup((XLOOKUP($D73,$T$3:$T$10,$U$3:$U$10)*XLOOKUP(K$2,$AA$3:$AA$5,$AD$3:$AD$5)-ABS(XLOOKUP($C73,$Q$3:$Q$16,$R$3:$R$16)))*$B73,-5)</f>
        <v>23100000</v>
      </c>
      <c r="L73" s="17">
        <f t="shared" si="218"/>
        <v>56100000</v>
      </c>
      <c r="M73" s="17">
        <f t="shared" si="218"/>
        <v>60600000</v>
      </c>
    </row>
    <row r="74">
      <c r="A74" s="14" t="s">
        <v>111</v>
      </c>
      <c r="B74" s="14">
        <v>211.0</v>
      </c>
      <c r="C74" s="15">
        <f t="shared" si="4"/>
        <v>13</v>
      </c>
      <c r="D74" s="14" t="s">
        <v>36</v>
      </c>
      <c r="E74" s="16">
        <f t="shared" ref="E74:G74" si="219">ROUNDUP((XLOOKUP($D74,$T$3:$T$10,$U$3:$U$10)*XLOOKUP(E$2,$AA$3:$AA$5,$AB$3:$AB$5)-ABS(XLOOKUP($C74,$Q$3:$Q$16,$R$3:$R$16)))*$B74,-5)</f>
        <v>51100000</v>
      </c>
      <c r="F74" s="16">
        <f t="shared" si="219"/>
        <v>90900000</v>
      </c>
      <c r="G74" s="16">
        <f t="shared" si="219"/>
        <v>99100000</v>
      </c>
      <c r="H74" s="17">
        <f t="shared" ref="H74:J74" si="220">roundup((XLOOKUP($D74,$T$3:$T$10,$U$3:$U$10)*XLOOKUP(H$2,$AA$3:$AA$5,$AC$3:$AC$5)-ABS(XLOOKUP($C74,$Q$3:$Q$16,$R$3:$R$16)))*$B74,-5)</f>
        <v>42100000</v>
      </c>
      <c r="I74" s="17">
        <f t="shared" si="220"/>
        <v>112500000</v>
      </c>
      <c r="J74" s="17">
        <f t="shared" si="220"/>
        <v>122100000</v>
      </c>
      <c r="K74" s="17">
        <f t="shared" ref="K74:M74" si="221">roundup((XLOOKUP($D74,$T$3:$T$10,$U$3:$U$10)*XLOOKUP(K$2,$AA$3:$AA$5,$AD$3:$AD$5)-ABS(XLOOKUP($C74,$Q$3:$Q$16,$R$3:$R$16)))*$B74,-5)</f>
        <v>49900000</v>
      </c>
      <c r="L74" s="17">
        <f t="shared" si="221"/>
        <v>127200000</v>
      </c>
      <c r="M74" s="17">
        <f t="shared" si="221"/>
        <v>137800000</v>
      </c>
    </row>
    <row r="75">
      <c r="A75" s="14" t="s">
        <v>112</v>
      </c>
      <c r="B75" s="14">
        <v>249.0</v>
      </c>
      <c r="C75" s="15">
        <f t="shared" si="4"/>
        <v>14</v>
      </c>
      <c r="D75" s="14" t="s">
        <v>36</v>
      </c>
      <c r="E75" s="16">
        <f t="shared" ref="E75:G75" si="222">ROUNDUP((XLOOKUP($D75,$T$3:$T$10,$U$3:$U$10)*XLOOKUP(E$2,$AA$3:$AA$5,$AB$3:$AB$5)-ABS(XLOOKUP($C75,$Q$3:$Q$16,$R$3:$R$16)))*$B75,-5)</f>
        <v>58100000</v>
      </c>
      <c r="F75" s="16">
        <f t="shared" si="222"/>
        <v>105000000</v>
      </c>
      <c r="G75" s="16">
        <f t="shared" si="222"/>
        <v>114700000</v>
      </c>
      <c r="H75" s="17">
        <f t="shared" ref="H75:J75" si="223">roundup((XLOOKUP($D75,$T$3:$T$10,$U$3:$U$10)*XLOOKUP(H$2,$AA$3:$AA$5,$AC$3:$AC$5)-ABS(XLOOKUP($C75,$Q$3:$Q$16,$R$3:$R$16)))*$B75,-5)</f>
        <v>47400000</v>
      </c>
      <c r="I75" s="17">
        <f t="shared" si="223"/>
        <v>130600000</v>
      </c>
      <c r="J75" s="17">
        <f t="shared" si="223"/>
        <v>141900000</v>
      </c>
      <c r="K75" s="17">
        <f t="shared" ref="K75:M75" si="224">roundup((XLOOKUP($D75,$T$3:$T$10,$U$3:$U$10)*XLOOKUP(K$2,$AA$3:$AA$5,$AD$3:$AD$5)-ABS(XLOOKUP($C75,$Q$3:$Q$16,$R$3:$R$16)))*$B75,-5)</f>
        <v>56700000</v>
      </c>
      <c r="L75" s="17">
        <f t="shared" si="224"/>
        <v>147900000</v>
      </c>
      <c r="M75" s="17">
        <f t="shared" si="224"/>
        <v>160300000</v>
      </c>
    </row>
    <row r="76">
      <c r="A76" s="14" t="s">
        <v>113</v>
      </c>
      <c r="B76" s="14">
        <v>122.0</v>
      </c>
      <c r="C76" s="15">
        <f t="shared" si="4"/>
        <v>11</v>
      </c>
      <c r="D76" s="14" t="s">
        <v>33</v>
      </c>
      <c r="E76" s="16">
        <f t="shared" ref="E76:G76" si="225">ROUNDUP((XLOOKUP($D76,$T$3:$T$10,$U$3:$U$10)*XLOOKUP(E$2,$AA$3:$AA$5,$AB$3:$AB$5)-ABS(XLOOKUP($C76,$Q$3:$Q$16,$R$3:$R$16)))*$B76,-5)</f>
        <v>26500000</v>
      </c>
      <c r="F76" s="16">
        <f t="shared" si="225"/>
        <v>47000000</v>
      </c>
      <c r="G76" s="16">
        <f t="shared" si="225"/>
        <v>51200000</v>
      </c>
      <c r="H76" s="17">
        <f t="shared" ref="H76:J76" si="226">roundup((XLOOKUP($D76,$T$3:$T$10,$U$3:$U$10)*XLOOKUP(H$2,$AA$3:$AA$5,$AC$3:$AC$5)-ABS(XLOOKUP($C76,$Q$3:$Q$16,$R$3:$R$16)))*$B76,-5)</f>
        <v>21800000</v>
      </c>
      <c r="I76" s="17">
        <f t="shared" si="226"/>
        <v>58200000</v>
      </c>
      <c r="J76" s="17">
        <f t="shared" si="226"/>
        <v>63100000</v>
      </c>
      <c r="K76" s="17">
        <f t="shared" ref="K76:M76" si="227">roundup((XLOOKUP($D76,$T$3:$T$10,$U$3:$U$10)*XLOOKUP(K$2,$AA$3:$AA$5,$AD$3:$AD$5)-ABS(XLOOKUP($C76,$Q$3:$Q$16,$R$3:$R$16)))*$B76,-5)</f>
        <v>25800000</v>
      </c>
      <c r="L76" s="17">
        <f t="shared" si="227"/>
        <v>65700000</v>
      </c>
      <c r="M76" s="17">
        <f t="shared" si="227"/>
        <v>71200000</v>
      </c>
    </row>
    <row r="77">
      <c r="A77" s="14" t="s">
        <v>114</v>
      </c>
      <c r="B77" s="14">
        <v>298.0</v>
      </c>
      <c r="C77" s="15">
        <f t="shared" si="4"/>
        <v>14</v>
      </c>
      <c r="D77" s="14" t="s">
        <v>36</v>
      </c>
      <c r="E77" s="16">
        <f t="shared" ref="E77:G77" si="228">ROUNDUP((XLOOKUP($D77,$T$3:$T$10,$U$3:$U$10)*XLOOKUP(E$2,$AA$3:$AA$5,$AB$3:$AB$5)-ABS(XLOOKUP($C77,$Q$3:$Q$16,$R$3:$R$16)))*$B77,-5)</f>
        <v>69500000</v>
      </c>
      <c r="F77" s="16">
        <f t="shared" si="228"/>
        <v>125700000</v>
      </c>
      <c r="G77" s="16">
        <f t="shared" si="228"/>
        <v>137300000</v>
      </c>
      <c r="H77" s="17">
        <f t="shared" ref="H77:J77" si="229">roundup((XLOOKUP($D77,$T$3:$T$10,$U$3:$U$10)*XLOOKUP(H$2,$AA$3:$AA$5,$AC$3:$AC$5)-ABS(XLOOKUP($C77,$Q$3:$Q$16,$R$3:$R$16)))*$B77,-5)</f>
        <v>56800000</v>
      </c>
      <c r="I77" s="17">
        <f t="shared" si="229"/>
        <v>156200000</v>
      </c>
      <c r="J77" s="17">
        <f t="shared" si="229"/>
        <v>169800000</v>
      </c>
      <c r="K77" s="17">
        <f t="shared" ref="K77:M77" si="230">roundup((XLOOKUP($D77,$T$3:$T$10,$U$3:$U$10)*XLOOKUP(K$2,$AA$3:$AA$5,$AD$3:$AD$5)-ABS(XLOOKUP($C77,$Q$3:$Q$16,$R$3:$R$16)))*$B77,-5)</f>
        <v>67800000</v>
      </c>
      <c r="L77" s="17">
        <f t="shared" si="230"/>
        <v>177000000</v>
      </c>
      <c r="M77" s="17">
        <f t="shared" si="230"/>
        <v>191900000</v>
      </c>
    </row>
    <row r="78">
      <c r="A78" s="14" t="s">
        <v>115</v>
      </c>
      <c r="B78" s="14">
        <v>182.0</v>
      </c>
      <c r="C78" s="15">
        <f t="shared" si="4"/>
        <v>13</v>
      </c>
      <c r="D78" s="14" t="s">
        <v>33</v>
      </c>
      <c r="E78" s="16">
        <f t="shared" ref="E78:G78" si="231">ROUNDUP((XLOOKUP($D78,$T$3:$T$10,$U$3:$U$10)*XLOOKUP(E$2,$AA$3:$AA$5,$AB$3:$AB$5)-ABS(XLOOKUP($C78,$Q$3:$Q$16,$R$3:$R$16)))*$B78,-5)</f>
        <v>35800000</v>
      </c>
      <c r="F78" s="16">
        <f t="shared" si="231"/>
        <v>66400000</v>
      </c>
      <c r="G78" s="16">
        <f t="shared" si="231"/>
        <v>72800000</v>
      </c>
      <c r="H78" s="17">
        <f t="shared" ref="H78:J78" si="232">roundup((XLOOKUP($D78,$T$3:$T$10,$U$3:$U$10)*XLOOKUP(H$2,$AA$3:$AA$5,$AC$3:$AC$5)-ABS(XLOOKUP($C78,$Q$3:$Q$16,$R$3:$R$16)))*$B78,-5)</f>
        <v>28900000</v>
      </c>
      <c r="I78" s="17">
        <f t="shared" si="232"/>
        <v>83100000</v>
      </c>
      <c r="J78" s="17">
        <f t="shared" si="232"/>
        <v>90500000</v>
      </c>
      <c r="K78" s="17">
        <f t="shared" ref="K78:M78" si="233">roundup((XLOOKUP($D78,$T$3:$T$10,$U$3:$U$10)*XLOOKUP(K$2,$AA$3:$AA$5,$AD$3:$AD$5)-ABS(XLOOKUP($C78,$Q$3:$Q$16,$R$3:$R$16)))*$B78,-5)</f>
        <v>34900000</v>
      </c>
      <c r="L78" s="17">
        <f t="shared" si="233"/>
        <v>94400000</v>
      </c>
      <c r="M78" s="17">
        <f t="shared" si="233"/>
        <v>102500000</v>
      </c>
    </row>
    <row r="79">
      <c r="A79" s="14" t="s">
        <v>116</v>
      </c>
      <c r="B79" s="14">
        <v>206.0</v>
      </c>
      <c r="C79" s="15">
        <f t="shared" si="4"/>
        <v>13</v>
      </c>
      <c r="D79" s="14" t="s">
        <v>36</v>
      </c>
      <c r="E79" s="16">
        <f t="shared" ref="E79:G79" si="234">ROUNDUP((XLOOKUP($D79,$T$3:$T$10,$U$3:$U$10)*XLOOKUP(E$2,$AA$3:$AA$5,$AB$3:$AB$5)-ABS(XLOOKUP($C79,$Q$3:$Q$16,$R$3:$R$16)))*$B79,-5)</f>
        <v>49900000</v>
      </c>
      <c r="F79" s="16">
        <f t="shared" si="234"/>
        <v>88700000</v>
      </c>
      <c r="G79" s="16">
        <f t="shared" si="234"/>
        <v>96800000</v>
      </c>
      <c r="H79" s="17">
        <f t="shared" ref="H79:J79" si="235">roundup((XLOOKUP($D79,$T$3:$T$10,$U$3:$U$10)*XLOOKUP(H$2,$AA$3:$AA$5,$AC$3:$AC$5)-ABS(XLOOKUP($C79,$Q$3:$Q$16,$R$3:$R$16)))*$B79,-5)</f>
        <v>41100000</v>
      </c>
      <c r="I79" s="17">
        <f t="shared" si="235"/>
        <v>109900000</v>
      </c>
      <c r="J79" s="17">
        <f t="shared" si="235"/>
        <v>119200000</v>
      </c>
      <c r="K79" s="17">
        <f t="shared" ref="K79:M79" si="236">roundup((XLOOKUP($D79,$T$3:$T$10,$U$3:$U$10)*XLOOKUP(K$2,$AA$3:$AA$5,$AD$3:$AD$5)-ABS(XLOOKUP($C79,$Q$3:$Q$16,$R$3:$R$16)))*$B79,-5)</f>
        <v>48700000</v>
      </c>
      <c r="L79" s="17">
        <f t="shared" si="236"/>
        <v>124200000</v>
      </c>
      <c r="M79" s="17">
        <f t="shared" si="236"/>
        <v>134500000</v>
      </c>
    </row>
    <row r="80">
      <c r="A80" s="14" t="s">
        <v>117</v>
      </c>
      <c r="B80" s="14">
        <v>221.0</v>
      </c>
      <c r="C80" s="15">
        <f t="shared" si="4"/>
        <v>14</v>
      </c>
      <c r="D80" s="14" t="s">
        <v>33</v>
      </c>
      <c r="E80" s="16">
        <f t="shared" ref="E80:G80" si="237">ROUNDUP((XLOOKUP($D80,$T$3:$T$10,$U$3:$U$10)*XLOOKUP(E$2,$AA$3:$AA$5,$AB$3:$AB$5)-ABS(XLOOKUP($C80,$Q$3:$Q$16,$R$3:$R$16)))*$B80,-5)</f>
        <v>41500000</v>
      </c>
      <c r="F80" s="16">
        <f t="shared" si="237"/>
        <v>78700000</v>
      </c>
      <c r="G80" s="16">
        <f t="shared" si="237"/>
        <v>86400000</v>
      </c>
      <c r="H80" s="17">
        <f t="shared" ref="H80:J80" si="238">roundup((XLOOKUP($D80,$T$3:$T$10,$U$3:$U$10)*XLOOKUP(H$2,$AA$3:$AA$5,$AC$3:$AC$5)-ABS(XLOOKUP($C80,$Q$3:$Q$16,$R$3:$R$16)))*$B80,-5)</f>
        <v>33100000</v>
      </c>
      <c r="I80" s="17">
        <f t="shared" si="238"/>
        <v>98900000</v>
      </c>
      <c r="J80" s="17">
        <f t="shared" si="238"/>
        <v>107900000</v>
      </c>
      <c r="K80" s="17">
        <f t="shared" ref="K80:M80" si="239">roundup((XLOOKUP($D80,$T$3:$T$10,$U$3:$U$10)*XLOOKUP(K$2,$AA$3:$AA$5,$AD$3:$AD$5)-ABS(XLOOKUP($C80,$Q$3:$Q$16,$R$3:$R$16)))*$B80,-5)</f>
        <v>40400000</v>
      </c>
      <c r="L80" s="17">
        <f t="shared" si="239"/>
        <v>112600000</v>
      </c>
      <c r="M80" s="17">
        <f t="shared" si="239"/>
        <v>122500000</v>
      </c>
    </row>
    <row r="81">
      <c r="A81" s="14" t="s">
        <v>118</v>
      </c>
      <c r="B81" s="14">
        <v>109.0</v>
      </c>
      <c r="C81" s="15">
        <f t="shared" si="4"/>
        <v>11</v>
      </c>
      <c r="D81" s="14" t="s">
        <v>33</v>
      </c>
      <c r="E81" s="16">
        <f t="shared" ref="E81:G81" si="240">ROUNDUP((XLOOKUP($D81,$T$3:$T$10,$U$3:$U$10)*XLOOKUP(E$2,$AA$3:$AA$5,$AB$3:$AB$5)-ABS(XLOOKUP($C81,$Q$3:$Q$16,$R$3:$R$16)))*$B81,-5)</f>
        <v>23700000</v>
      </c>
      <c r="F81" s="16">
        <f t="shared" si="240"/>
        <v>42000000</v>
      </c>
      <c r="G81" s="16">
        <f t="shared" si="240"/>
        <v>45800000</v>
      </c>
      <c r="H81" s="17">
        <f t="shared" ref="H81:J81" si="241">roundup((XLOOKUP($D81,$T$3:$T$10,$U$3:$U$10)*XLOOKUP(H$2,$AA$3:$AA$5,$AC$3:$AC$5)-ABS(XLOOKUP($C81,$Q$3:$Q$16,$R$3:$R$16)))*$B81,-5)</f>
        <v>19500000</v>
      </c>
      <c r="I81" s="17">
        <f t="shared" si="241"/>
        <v>52000000</v>
      </c>
      <c r="J81" s="17">
        <f t="shared" si="241"/>
        <v>56400000</v>
      </c>
      <c r="K81" s="17">
        <f t="shared" ref="K81:M81" si="242">roundup((XLOOKUP($D81,$T$3:$T$10,$U$3:$U$10)*XLOOKUP(K$2,$AA$3:$AA$5,$AD$3:$AD$5)-ABS(XLOOKUP($C81,$Q$3:$Q$16,$R$3:$R$16)))*$B81,-5)</f>
        <v>23100000</v>
      </c>
      <c r="L81" s="17">
        <f t="shared" si="242"/>
        <v>58700000</v>
      </c>
      <c r="M81" s="17">
        <f t="shared" si="242"/>
        <v>63600000</v>
      </c>
    </row>
    <row r="82">
      <c r="A82" s="14" t="s">
        <v>119</v>
      </c>
      <c r="B82" s="14">
        <v>145.0</v>
      </c>
      <c r="C82" s="15">
        <f t="shared" si="4"/>
        <v>11</v>
      </c>
      <c r="D82" s="14" t="s">
        <v>33</v>
      </c>
      <c r="E82" s="16">
        <f t="shared" ref="E82:G82" si="243">ROUNDUP((XLOOKUP($D82,$T$3:$T$10,$U$3:$U$10)*XLOOKUP(E$2,$AA$3:$AA$5,$AB$3:$AB$5)-ABS(XLOOKUP($C82,$Q$3:$Q$16,$R$3:$R$16)))*$B82,-5)</f>
        <v>31500000</v>
      </c>
      <c r="F82" s="16">
        <f t="shared" si="243"/>
        <v>55800000</v>
      </c>
      <c r="G82" s="16">
        <f t="shared" si="243"/>
        <v>60900000</v>
      </c>
      <c r="H82" s="17">
        <f t="shared" ref="H82:J82" si="244">roundup((XLOOKUP($D82,$T$3:$T$10,$U$3:$U$10)*XLOOKUP(H$2,$AA$3:$AA$5,$AC$3:$AC$5)-ABS(XLOOKUP($C82,$Q$3:$Q$16,$R$3:$R$16)))*$B82,-5)</f>
        <v>25900000</v>
      </c>
      <c r="I82" s="17">
        <f t="shared" si="244"/>
        <v>69100000</v>
      </c>
      <c r="J82" s="17">
        <f t="shared" si="244"/>
        <v>75000000</v>
      </c>
      <c r="K82" s="17">
        <f t="shared" ref="K82:M82" si="245">roundup((XLOOKUP($D82,$T$3:$T$10,$U$3:$U$10)*XLOOKUP(K$2,$AA$3:$AA$5,$AD$3:$AD$5)-ABS(XLOOKUP($C82,$Q$3:$Q$16,$R$3:$R$16)))*$B82,-5)</f>
        <v>30700000</v>
      </c>
      <c r="L82" s="17">
        <f t="shared" si="245"/>
        <v>78100000</v>
      </c>
      <c r="M82" s="17">
        <f t="shared" si="245"/>
        <v>84600000</v>
      </c>
    </row>
    <row r="83">
      <c r="A83" s="14" t="s">
        <v>120</v>
      </c>
      <c r="B83" s="14">
        <v>189.0</v>
      </c>
      <c r="C83" s="15">
        <f t="shared" si="4"/>
        <v>13</v>
      </c>
      <c r="D83" s="14" t="s">
        <v>33</v>
      </c>
      <c r="E83" s="16">
        <f t="shared" ref="E83:G83" si="246">ROUNDUP((XLOOKUP($D83,$T$3:$T$10,$U$3:$U$10)*XLOOKUP(E$2,$AA$3:$AA$5,$AB$3:$AB$5)-ABS(XLOOKUP($C83,$Q$3:$Q$16,$R$3:$R$16)))*$B83,-5)</f>
        <v>37200000</v>
      </c>
      <c r="F83" s="16">
        <f t="shared" si="246"/>
        <v>69000000</v>
      </c>
      <c r="G83" s="16">
        <f t="shared" si="246"/>
        <v>75600000</v>
      </c>
      <c r="H83" s="17">
        <f t="shared" ref="H83:J83" si="247">roundup((XLOOKUP($D83,$T$3:$T$10,$U$3:$U$10)*XLOOKUP(H$2,$AA$3:$AA$5,$AC$3:$AC$5)-ABS(XLOOKUP($C83,$Q$3:$Q$16,$R$3:$R$16)))*$B83,-5)</f>
        <v>30000000</v>
      </c>
      <c r="I83" s="17">
        <f t="shared" si="247"/>
        <v>86300000</v>
      </c>
      <c r="J83" s="17">
        <f t="shared" si="247"/>
        <v>94000000</v>
      </c>
      <c r="K83" s="17">
        <f t="shared" ref="K83:M83" si="248">roundup((XLOOKUP($D83,$T$3:$T$10,$U$3:$U$10)*XLOOKUP(K$2,$AA$3:$AA$5,$AD$3:$AD$5)-ABS(XLOOKUP($C83,$Q$3:$Q$16,$R$3:$R$16)))*$B83,-5)</f>
        <v>36200000</v>
      </c>
      <c r="L83" s="17">
        <f t="shared" si="248"/>
        <v>98000000</v>
      </c>
      <c r="M83" s="17">
        <f t="shared" si="248"/>
        <v>106400000</v>
      </c>
    </row>
    <row r="84">
      <c r="A84" s="14" t="s">
        <v>121</v>
      </c>
      <c r="B84" s="14">
        <v>163.0</v>
      </c>
      <c r="C84" s="15">
        <f t="shared" si="4"/>
        <v>12</v>
      </c>
      <c r="D84" s="14" t="s">
        <v>33</v>
      </c>
      <c r="E84" s="16">
        <f t="shared" ref="E84:G84" si="249">ROUNDUP((XLOOKUP($D84,$T$3:$T$10,$U$3:$U$10)*XLOOKUP(E$2,$AA$3:$AA$5,$AB$3:$AB$5)-ABS(XLOOKUP($C84,$Q$3:$Q$16,$R$3:$R$16)))*$B84,-5)</f>
        <v>34600000</v>
      </c>
      <c r="F84" s="16">
        <f t="shared" si="249"/>
        <v>61900000</v>
      </c>
      <c r="G84" s="16">
        <f t="shared" si="249"/>
        <v>67600000</v>
      </c>
      <c r="H84" s="17">
        <f t="shared" ref="H84:J84" si="250">roundup((XLOOKUP($D84,$T$3:$T$10,$U$3:$U$10)*XLOOKUP(H$2,$AA$3:$AA$5,$AC$3:$AC$5)-ABS(XLOOKUP($C84,$Q$3:$Q$16,$R$3:$R$16)))*$B84,-5)</f>
        <v>28300000</v>
      </c>
      <c r="I84" s="17">
        <f t="shared" si="250"/>
        <v>76900000</v>
      </c>
      <c r="J84" s="17">
        <f t="shared" si="250"/>
        <v>83500000</v>
      </c>
      <c r="K84" s="17">
        <f t="shared" ref="K84:M84" si="251">roundup((XLOOKUP($D84,$T$3:$T$10,$U$3:$U$10)*XLOOKUP(K$2,$AA$3:$AA$5,$AD$3:$AD$5)-ABS(XLOOKUP($C84,$Q$3:$Q$16,$R$3:$R$16)))*$B84,-5)</f>
        <v>33700000</v>
      </c>
      <c r="L84" s="17">
        <f t="shared" si="251"/>
        <v>87000000</v>
      </c>
      <c r="M84" s="17">
        <f t="shared" si="251"/>
        <v>94300000</v>
      </c>
    </row>
    <row r="85">
      <c r="A85" s="14" t="s">
        <v>122</v>
      </c>
      <c r="B85" s="14">
        <v>173.0</v>
      </c>
      <c r="C85" s="15">
        <f t="shared" si="4"/>
        <v>12</v>
      </c>
      <c r="D85" s="14" t="s">
        <v>33</v>
      </c>
      <c r="E85" s="16">
        <f t="shared" ref="E85:G85" si="252">ROUNDUP((XLOOKUP($D85,$T$3:$T$10,$U$3:$U$10)*XLOOKUP(E$2,$AA$3:$AA$5,$AB$3:$AB$5)-ABS(XLOOKUP($C85,$Q$3:$Q$16,$R$3:$R$16)))*$B85,-5)</f>
        <v>36700000</v>
      </c>
      <c r="F85" s="16">
        <f t="shared" si="252"/>
        <v>65700000</v>
      </c>
      <c r="G85" s="16">
        <f t="shared" si="252"/>
        <v>71800000</v>
      </c>
      <c r="H85" s="17">
        <f t="shared" ref="H85:J85" si="253">roundup((XLOOKUP($D85,$T$3:$T$10,$U$3:$U$10)*XLOOKUP(H$2,$AA$3:$AA$5,$AC$3:$AC$5)-ABS(XLOOKUP($C85,$Q$3:$Q$16,$R$3:$R$16)))*$B85,-5)</f>
        <v>30100000</v>
      </c>
      <c r="I85" s="17">
        <f t="shared" si="253"/>
        <v>81600000</v>
      </c>
      <c r="J85" s="17">
        <f t="shared" si="253"/>
        <v>88600000</v>
      </c>
      <c r="K85" s="17">
        <f t="shared" ref="K85:M85" si="254">roundup((XLOOKUP($D85,$T$3:$T$10,$U$3:$U$10)*XLOOKUP(K$2,$AA$3:$AA$5,$AD$3:$AD$5)-ABS(XLOOKUP($C85,$Q$3:$Q$16,$R$3:$R$16)))*$B85,-5)</f>
        <v>35800000</v>
      </c>
      <c r="L85" s="17">
        <f t="shared" si="254"/>
        <v>92300000</v>
      </c>
      <c r="M85" s="17">
        <f t="shared" si="254"/>
        <v>100000000</v>
      </c>
    </row>
    <row r="86">
      <c r="A86" s="14" t="s">
        <v>123</v>
      </c>
      <c r="B86" s="14">
        <v>146.0</v>
      </c>
      <c r="C86" s="15">
        <f t="shared" si="4"/>
        <v>11</v>
      </c>
      <c r="D86" s="14" t="s">
        <v>33</v>
      </c>
      <c r="E86" s="16">
        <f t="shared" ref="E86:G86" si="255">ROUNDUP((XLOOKUP($D86,$T$3:$T$10,$U$3:$U$10)*XLOOKUP(E$2,$AA$3:$AA$5,$AB$3:$AB$5)-ABS(XLOOKUP($C86,$Q$3:$Q$16,$R$3:$R$16)))*$B86,-5)</f>
        <v>31700000</v>
      </c>
      <c r="F86" s="16">
        <f t="shared" si="255"/>
        <v>56200000</v>
      </c>
      <c r="G86" s="16">
        <f t="shared" si="255"/>
        <v>61300000</v>
      </c>
      <c r="H86" s="17">
        <f t="shared" ref="H86:J86" si="256">roundup((XLOOKUP($D86,$T$3:$T$10,$U$3:$U$10)*XLOOKUP(H$2,$AA$3:$AA$5,$AC$3:$AC$5)-ABS(XLOOKUP($C86,$Q$3:$Q$16,$R$3:$R$16)))*$B86,-5)</f>
        <v>26100000</v>
      </c>
      <c r="I86" s="17">
        <f t="shared" si="256"/>
        <v>69600000</v>
      </c>
      <c r="J86" s="17">
        <f t="shared" si="256"/>
        <v>75500000</v>
      </c>
      <c r="K86" s="17">
        <f t="shared" ref="K86:M86" si="257">roundup((XLOOKUP($D86,$T$3:$T$10,$U$3:$U$10)*XLOOKUP(K$2,$AA$3:$AA$5,$AD$3:$AD$5)-ABS(XLOOKUP($C86,$Q$3:$Q$16,$R$3:$R$16)))*$B86,-5)</f>
        <v>30900000</v>
      </c>
      <c r="L86" s="17">
        <f t="shared" si="257"/>
        <v>78600000</v>
      </c>
      <c r="M86" s="17">
        <f t="shared" si="257"/>
        <v>85200000</v>
      </c>
    </row>
    <row r="87">
      <c r="A87" s="14" t="s">
        <v>124</v>
      </c>
      <c r="B87" s="14">
        <v>135.0</v>
      </c>
      <c r="C87" s="15">
        <f t="shared" si="4"/>
        <v>11</v>
      </c>
      <c r="D87" s="14" t="s">
        <v>33</v>
      </c>
      <c r="E87" s="16">
        <f t="shared" ref="E87:G87" si="258">ROUNDUP((XLOOKUP($D87,$T$3:$T$10,$U$3:$U$10)*XLOOKUP(E$2,$AA$3:$AA$5,$AB$3:$AB$5)-ABS(XLOOKUP($C87,$Q$3:$Q$16,$R$3:$R$16)))*$B87,-5)</f>
        <v>29300000</v>
      </c>
      <c r="F87" s="16">
        <f t="shared" si="258"/>
        <v>52000000</v>
      </c>
      <c r="G87" s="16">
        <f t="shared" si="258"/>
        <v>56700000</v>
      </c>
      <c r="H87" s="17">
        <f t="shared" ref="H87:J87" si="259">roundup((XLOOKUP($D87,$T$3:$T$10,$U$3:$U$10)*XLOOKUP(H$2,$AA$3:$AA$5,$AC$3:$AC$5)-ABS(XLOOKUP($C87,$Q$3:$Q$16,$R$3:$R$16)))*$B87,-5)</f>
        <v>24100000</v>
      </c>
      <c r="I87" s="17">
        <f t="shared" si="259"/>
        <v>64300000</v>
      </c>
      <c r="J87" s="17">
        <f t="shared" si="259"/>
        <v>69800000</v>
      </c>
      <c r="K87" s="17">
        <f t="shared" ref="K87:M87" si="260">roundup((XLOOKUP($D87,$T$3:$T$10,$U$3:$U$10)*XLOOKUP(K$2,$AA$3:$AA$5,$AD$3:$AD$5)-ABS(XLOOKUP($C87,$Q$3:$Q$16,$R$3:$R$16)))*$B87,-5)</f>
        <v>28600000</v>
      </c>
      <c r="L87" s="17">
        <f t="shared" si="260"/>
        <v>72700000</v>
      </c>
      <c r="M87" s="17">
        <f t="shared" si="260"/>
        <v>78700000</v>
      </c>
    </row>
    <row r="88">
      <c r="A88" s="14" t="s">
        <v>125</v>
      </c>
      <c r="B88" s="14">
        <v>105.0</v>
      </c>
      <c r="C88" s="15">
        <f t="shared" si="4"/>
        <v>11</v>
      </c>
      <c r="D88" s="14" t="s">
        <v>33</v>
      </c>
      <c r="E88" s="16">
        <f t="shared" ref="E88:G88" si="261">ROUNDUP((XLOOKUP($D88,$T$3:$T$10,$U$3:$U$10)*XLOOKUP(E$2,$AA$3:$AA$5,$AB$3:$AB$5)-ABS(XLOOKUP($C88,$Q$3:$Q$16,$R$3:$R$16)))*$B88,-5)</f>
        <v>22800000</v>
      </c>
      <c r="F88" s="16">
        <f t="shared" si="261"/>
        <v>40400000</v>
      </c>
      <c r="G88" s="16">
        <f t="shared" si="261"/>
        <v>44100000</v>
      </c>
      <c r="H88" s="17">
        <f t="shared" ref="H88:J88" si="262">roundup((XLOOKUP($D88,$T$3:$T$10,$U$3:$U$10)*XLOOKUP(H$2,$AA$3:$AA$5,$AC$3:$AC$5)-ABS(XLOOKUP($C88,$Q$3:$Q$16,$R$3:$R$16)))*$B88,-5)</f>
        <v>18800000</v>
      </c>
      <c r="I88" s="17">
        <f t="shared" si="262"/>
        <v>50100000</v>
      </c>
      <c r="J88" s="17">
        <f t="shared" si="262"/>
        <v>54300000</v>
      </c>
      <c r="K88" s="17">
        <f t="shared" ref="K88:M88" si="263">roundup((XLOOKUP($D88,$T$3:$T$10,$U$3:$U$10)*XLOOKUP(K$2,$AA$3:$AA$5,$AD$3:$AD$5)-ABS(XLOOKUP($C88,$Q$3:$Q$16,$R$3:$R$16)))*$B88,-5)</f>
        <v>22300000</v>
      </c>
      <c r="L88" s="17">
        <f t="shared" si="263"/>
        <v>56600000</v>
      </c>
      <c r="M88" s="17">
        <f t="shared" si="263"/>
        <v>61300000</v>
      </c>
    </row>
    <row r="89">
      <c r="A89" s="14" t="s">
        <v>126</v>
      </c>
      <c r="B89" s="14">
        <v>95.0</v>
      </c>
      <c r="C89" s="15">
        <f t="shared" si="4"/>
        <v>11</v>
      </c>
      <c r="D89" s="14" t="s">
        <v>33</v>
      </c>
      <c r="E89" s="16">
        <f t="shared" ref="E89:G89" si="264">ROUNDUP((XLOOKUP($D89,$T$3:$T$10,$U$3:$U$10)*XLOOKUP(E$2,$AA$3:$AA$5,$AB$3:$AB$5)-ABS(XLOOKUP($C89,$Q$3:$Q$16,$R$3:$R$16)))*$B89,-5)</f>
        <v>20600000</v>
      </c>
      <c r="F89" s="16">
        <f t="shared" si="264"/>
        <v>36600000</v>
      </c>
      <c r="G89" s="16">
        <f t="shared" si="264"/>
        <v>39900000</v>
      </c>
      <c r="H89" s="17">
        <f t="shared" ref="H89:J89" si="265">roundup((XLOOKUP($D89,$T$3:$T$10,$U$3:$U$10)*XLOOKUP(H$2,$AA$3:$AA$5,$AC$3:$AC$5)-ABS(XLOOKUP($C89,$Q$3:$Q$16,$R$3:$R$16)))*$B89,-5)</f>
        <v>17000000</v>
      </c>
      <c r="I89" s="17">
        <f t="shared" si="265"/>
        <v>45300000</v>
      </c>
      <c r="J89" s="17">
        <f t="shared" si="265"/>
        <v>49200000</v>
      </c>
      <c r="K89" s="17">
        <f t="shared" ref="K89:M89" si="266">roundup((XLOOKUP($D89,$T$3:$T$10,$U$3:$U$10)*XLOOKUP(K$2,$AA$3:$AA$5,$AD$3:$AD$5)-ABS(XLOOKUP($C89,$Q$3:$Q$16,$R$3:$R$16)))*$B89,-5)</f>
        <v>20100000</v>
      </c>
      <c r="L89" s="17">
        <f t="shared" si="266"/>
        <v>51200000</v>
      </c>
      <c r="M89" s="17">
        <f t="shared" si="266"/>
        <v>55400000</v>
      </c>
    </row>
    <row r="90">
      <c r="A90" s="14" t="s">
        <v>127</v>
      </c>
      <c r="B90" s="14">
        <v>171.0</v>
      </c>
      <c r="C90" s="15">
        <f t="shared" si="4"/>
        <v>12</v>
      </c>
      <c r="D90" s="14" t="s">
        <v>33</v>
      </c>
      <c r="E90" s="16">
        <f t="shared" ref="E90:G90" si="267">ROUNDUP((XLOOKUP($D90,$T$3:$T$10,$U$3:$U$10)*XLOOKUP(E$2,$AA$3:$AA$5,$AB$3:$AB$5)-ABS(XLOOKUP($C90,$Q$3:$Q$16,$R$3:$R$16)))*$B90,-5)</f>
        <v>36200000</v>
      </c>
      <c r="F90" s="16">
        <f t="shared" si="267"/>
        <v>65000000</v>
      </c>
      <c r="G90" s="16">
        <f t="shared" si="267"/>
        <v>70900000</v>
      </c>
      <c r="H90" s="17">
        <f t="shared" ref="H90:J90" si="268">roundup((XLOOKUP($D90,$T$3:$T$10,$U$3:$U$10)*XLOOKUP(H$2,$AA$3:$AA$5,$AC$3:$AC$5)-ABS(XLOOKUP($C90,$Q$3:$Q$16,$R$3:$R$16)))*$B90,-5)</f>
        <v>29700000</v>
      </c>
      <c r="I90" s="17">
        <f t="shared" si="268"/>
        <v>80600000</v>
      </c>
      <c r="J90" s="17">
        <f t="shared" si="268"/>
        <v>87600000</v>
      </c>
      <c r="K90" s="17">
        <f t="shared" ref="K90:M90" si="269">roundup((XLOOKUP($D90,$T$3:$T$10,$U$3:$U$10)*XLOOKUP(K$2,$AA$3:$AA$5,$AD$3:$AD$5)-ABS(XLOOKUP($C90,$Q$3:$Q$16,$R$3:$R$16)))*$B90,-5)</f>
        <v>35400000</v>
      </c>
      <c r="L90" s="17">
        <f t="shared" si="269"/>
        <v>91200000</v>
      </c>
      <c r="M90" s="17">
        <f t="shared" si="269"/>
        <v>98900000</v>
      </c>
    </row>
    <row r="91">
      <c r="A91" s="14" t="s">
        <v>128</v>
      </c>
      <c r="B91" s="14">
        <v>168.0</v>
      </c>
      <c r="C91" s="15">
        <f t="shared" si="4"/>
        <v>12</v>
      </c>
      <c r="D91" s="14" t="s">
        <v>33</v>
      </c>
      <c r="E91" s="16">
        <f t="shared" ref="E91:G91" si="270">ROUNDUP((XLOOKUP($D91,$T$3:$T$10,$U$3:$U$10)*XLOOKUP(E$2,$AA$3:$AA$5,$AB$3:$AB$5)-ABS(XLOOKUP($C91,$Q$3:$Q$16,$R$3:$R$16)))*$B91,-5)</f>
        <v>35600000</v>
      </c>
      <c r="F91" s="16">
        <f t="shared" si="270"/>
        <v>63800000</v>
      </c>
      <c r="G91" s="16">
        <f t="shared" si="270"/>
        <v>69700000</v>
      </c>
      <c r="H91" s="17">
        <f t="shared" ref="H91:J91" si="271">roundup((XLOOKUP($D91,$T$3:$T$10,$U$3:$U$10)*XLOOKUP(H$2,$AA$3:$AA$5,$AC$3:$AC$5)-ABS(XLOOKUP($C91,$Q$3:$Q$16,$R$3:$R$16)))*$B91,-5)</f>
        <v>29200000</v>
      </c>
      <c r="I91" s="17">
        <f t="shared" si="271"/>
        <v>79200000</v>
      </c>
      <c r="J91" s="17">
        <f t="shared" si="271"/>
        <v>86000000</v>
      </c>
      <c r="K91" s="17">
        <f t="shared" ref="K91:M91" si="272">roundup((XLOOKUP($D91,$T$3:$T$10,$U$3:$U$10)*XLOOKUP(K$2,$AA$3:$AA$5,$AD$3:$AD$5)-ABS(XLOOKUP($C91,$Q$3:$Q$16,$R$3:$R$16)))*$B91,-5)</f>
        <v>34700000</v>
      </c>
      <c r="L91" s="17">
        <f t="shared" si="272"/>
        <v>89600000</v>
      </c>
      <c r="M91" s="17">
        <f t="shared" si="272"/>
        <v>97100000</v>
      </c>
    </row>
    <row r="92">
      <c r="A92" s="14" t="s">
        <v>129</v>
      </c>
      <c r="B92" s="14">
        <v>126.0</v>
      </c>
      <c r="C92" s="15">
        <f t="shared" si="4"/>
        <v>11</v>
      </c>
      <c r="D92" s="14" t="s">
        <v>33</v>
      </c>
      <c r="E92" s="16">
        <f t="shared" ref="E92:G92" si="273">ROUNDUP((XLOOKUP($D92,$T$3:$T$10,$U$3:$U$10)*XLOOKUP(E$2,$AA$3:$AA$5,$AB$3:$AB$5)-ABS(XLOOKUP($C92,$Q$3:$Q$16,$R$3:$R$16)))*$B92,-5)</f>
        <v>27400000</v>
      </c>
      <c r="F92" s="16">
        <f t="shared" si="273"/>
        <v>48500000</v>
      </c>
      <c r="G92" s="16">
        <f t="shared" si="273"/>
        <v>52900000</v>
      </c>
      <c r="H92" s="17">
        <f t="shared" ref="H92:J92" si="274">roundup((XLOOKUP($D92,$T$3:$T$10,$U$3:$U$10)*XLOOKUP(H$2,$AA$3:$AA$5,$AC$3:$AC$5)-ABS(XLOOKUP($C92,$Q$3:$Q$16,$R$3:$R$16)))*$B92,-5)</f>
        <v>22500000</v>
      </c>
      <c r="I92" s="17">
        <f t="shared" si="274"/>
        <v>60100000</v>
      </c>
      <c r="J92" s="17">
        <f t="shared" si="274"/>
        <v>65200000</v>
      </c>
      <c r="K92" s="17">
        <f t="shared" ref="K92:M92" si="275">roundup((XLOOKUP($D92,$T$3:$T$10,$U$3:$U$10)*XLOOKUP(K$2,$AA$3:$AA$5,$AD$3:$AD$5)-ABS(XLOOKUP($C92,$Q$3:$Q$16,$R$3:$R$16)))*$B92,-5)</f>
        <v>26700000</v>
      </c>
      <c r="L92" s="17">
        <f t="shared" si="275"/>
        <v>67900000</v>
      </c>
      <c r="M92" s="17">
        <f t="shared" si="275"/>
        <v>73500000</v>
      </c>
    </row>
    <row r="93">
      <c r="A93" s="14" t="s">
        <v>130</v>
      </c>
      <c r="B93" s="14">
        <v>122.0</v>
      </c>
      <c r="C93" s="15">
        <f t="shared" si="4"/>
        <v>11</v>
      </c>
      <c r="D93" s="14" t="s">
        <v>33</v>
      </c>
      <c r="E93" s="16">
        <f t="shared" ref="E93:G93" si="276">ROUNDUP((XLOOKUP($D93,$T$3:$T$10,$U$3:$U$10)*XLOOKUP(E$2,$AA$3:$AA$5,$AB$3:$AB$5)-ABS(XLOOKUP($C93,$Q$3:$Q$16,$R$3:$R$16)))*$B93,-5)</f>
        <v>26500000</v>
      </c>
      <c r="F93" s="16">
        <f t="shared" si="276"/>
        <v>47000000</v>
      </c>
      <c r="G93" s="16">
        <f t="shared" si="276"/>
        <v>51200000</v>
      </c>
      <c r="H93" s="17">
        <f t="shared" ref="H93:J93" si="277">roundup((XLOOKUP($D93,$T$3:$T$10,$U$3:$U$10)*XLOOKUP(H$2,$AA$3:$AA$5,$AC$3:$AC$5)-ABS(XLOOKUP($C93,$Q$3:$Q$16,$R$3:$R$16)))*$B93,-5)</f>
        <v>21800000</v>
      </c>
      <c r="I93" s="17">
        <f t="shared" si="277"/>
        <v>58200000</v>
      </c>
      <c r="J93" s="17">
        <f t="shared" si="277"/>
        <v>63100000</v>
      </c>
      <c r="K93" s="17">
        <f t="shared" ref="K93:M93" si="278">roundup((XLOOKUP($D93,$T$3:$T$10,$U$3:$U$10)*XLOOKUP(K$2,$AA$3:$AA$5,$AD$3:$AD$5)-ABS(XLOOKUP($C93,$Q$3:$Q$16,$R$3:$R$16)))*$B93,-5)</f>
        <v>25800000</v>
      </c>
      <c r="L93" s="17">
        <f t="shared" si="278"/>
        <v>65700000</v>
      </c>
      <c r="M93" s="17">
        <f t="shared" si="278"/>
        <v>71200000</v>
      </c>
    </row>
    <row r="94">
      <c r="A94" s="14" t="s">
        <v>131</v>
      </c>
      <c r="B94" s="14">
        <v>136.0</v>
      </c>
      <c r="C94" s="15">
        <f t="shared" si="4"/>
        <v>11</v>
      </c>
      <c r="D94" s="14" t="s">
        <v>33</v>
      </c>
      <c r="E94" s="16">
        <f t="shared" ref="E94:G94" si="279">ROUNDUP((XLOOKUP($D94,$T$3:$T$10,$U$3:$U$10)*XLOOKUP(E$2,$AA$3:$AA$5,$AB$3:$AB$5)-ABS(XLOOKUP($C94,$Q$3:$Q$16,$R$3:$R$16)))*$B94,-5)</f>
        <v>29500000</v>
      </c>
      <c r="F94" s="16">
        <f t="shared" si="279"/>
        <v>52400000</v>
      </c>
      <c r="G94" s="16">
        <f t="shared" si="279"/>
        <v>57100000</v>
      </c>
      <c r="H94" s="17">
        <f t="shared" ref="H94:J94" si="280">roundup((XLOOKUP($D94,$T$3:$T$10,$U$3:$U$10)*XLOOKUP(H$2,$AA$3:$AA$5,$AC$3:$AC$5)-ABS(XLOOKUP($C94,$Q$3:$Q$16,$R$3:$R$16)))*$B94,-5)</f>
        <v>24300000</v>
      </c>
      <c r="I94" s="17">
        <f t="shared" si="280"/>
        <v>64800000</v>
      </c>
      <c r="J94" s="17">
        <f t="shared" si="280"/>
        <v>70300000</v>
      </c>
      <c r="K94" s="17">
        <f t="shared" ref="K94:M94" si="281">roundup((XLOOKUP($D94,$T$3:$T$10,$U$3:$U$10)*XLOOKUP(K$2,$AA$3:$AA$5,$AD$3:$AD$5)-ABS(XLOOKUP($C94,$Q$3:$Q$16,$R$3:$R$16)))*$B94,-5)</f>
        <v>28800000</v>
      </c>
      <c r="L94" s="17">
        <f t="shared" si="281"/>
        <v>73300000</v>
      </c>
      <c r="M94" s="17">
        <f t="shared" si="281"/>
        <v>79300000</v>
      </c>
    </row>
    <row r="95">
      <c r="A95" s="14" t="s">
        <v>132</v>
      </c>
      <c r="B95" s="14">
        <v>149.0</v>
      </c>
      <c r="C95" s="15">
        <f t="shared" si="4"/>
        <v>11</v>
      </c>
      <c r="D95" s="14" t="s">
        <v>33</v>
      </c>
      <c r="E95" s="16">
        <f t="shared" ref="E95:G95" si="282">ROUNDUP((XLOOKUP($D95,$T$3:$T$10,$U$3:$U$10)*XLOOKUP(E$2,$AA$3:$AA$5,$AB$3:$AB$5)-ABS(XLOOKUP($C95,$Q$3:$Q$16,$R$3:$R$16)))*$B95,-5)</f>
        <v>32300000</v>
      </c>
      <c r="F95" s="16">
        <f t="shared" si="282"/>
        <v>57400000</v>
      </c>
      <c r="G95" s="16">
        <f t="shared" si="282"/>
        <v>62600000</v>
      </c>
      <c r="H95" s="17">
        <f t="shared" ref="H95:J95" si="283">roundup((XLOOKUP($D95,$T$3:$T$10,$U$3:$U$10)*XLOOKUP(H$2,$AA$3:$AA$5,$AC$3:$AC$5)-ABS(XLOOKUP($C95,$Q$3:$Q$16,$R$3:$R$16)))*$B95,-5)</f>
        <v>26600000</v>
      </c>
      <c r="I95" s="17">
        <f t="shared" si="283"/>
        <v>71000000</v>
      </c>
      <c r="J95" s="17">
        <f t="shared" si="283"/>
        <v>77100000</v>
      </c>
      <c r="K95" s="17">
        <f t="shared" ref="K95:M95" si="284">roundup((XLOOKUP($D95,$T$3:$T$10,$U$3:$U$10)*XLOOKUP(K$2,$AA$3:$AA$5,$AD$3:$AD$5)-ABS(XLOOKUP($C95,$Q$3:$Q$16,$R$3:$R$16)))*$B95,-5)</f>
        <v>31600000</v>
      </c>
      <c r="L95" s="17">
        <f t="shared" si="284"/>
        <v>80300000</v>
      </c>
      <c r="M95" s="17">
        <f t="shared" si="284"/>
        <v>86900000</v>
      </c>
    </row>
    <row r="96">
      <c r="A96" s="14" t="s">
        <v>133</v>
      </c>
      <c r="B96" s="14">
        <v>136.0</v>
      </c>
      <c r="C96" s="15">
        <f t="shared" si="4"/>
        <v>11</v>
      </c>
      <c r="D96" s="14" t="s">
        <v>33</v>
      </c>
      <c r="E96" s="16">
        <f t="shared" ref="E96:G96" si="285">ROUNDUP((XLOOKUP($D96,$T$3:$T$10,$U$3:$U$10)*XLOOKUP(E$2,$AA$3:$AA$5,$AB$3:$AB$5)-ABS(XLOOKUP($C96,$Q$3:$Q$16,$R$3:$R$16)))*$B96,-5)</f>
        <v>29500000</v>
      </c>
      <c r="F96" s="16">
        <f t="shared" si="285"/>
        <v>52400000</v>
      </c>
      <c r="G96" s="16">
        <f t="shared" si="285"/>
        <v>57100000</v>
      </c>
      <c r="H96" s="17">
        <f t="shared" ref="H96:J96" si="286">roundup((XLOOKUP($D96,$T$3:$T$10,$U$3:$U$10)*XLOOKUP(H$2,$AA$3:$AA$5,$AC$3:$AC$5)-ABS(XLOOKUP($C96,$Q$3:$Q$16,$R$3:$R$16)))*$B96,-5)</f>
        <v>24300000</v>
      </c>
      <c r="I96" s="17">
        <f t="shared" si="286"/>
        <v>64800000</v>
      </c>
      <c r="J96" s="17">
        <f t="shared" si="286"/>
        <v>70300000</v>
      </c>
      <c r="K96" s="17">
        <f t="shared" ref="K96:M96" si="287">roundup((XLOOKUP($D96,$T$3:$T$10,$U$3:$U$10)*XLOOKUP(K$2,$AA$3:$AA$5,$AD$3:$AD$5)-ABS(XLOOKUP($C96,$Q$3:$Q$16,$R$3:$R$16)))*$B96,-5)</f>
        <v>28800000</v>
      </c>
      <c r="L96" s="17">
        <f t="shared" si="287"/>
        <v>73300000</v>
      </c>
      <c r="M96" s="17">
        <f t="shared" si="287"/>
        <v>79300000</v>
      </c>
    </row>
    <row r="97">
      <c r="A97" s="14" t="s">
        <v>134</v>
      </c>
      <c r="B97" s="14">
        <v>108.0</v>
      </c>
      <c r="C97" s="15">
        <f t="shared" si="4"/>
        <v>11</v>
      </c>
      <c r="D97" s="14" t="s">
        <v>33</v>
      </c>
      <c r="E97" s="16">
        <f t="shared" ref="E97:G97" si="288">ROUNDUP((XLOOKUP($D97,$T$3:$T$10,$U$3:$U$10)*XLOOKUP(E$2,$AA$3:$AA$5,$AB$3:$AB$5)-ABS(XLOOKUP($C97,$Q$3:$Q$16,$R$3:$R$16)))*$B97,-5)</f>
        <v>23500000</v>
      </c>
      <c r="F97" s="16">
        <f t="shared" si="288"/>
        <v>41600000</v>
      </c>
      <c r="G97" s="16">
        <f t="shared" si="288"/>
        <v>45400000</v>
      </c>
      <c r="H97" s="17">
        <f t="shared" ref="H97:J97" si="289">roundup((XLOOKUP($D97,$T$3:$T$10,$U$3:$U$10)*XLOOKUP(H$2,$AA$3:$AA$5,$AC$3:$AC$5)-ABS(XLOOKUP($C97,$Q$3:$Q$16,$R$3:$R$16)))*$B97,-5)</f>
        <v>19300000</v>
      </c>
      <c r="I97" s="17">
        <f t="shared" si="289"/>
        <v>51500000</v>
      </c>
      <c r="J97" s="17">
        <f t="shared" si="289"/>
        <v>55900000</v>
      </c>
      <c r="K97" s="17">
        <f t="shared" ref="K97:M97" si="290">roundup((XLOOKUP($D97,$T$3:$T$10,$U$3:$U$10)*XLOOKUP(K$2,$AA$3:$AA$5,$AD$3:$AD$5)-ABS(XLOOKUP($C97,$Q$3:$Q$16,$R$3:$R$16)))*$B97,-5)</f>
        <v>22900000</v>
      </c>
      <c r="L97" s="17">
        <f t="shared" si="290"/>
        <v>58200000</v>
      </c>
      <c r="M97" s="17">
        <f t="shared" si="290"/>
        <v>63000000</v>
      </c>
    </row>
    <row r="98">
      <c r="A98" s="14" t="s">
        <v>135</v>
      </c>
      <c r="B98" s="14">
        <v>124.0</v>
      </c>
      <c r="C98" s="15">
        <f t="shared" si="4"/>
        <v>11</v>
      </c>
      <c r="D98" s="14" t="s">
        <v>33</v>
      </c>
      <c r="E98" s="16">
        <f t="shared" ref="E98:G98" si="291">ROUNDUP((XLOOKUP($D98,$T$3:$T$10,$U$3:$U$10)*XLOOKUP(E$2,$AA$3:$AA$5,$AB$3:$AB$5)-ABS(XLOOKUP($C98,$Q$3:$Q$16,$R$3:$R$16)))*$B98,-5)</f>
        <v>26900000</v>
      </c>
      <c r="F98" s="16">
        <f t="shared" si="291"/>
        <v>47800000</v>
      </c>
      <c r="G98" s="16">
        <f t="shared" si="291"/>
        <v>52100000</v>
      </c>
      <c r="H98" s="17">
        <f t="shared" ref="H98:J98" si="292">roundup((XLOOKUP($D98,$T$3:$T$10,$U$3:$U$10)*XLOOKUP(H$2,$AA$3:$AA$5,$AC$3:$AC$5)-ABS(XLOOKUP($C98,$Q$3:$Q$16,$R$3:$R$16)))*$B98,-5)</f>
        <v>22200000</v>
      </c>
      <c r="I98" s="17">
        <f t="shared" si="292"/>
        <v>59100000</v>
      </c>
      <c r="J98" s="17">
        <f t="shared" si="292"/>
        <v>64100000</v>
      </c>
      <c r="K98" s="17">
        <f t="shared" ref="K98:M98" si="293">roundup((XLOOKUP($D98,$T$3:$T$10,$U$3:$U$10)*XLOOKUP(K$2,$AA$3:$AA$5,$AD$3:$AD$5)-ABS(XLOOKUP($C98,$Q$3:$Q$16,$R$3:$R$16)))*$B98,-5)</f>
        <v>26300000</v>
      </c>
      <c r="L98" s="17">
        <f t="shared" si="293"/>
        <v>66800000</v>
      </c>
      <c r="M98" s="17">
        <f t="shared" si="293"/>
        <v>72300000</v>
      </c>
    </row>
    <row r="99">
      <c r="A99" s="14" t="s">
        <v>136</v>
      </c>
      <c r="B99" s="14">
        <v>137.0</v>
      </c>
      <c r="C99" s="15">
        <f t="shared" si="4"/>
        <v>11</v>
      </c>
      <c r="D99" s="14" t="s">
        <v>33</v>
      </c>
      <c r="E99" s="16">
        <f t="shared" ref="E99:G99" si="294">ROUNDUP((XLOOKUP($D99,$T$3:$T$10,$U$3:$U$10)*XLOOKUP(E$2,$AA$3:$AA$5,$AB$3:$AB$5)-ABS(XLOOKUP($C99,$Q$3:$Q$16,$R$3:$R$16)))*$B99,-5)</f>
        <v>29700000</v>
      </c>
      <c r="F99" s="16">
        <f t="shared" si="294"/>
        <v>52800000</v>
      </c>
      <c r="G99" s="16">
        <f t="shared" si="294"/>
        <v>57500000</v>
      </c>
      <c r="H99" s="17">
        <f t="shared" ref="H99:J99" si="295">roundup((XLOOKUP($D99,$T$3:$T$10,$U$3:$U$10)*XLOOKUP(H$2,$AA$3:$AA$5,$AC$3:$AC$5)-ABS(XLOOKUP($C99,$Q$3:$Q$16,$R$3:$R$16)))*$B99,-5)</f>
        <v>24500000</v>
      </c>
      <c r="I99" s="17">
        <f t="shared" si="295"/>
        <v>65300000</v>
      </c>
      <c r="J99" s="17">
        <f t="shared" si="295"/>
        <v>70900000</v>
      </c>
      <c r="K99" s="17">
        <f t="shared" ref="K99:M99" si="296">roundup((XLOOKUP($D99,$T$3:$T$10,$U$3:$U$10)*XLOOKUP(K$2,$AA$3:$AA$5,$AD$3:$AD$5)-ABS(XLOOKUP($C99,$Q$3:$Q$16,$R$3:$R$16)))*$B99,-5)</f>
        <v>29000000</v>
      </c>
      <c r="L99" s="17">
        <f t="shared" si="296"/>
        <v>73800000</v>
      </c>
      <c r="M99" s="17">
        <f t="shared" si="296"/>
        <v>79900000</v>
      </c>
    </row>
    <row r="100">
      <c r="A100" s="14" t="s">
        <v>137</v>
      </c>
      <c r="B100" s="14">
        <v>308.0</v>
      </c>
      <c r="C100" s="15">
        <f t="shared" si="4"/>
        <v>14</v>
      </c>
      <c r="D100" s="14" t="s">
        <v>36</v>
      </c>
      <c r="E100" s="16">
        <f t="shared" ref="E100:G100" si="297">ROUNDUP((XLOOKUP($D100,$T$3:$T$10,$U$3:$U$10)*XLOOKUP(E$2,$AA$3:$AA$5,$AB$3:$AB$5)-ABS(XLOOKUP($C100,$Q$3:$Q$16,$R$3:$R$16)))*$B100,-5)</f>
        <v>71900000</v>
      </c>
      <c r="F100" s="16">
        <f t="shared" si="297"/>
        <v>129900000</v>
      </c>
      <c r="G100" s="16">
        <f t="shared" si="297"/>
        <v>141900000</v>
      </c>
      <c r="H100" s="17">
        <f t="shared" ref="H100:J100" si="298">roundup((XLOOKUP($D100,$T$3:$T$10,$U$3:$U$10)*XLOOKUP(H$2,$AA$3:$AA$5,$AC$3:$AC$5)-ABS(XLOOKUP($C100,$Q$3:$Q$16,$R$3:$R$16)))*$B100,-5)</f>
        <v>58700000</v>
      </c>
      <c r="I100" s="17">
        <f t="shared" si="298"/>
        <v>161500000</v>
      </c>
      <c r="J100" s="17">
        <f t="shared" si="298"/>
        <v>175500000</v>
      </c>
      <c r="K100" s="17">
        <f t="shared" ref="K100:M100" si="299">roundup((XLOOKUP($D100,$T$3:$T$10,$U$3:$U$10)*XLOOKUP(K$2,$AA$3:$AA$5,$AD$3:$AD$5)-ABS(XLOOKUP($C100,$Q$3:$Q$16,$R$3:$R$16)))*$B100,-5)</f>
        <v>70100000</v>
      </c>
      <c r="L100" s="17">
        <f t="shared" si="299"/>
        <v>182900000</v>
      </c>
      <c r="M100" s="17">
        <f t="shared" si="299"/>
        <v>198300000</v>
      </c>
    </row>
    <row r="101">
      <c r="A101" s="14" t="s">
        <v>138</v>
      </c>
      <c r="B101" s="14">
        <v>180.0</v>
      </c>
      <c r="C101" s="15">
        <f t="shared" si="4"/>
        <v>12</v>
      </c>
      <c r="D101" s="14" t="s">
        <v>36</v>
      </c>
      <c r="E101" s="16">
        <f t="shared" ref="E101:G101" si="300">ROUNDUP((XLOOKUP($D101,$T$3:$T$10,$U$3:$U$10)*XLOOKUP(E$2,$AA$3:$AA$5,$AB$3:$AB$5)-ABS(XLOOKUP($C101,$Q$3:$Q$16,$R$3:$R$16)))*$B101,-5)</f>
        <v>46300000</v>
      </c>
      <c r="F101" s="16">
        <f t="shared" si="300"/>
        <v>80200000</v>
      </c>
      <c r="G101" s="16">
        <f t="shared" si="300"/>
        <v>87300000</v>
      </c>
      <c r="H101" s="17">
        <f t="shared" ref="H101:J101" si="301">roundup((XLOOKUP($D101,$T$3:$T$10,$U$3:$U$10)*XLOOKUP(H$2,$AA$3:$AA$5,$AC$3:$AC$5)-ABS(XLOOKUP($C101,$Q$3:$Q$16,$R$3:$R$16)))*$B101,-5)</f>
        <v>38600000</v>
      </c>
      <c r="I101" s="17">
        <f t="shared" si="301"/>
        <v>98700000</v>
      </c>
      <c r="J101" s="17">
        <f t="shared" si="301"/>
        <v>106900000</v>
      </c>
      <c r="K101" s="17">
        <f t="shared" ref="K101:M101" si="302">roundup((XLOOKUP($D101,$T$3:$T$10,$U$3:$U$10)*XLOOKUP(K$2,$AA$3:$AA$5,$AD$3:$AD$5)-ABS(XLOOKUP($C101,$Q$3:$Q$16,$R$3:$R$16)))*$B101,-5)</f>
        <v>45300000</v>
      </c>
      <c r="L101" s="17">
        <f t="shared" si="302"/>
        <v>111200000</v>
      </c>
      <c r="M101" s="17">
        <f t="shared" si="302"/>
        <v>120200000</v>
      </c>
    </row>
    <row r="102">
      <c r="A102" s="14" t="s">
        <v>139</v>
      </c>
      <c r="B102" s="14">
        <v>153.0</v>
      </c>
      <c r="C102" s="15">
        <f t="shared" si="4"/>
        <v>11</v>
      </c>
      <c r="D102" s="14" t="s">
        <v>36</v>
      </c>
      <c r="E102" s="16">
        <f t="shared" ref="E102:G102" si="303">ROUNDUP((XLOOKUP($D102,$T$3:$T$10,$U$3:$U$10)*XLOOKUP(E$2,$AA$3:$AA$5,$AB$3:$AB$5)-ABS(XLOOKUP($C102,$Q$3:$Q$16,$R$3:$R$16)))*$B102,-5)</f>
        <v>40200000</v>
      </c>
      <c r="F102" s="16">
        <f t="shared" si="303"/>
        <v>69000000</v>
      </c>
      <c r="G102" s="16">
        <f t="shared" si="303"/>
        <v>74900000</v>
      </c>
      <c r="H102" s="17">
        <f t="shared" ref="H102:J102" si="304">roundup((XLOOKUP($D102,$T$3:$T$10,$U$3:$U$10)*XLOOKUP(H$2,$AA$3:$AA$5,$AC$3:$AC$5)-ABS(XLOOKUP($C102,$Q$3:$Q$16,$R$3:$R$16)))*$B102,-5)</f>
        <v>33600000</v>
      </c>
      <c r="I102" s="17">
        <f t="shared" si="304"/>
        <v>84700000</v>
      </c>
      <c r="J102" s="17">
        <f t="shared" si="304"/>
        <v>91600000</v>
      </c>
      <c r="K102" s="17">
        <f t="shared" ref="K102:M102" si="305">roundup((XLOOKUP($D102,$T$3:$T$10,$U$3:$U$10)*XLOOKUP(K$2,$AA$3:$AA$5,$AD$3:$AD$5)-ABS(XLOOKUP($C102,$Q$3:$Q$16,$R$3:$R$16)))*$B102,-5)</f>
        <v>39300000</v>
      </c>
      <c r="L102" s="17">
        <f t="shared" si="305"/>
        <v>95300000</v>
      </c>
      <c r="M102" s="17">
        <f t="shared" si="305"/>
        <v>103000000</v>
      </c>
    </row>
    <row r="103">
      <c r="A103" s="14" t="s">
        <v>140</v>
      </c>
      <c r="B103" s="14">
        <v>246.0</v>
      </c>
      <c r="C103" s="15">
        <f t="shared" si="4"/>
        <v>14</v>
      </c>
      <c r="D103" s="14" t="s">
        <v>36</v>
      </c>
      <c r="E103" s="16">
        <f t="shared" ref="E103:G103" si="306">ROUNDUP((XLOOKUP($D103,$T$3:$T$10,$U$3:$U$10)*XLOOKUP(E$2,$AA$3:$AA$5,$AB$3:$AB$5)-ABS(XLOOKUP($C103,$Q$3:$Q$16,$R$3:$R$16)))*$B103,-5)</f>
        <v>57400000</v>
      </c>
      <c r="F103" s="16">
        <f t="shared" si="306"/>
        <v>103700000</v>
      </c>
      <c r="G103" s="16">
        <f t="shared" si="306"/>
        <v>113300000</v>
      </c>
      <c r="H103" s="17">
        <f t="shared" ref="H103:J103" si="307">roundup((XLOOKUP($D103,$T$3:$T$10,$U$3:$U$10)*XLOOKUP(H$2,$AA$3:$AA$5,$AC$3:$AC$5)-ABS(XLOOKUP($C103,$Q$3:$Q$16,$R$3:$R$16)))*$B103,-5)</f>
        <v>46900000</v>
      </c>
      <c r="I103" s="17">
        <f t="shared" si="307"/>
        <v>129000000</v>
      </c>
      <c r="J103" s="17">
        <f t="shared" si="307"/>
        <v>140200000</v>
      </c>
      <c r="K103" s="17">
        <f t="shared" ref="K103:M103" si="308">roundup((XLOOKUP($D103,$T$3:$T$10,$U$3:$U$10)*XLOOKUP(K$2,$AA$3:$AA$5,$AD$3:$AD$5)-ABS(XLOOKUP($C103,$Q$3:$Q$16,$R$3:$R$16)))*$B103,-5)</f>
        <v>56000000</v>
      </c>
      <c r="L103" s="17">
        <f t="shared" si="308"/>
        <v>146100000</v>
      </c>
      <c r="M103" s="17">
        <f t="shared" si="308"/>
        <v>158400000</v>
      </c>
    </row>
    <row r="104">
      <c r="A104" s="14" t="s">
        <v>141</v>
      </c>
      <c r="B104" s="14">
        <v>196.0</v>
      </c>
      <c r="C104" s="15">
        <f t="shared" si="4"/>
        <v>13</v>
      </c>
      <c r="D104" s="14" t="s">
        <v>33</v>
      </c>
      <c r="E104" s="16">
        <f t="shared" ref="E104:G104" si="309">ROUNDUP((XLOOKUP($D104,$T$3:$T$10,$U$3:$U$10)*XLOOKUP(E$2,$AA$3:$AA$5,$AB$3:$AB$5)-ABS(XLOOKUP($C104,$Q$3:$Q$16,$R$3:$R$16)))*$B104,-5)</f>
        <v>38600000</v>
      </c>
      <c r="F104" s="16">
        <f t="shared" si="309"/>
        <v>71500000</v>
      </c>
      <c r="G104" s="16">
        <f t="shared" si="309"/>
        <v>78400000</v>
      </c>
      <c r="H104" s="17">
        <f t="shared" ref="H104:J104" si="310">roundup((XLOOKUP($D104,$T$3:$T$10,$U$3:$U$10)*XLOOKUP(H$2,$AA$3:$AA$5,$AC$3:$AC$5)-ABS(XLOOKUP($C104,$Q$3:$Q$16,$R$3:$R$16)))*$B104,-5)</f>
        <v>31100000</v>
      </c>
      <c r="I104" s="17">
        <f t="shared" si="310"/>
        <v>89500000</v>
      </c>
      <c r="J104" s="17">
        <f t="shared" si="310"/>
        <v>97400000</v>
      </c>
      <c r="K104" s="17">
        <f t="shared" ref="K104:M104" si="311">roundup((XLOOKUP($D104,$T$3:$T$10,$U$3:$U$10)*XLOOKUP(K$2,$AA$3:$AA$5,$AD$3:$AD$5)-ABS(XLOOKUP($C104,$Q$3:$Q$16,$R$3:$R$16)))*$B104,-5)</f>
        <v>37600000</v>
      </c>
      <c r="L104" s="17">
        <f t="shared" si="311"/>
        <v>101600000</v>
      </c>
      <c r="M104" s="17">
        <f t="shared" si="311"/>
        <v>110400000</v>
      </c>
    </row>
    <row r="105">
      <c r="A105" s="14" t="s">
        <v>142</v>
      </c>
      <c r="B105" s="14">
        <v>134.0</v>
      </c>
      <c r="C105" s="15">
        <f t="shared" si="4"/>
        <v>11</v>
      </c>
      <c r="D105" s="14" t="s">
        <v>36</v>
      </c>
      <c r="E105" s="16">
        <f t="shared" ref="E105:G105" si="312">ROUNDUP((XLOOKUP($D105,$T$3:$T$10,$U$3:$U$10)*XLOOKUP(E$2,$AA$3:$AA$5,$AB$3:$AB$5)-ABS(XLOOKUP($C105,$Q$3:$Q$16,$R$3:$R$16)))*$B105,-5)</f>
        <v>35200000</v>
      </c>
      <c r="F105" s="16">
        <f t="shared" si="312"/>
        <v>60400000</v>
      </c>
      <c r="G105" s="16">
        <f t="shared" si="312"/>
        <v>65600000</v>
      </c>
      <c r="H105" s="17">
        <f t="shared" ref="H105:J105" si="313">roundup((XLOOKUP($D105,$T$3:$T$10,$U$3:$U$10)*XLOOKUP(H$2,$AA$3:$AA$5,$AC$3:$AC$5)-ABS(XLOOKUP($C105,$Q$3:$Q$16,$R$3:$R$16)))*$B105,-5)</f>
        <v>29400000</v>
      </c>
      <c r="I105" s="17">
        <f t="shared" si="313"/>
        <v>74200000</v>
      </c>
      <c r="J105" s="17">
        <f t="shared" si="313"/>
        <v>80300000</v>
      </c>
      <c r="K105" s="17">
        <f t="shared" ref="K105:M105" si="314">roundup((XLOOKUP($D105,$T$3:$T$10,$U$3:$U$10)*XLOOKUP(K$2,$AA$3:$AA$5,$AD$3:$AD$5)-ABS(XLOOKUP($C105,$Q$3:$Q$16,$R$3:$R$16)))*$B105,-5)</f>
        <v>34400000</v>
      </c>
      <c r="L105" s="17">
        <f t="shared" si="314"/>
        <v>83500000</v>
      </c>
      <c r="M105" s="17">
        <f t="shared" si="314"/>
        <v>90200000</v>
      </c>
    </row>
    <row r="106">
      <c r="A106" s="14" t="s">
        <v>143</v>
      </c>
      <c r="B106" s="14">
        <v>206.0</v>
      </c>
      <c r="C106" s="15">
        <f t="shared" si="4"/>
        <v>13</v>
      </c>
      <c r="D106" s="14" t="s">
        <v>33</v>
      </c>
      <c r="E106" s="16">
        <f t="shared" ref="E106:G106" si="315">ROUNDUP((XLOOKUP($D106,$T$3:$T$10,$U$3:$U$10)*XLOOKUP(E$2,$AA$3:$AA$5,$AB$3:$AB$5)-ABS(XLOOKUP($C106,$Q$3:$Q$16,$R$3:$R$16)))*$B106,-5)</f>
        <v>40600000</v>
      </c>
      <c r="F106" s="16">
        <f t="shared" si="315"/>
        <v>75200000</v>
      </c>
      <c r="G106" s="16">
        <f t="shared" si="315"/>
        <v>82300000</v>
      </c>
      <c r="H106" s="17">
        <f t="shared" ref="H106:J106" si="316">roundup((XLOOKUP($D106,$T$3:$T$10,$U$3:$U$10)*XLOOKUP(H$2,$AA$3:$AA$5,$AC$3:$AC$5)-ABS(XLOOKUP($C106,$Q$3:$Q$16,$R$3:$R$16)))*$B106,-5)</f>
        <v>32700000</v>
      </c>
      <c r="I106" s="17">
        <f t="shared" si="316"/>
        <v>94000000</v>
      </c>
      <c r="J106" s="17">
        <f t="shared" si="316"/>
        <v>102400000</v>
      </c>
      <c r="K106" s="17">
        <f t="shared" ref="K106:M106" si="317">roundup((XLOOKUP($D106,$T$3:$T$10,$U$3:$U$10)*XLOOKUP(K$2,$AA$3:$AA$5,$AD$3:$AD$5)-ABS(XLOOKUP($C106,$Q$3:$Q$16,$R$3:$R$16)))*$B106,-5)</f>
        <v>39500000</v>
      </c>
      <c r="L106" s="17">
        <f t="shared" si="317"/>
        <v>106800000</v>
      </c>
      <c r="M106" s="17">
        <f t="shared" si="317"/>
        <v>116000000</v>
      </c>
    </row>
    <row r="107">
      <c r="A107" s="14" t="s">
        <v>144</v>
      </c>
      <c r="B107" s="14">
        <v>420.0</v>
      </c>
      <c r="C107" s="15">
        <f t="shared" si="4"/>
        <v>14</v>
      </c>
      <c r="D107" s="14" t="s">
        <v>36</v>
      </c>
      <c r="E107" s="16">
        <f t="shared" ref="E107:G107" si="318">ROUNDUP((XLOOKUP($D107,$T$3:$T$10,$U$3:$U$10)*XLOOKUP(E$2,$AA$3:$AA$5,$AB$3:$AB$5)-ABS(XLOOKUP($C107,$Q$3:$Q$16,$R$3:$R$16)))*$B107,-5)</f>
        <v>98000000</v>
      </c>
      <c r="F107" s="16">
        <f t="shared" si="318"/>
        <v>177100000</v>
      </c>
      <c r="G107" s="16">
        <f t="shared" si="318"/>
        <v>193500000</v>
      </c>
      <c r="H107" s="17">
        <f t="shared" ref="H107:J107" si="319">roundup((XLOOKUP($D107,$T$3:$T$10,$U$3:$U$10)*XLOOKUP(H$2,$AA$3:$AA$5,$AC$3:$AC$5)-ABS(XLOOKUP($C107,$Q$3:$Q$16,$R$3:$R$16)))*$B107,-5)</f>
        <v>80000000</v>
      </c>
      <c r="I107" s="17">
        <f t="shared" si="319"/>
        <v>220200000</v>
      </c>
      <c r="J107" s="17">
        <f t="shared" si="319"/>
        <v>239300000</v>
      </c>
      <c r="K107" s="17">
        <f t="shared" ref="K107:M107" si="320">roundup((XLOOKUP($D107,$T$3:$T$10,$U$3:$U$10)*XLOOKUP(K$2,$AA$3:$AA$5,$AD$3:$AD$5)-ABS(XLOOKUP($C107,$Q$3:$Q$16,$R$3:$R$16)))*$B107,-5)</f>
        <v>95500000</v>
      </c>
      <c r="L107" s="17">
        <f t="shared" si="320"/>
        <v>249400000</v>
      </c>
      <c r="M107" s="17">
        <f t="shared" si="320"/>
        <v>270400000</v>
      </c>
    </row>
    <row r="108">
      <c r="A108" s="14" t="s">
        <v>145</v>
      </c>
      <c r="B108" s="14">
        <v>494.0</v>
      </c>
      <c r="C108" s="15">
        <f t="shared" si="4"/>
        <v>14</v>
      </c>
      <c r="D108" s="14" t="s">
        <v>36</v>
      </c>
      <c r="E108" s="16">
        <f t="shared" ref="E108:G108" si="321">ROUNDUP((XLOOKUP($D108,$T$3:$T$10,$U$3:$U$10)*XLOOKUP(E$2,$AA$3:$AA$5,$AB$3:$AB$5)-ABS(XLOOKUP($C108,$Q$3:$Q$16,$R$3:$R$16)))*$B108,-5)</f>
        <v>115200000</v>
      </c>
      <c r="F108" s="16">
        <f t="shared" si="321"/>
        <v>208300000</v>
      </c>
      <c r="G108" s="16">
        <f t="shared" si="321"/>
        <v>227500000</v>
      </c>
      <c r="H108" s="17">
        <f t="shared" ref="H108:J108" si="322">roundup((XLOOKUP($D108,$T$3:$T$10,$U$3:$U$10)*XLOOKUP(H$2,$AA$3:$AA$5,$AC$3:$AC$5)-ABS(XLOOKUP($C108,$Q$3:$Q$16,$R$3:$R$16)))*$B108,-5)</f>
        <v>94100000</v>
      </c>
      <c r="I108" s="17">
        <f t="shared" si="322"/>
        <v>259000000</v>
      </c>
      <c r="J108" s="17">
        <f t="shared" si="322"/>
        <v>281400000</v>
      </c>
      <c r="K108" s="17">
        <f t="shared" ref="K108:M108" si="323">roundup((XLOOKUP($D108,$T$3:$T$10,$U$3:$U$10)*XLOOKUP(K$2,$AA$3:$AA$5,$AD$3:$AD$5)-ABS(XLOOKUP($C108,$Q$3:$Q$16,$R$3:$R$16)))*$B108,-5)</f>
        <v>112400000</v>
      </c>
      <c r="L108" s="17">
        <f t="shared" si="323"/>
        <v>293300000</v>
      </c>
      <c r="M108" s="17">
        <f t="shared" si="323"/>
        <v>318000000</v>
      </c>
    </row>
    <row r="109">
      <c r="A109" s="14" t="s">
        <v>146</v>
      </c>
      <c r="B109" s="14">
        <v>158.0</v>
      </c>
      <c r="C109" s="15">
        <f t="shared" si="4"/>
        <v>11</v>
      </c>
      <c r="D109" s="14" t="s">
        <v>33</v>
      </c>
      <c r="E109" s="16">
        <f t="shared" ref="E109:G109" si="324">ROUNDUP((XLOOKUP($D109,$T$3:$T$10,$U$3:$U$10)*XLOOKUP(E$2,$AA$3:$AA$5,$AB$3:$AB$5)-ABS(XLOOKUP($C109,$Q$3:$Q$16,$R$3:$R$16)))*$B109,-5)</f>
        <v>34300000</v>
      </c>
      <c r="F109" s="16">
        <f t="shared" si="324"/>
        <v>60800000</v>
      </c>
      <c r="G109" s="16">
        <f t="shared" si="324"/>
        <v>66300000</v>
      </c>
      <c r="H109" s="17">
        <f t="shared" ref="H109:J109" si="325">roundup((XLOOKUP($D109,$T$3:$T$10,$U$3:$U$10)*XLOOKUP(H$2,$AA$3:$AA$5,$AC$3:$AC$5)-ABS(XLOOKUP($C109,$Q$3:$Q$16,$R$3:$R$16)))*$B109,-5)</f>
        <v>28200000</v>
      </c>
      <c r="I109" s="17">
        <f t="shared" si="325"/>
        <v>75300000</v>
      </c>
      <c r="J109" s="17">
        <f t="shared" si="325"/>
        <v>81700000</v>
      </c>
      <c r="K109" s="17">
        <f t="shared" ref="K109:M109" si="326">roundup((XLOOKUP($D109,$T$3:$T$10,$U$3:$U$10)*XLOOKUP(K$2,$AA$3:$AA$5,$AD$3:$AD$5)-ABS(XLOOKUP($C109,$Q$3:$Q$16,$R$3:$R$16)))*$B109,-5)</f>
        <v>33500000</v>
      </c>
      <c r="L109" s="17">
        <f t="shared" si="326"/>
        <v>85100000</v>
      </c>
      <c r="M109" s="17">
        <f t="shared" si="326"/>
        <v>92200000</v>
      </c>
    </row>
    <row r="110">
      <c r="A110" s="14" t="s">
        <v>147</v>
      </c>
      <c r="B110" s="14">
        <v>194.0</v>
      </c>
      <c r="C110" s="15">
        <f t="shared" si="4"/>
        <v>13</v>
      </c>
      <c r="D110" s="14" t="s">
        <v>36</v>
      </c>
      <c r="E110" s="16">
        <f t="shared" ref="E110:G110" si="327">ROUNDUP((XLOOKUP($D110,$T$3:$T$10,$U$3:$U$10)*XLOOKUP(E$2,$AA$3:$AA$5,$AB$3:$AB$5)-ABS(XLOOKUP($C110,$Q$3:$Q$16,$R$3:$R$16)))*$B110,-5)</f>
        <v>47000000</v>
      </c>
      <c r="F110" s="16">
        <f t="shared" si="327"/>
        <v>83600000</v>
      </c>
      <c r="G110" s="16">
        <f t="shared" si="327"/>
        <v>91100000</v>
      </c>
      <c r="H110" s="17">
        <f t="shared" ref="H110:J110" si="328">roundup((XLOOKUP($D110,$T$3:$T$10,$U$3:$U$10)*XLOOKUP(H$2,$AA$3:$AA$5,$AC$3:$AC$5)-ABS(XLOOKUP($C110,$Q$3:$Q$16,$R$3:$R$16)))*$B110,-5)</f>
        <v>38700000</v>
      </c>
      <c r="I110" s="17">
        <f t="shared" si="328"/>
        <v>103500000</v>
      </c>
      <c r="J110" s="17">
        <f t="shared" si="328"/>
        <v>112300000</v>
      </c>
      <c r="K110" s="17">
        <f t="shared" ref="K110:M110" si="329">roundup((XLOOKUP($D110,$T$3:$T$10,$U$3:$U$10)*XLOOKUP(K$2,$AA$3:$AA$5,$AD$3:$AD$5)-ABS(XLOOKUP($C110,$Q$3:$Q$16,$R$3:$R$16)))*$B110,-5)</f>
        <v>45900000</v>
      </c>
      <c r="L110" s="17">
        <f t="shared" si="329"/>
        <v>117000000</v>
      </c>
      <c r="M110" s="17">
        <f t="shared" si="329"/>
        <v>126700000</v>
      </c>
    </row>
    <row r="111">
      <c r="A111" s="14" t="s">
        <v>148</v>
      </c>
      <c r="B111" s="14">
        <v>211.0</v>
      </c>
      <c r="C111" s="15">
        <f t="shared" si="4"/>
        <v>13</v>
      </c>
      <c r="D111" s="14" t="s">
        <v>36</v>
      </c>
      <c r="E111" s="16">
        <f t="shared" ref="E111:G111" si="330">ROUNDUP((XLOOKUP($D111,$T$3:$T$10,$U$3:$U$10)*XLOOKUP(E$2,$AA$3:$AA$5,$AB$3:$AB$5)-ABS(XLOOKUP($C111,$Q$3:$Q$16,$R$3:$R$16)))*$B111,-5)</f>
        <v>51100000</v>
      </c>
      <c r="F111" s="16">
        <f t="shared" si="330"/>
        <v>90900000</v>
      </c>
      <c r="G111" s="16">
        <f t="shared" si="330"/>
        <v>99100000</v>
      </c>
      <c r="H111" s="17">
        <f t="shared" ref="H111:J111" si="331">roundup((XLOOKUP($D111,$T$3:$T$10,$U$3:$U$10)*XLOOKUP(H$2,$AA$3:$AA$5,$AC$3:$AC$5)-ABS(XLOOKUP($C111,$Q$3:$Q$16,$R$3:$R$16)))*$B111,-5)</f>
        <v>42100000</v>
      </c>
      <c r="I111" s="17">
        <f t="shared" si="331"/>
        <v>112500000</v>
      </c>
      <c r="J111" s="17">
        <f t="shared" si="331"/>
        <v>122100000</v>
      </c>
      <c r="K111" s="17">
        <f t="shared" ref="K111:M111" si="332">roundup((XLOOKUP($D111,$T$3:$T$10,$U$3:$U$10)*XLOOKUP(K$2,$AA$3:$AA$5,$AD$3:$AD$5)-ABS(XLOOKUP($C111,$Q$3:$Q$16,$R$3:$R$16)))*$B111,-5)</f>
        <v>49900000</v>
      </c>
      <c r="L111" s="17">
        <f t="shared" si="332"/>
        <v>127200000</v>
      </c>
      <c r="M111" s="17">
        <f t="shared" si="332"/>
        <v>137800000</v>
      </c>
    </row>
    <row r="112">
      <c r="A112" s="14" t="s">
        <v>149</v>
      </c>
      <c r="B112" s="14">
        <v>180.0</v>
      </c>
      <c r="C112" s="15">
        <f t="shared" si="4"/>
        <v>12</v>
      </c>
      <c r="D112" s="14" t="s">
        <v>36</v>
      </c>
      <c r="E112" s="16">
        <f t="shared" ref="E112:G112" si="333">ROUNDUP((XLOOKUP($D112,$T$3:$T$10,$U$3:$U$10)*XLOOKUP(E$2,$AA$3:$AA$5,$AB$3:$AB$5)-ABS(XLOOKUP($C112,$Q$3:$Q$16,$R$3:$R$16)))*$B112,-5)</f>
        <v>46300000</v>
      </c>
      <c r="F112" s="16">
        <f t="shared" si="333"/>
        <v>80200000</v>
      </c>
      <c r="G112" s="16">
        <f t="shared" si="333"/>
        <v>87300000</v>
      </c>
      <c r="H112" s="17">
        <f t="shared" ref="H112:J112" si="334">roundup((XLOOKUP($D112,$T$3:$T$10,$U$3:$U$10)*XLOOKUP(H$2,$AA$3:$AA$5,$AC$3:$AC$5)-ABS(XLOOKUP($C112,$Q$3:$Q$16,$R$3:$R$16)))*$B112,-5)</f>
        <v>38600000</v>
      </c>
      <c r="I112" s="17">
        <f t="shared" si="334"/>
        <v>98700000</v>
      </c>
      <c r="J112" s="17">
        <f t="shared" si="334"/>
        <v>106900000</v>
      </c>
      <c r="K112" s="17">
        <f t="shared" ref="K112:M112" si="335">roundup((XLOOKUP($D112,$T$3:$T$10,$U$3:$U$10)*XLOOKUP(K$2,$AA$3:$AA$5,$AD$3:$AD$5)-ABS(XLOOKUP($C112,$Q$3:$Q$16,$R$3:$R$16)))*$B112,-5)</f>
        <v>45300000</v>
      </c>
      <c r="L112" s="17">
        <f t="shared" si="335"/>
        <v>111200000</v>
      </c>
      <c r="M112" s="17">
        <f t="shared" si="335"/>
        <v>120200000</v>
      </c>
    </row>
    <row r="113">
      <c r="A113" s="14" t="s">
        <v>150</v>
      </c>
      <c r="B113" s="14">
        <v>89.0</v>
      </c>
      <c r="C113" s="15">
        <f t="shared" si="4"/>
        <v>11</v>
      </c>
      <c r="D113" s="14" t="s">
        <v>33</v>
      </c>
      <c r="E113" s="16">
        <f t="shared" ref="E113:G113" si="336">ROUNDUP((XLOOKUP($D113,$T$3:$T$10,$U$3:$U$10)*XLOOKUP(E$2,$AA$3:$AA$5,$AB$3:$AB$5)-ABS(XLOOKUP($C113,$Q$3:$Q$16,$R$3:$R$16)))*$B113,-5)</f>
        <v>19300000</v>
      </c>
      <c r="F113" s="16">
        <f t="shared" si="336"/>
        <v>34300000</v>
      </c>
      <c r="G113" s="16">
        <f t="shared" si="336"/>
        <v>37400000</v>
      </c>
      <c r="H113" s="17">
        <f t="shared" ref="H113:J113" si="337">roundup((XLOOKUP($D113,$T$3:$T$10,$U$3:$U$10)*XLOOKUP(H$2,$AA$3:$AA$5,$AC$3:$AC$5)-ABS(XLOOKUP($C113,$Q$3:$Q$16,$R$3:$R$16)))*$B113,-5)</f>
        <v>15900000</v>
      </c>
      <c r="I113" s="17">
        <f t="shared" si="337"/>
        <v>42400000</v>
      </c>
      <c r="J113" s="17">
        <f t="shared" si="337"/>
        <v>46100000</v>
      </c>
      <c r="K113" s="17">
        <f t="shared" ref="K113:M113" si="338">roundup((XLOOKUP($D113,$T$3:$T$10,$U$3:$U$10)*XLOOKUP(K$2,$AA$3:$AA$5,$AD$3:$AD$5)-ABS(XLOOKUP($C113,$Q$3:$Q$16,$R$3:$R$16)))*$B113,-5)</f>
        <v>18900000</v>
      </c>
      <c r="L113" s="17">
        <f t="shared" si="338"/>
        <v>48000000</v>
      </c>
      <c r="M113" s="17">
        <f t="shared" si="338"/>
        <v>51900000</v>
      </c>
    </row>
    <row r="114">
      <c r="A114" s="14" t="s">
        <v>151</v>
      </c>
      <c r="B114" s="14">
        <v>233.0</v>
      </c>
      <c r="C114" s="15">
        <f t="shared" si="4"/>
        <v>14</v>
      </c>
      <c r="D114" s="14" t="s">
        <v>36</v>
      </c>
      <c r="E114" s="16">
        <f t="shared" ref="E114:G114" si="339">ROUNDUP((XLOOKUP($D114,$T$3:$T$10,$U$3:$U$10)*XLOOKUP(E$2,$AA$3:$AA$5,$AB$3:$AB$5)-ABS(XLOOKUP($C114,$Q$3:$Q$16,$R$3:$R$16)))*$B114,-5)</f>
        <v>54400000</v>
      </c>
      <c r="F114" s="16">
        <f t="shared" si="339"/>
        <v>98300000</v>
      </c>
      <c r="G114" s="16">
        <f t="shared" si="339"/>
        <v>107300000</v>
      </c>
      <c r="H114" s="17">
        <f t="shared" ref="H114:J114" si="340">roundup((XLOOKUP($D114,$T$3:$T$10,$U$3:$U$10)*XLOOKUP(H$2,$AA$3:$AA$5,$AC$3:$AC$5)-ABS(XLOOKUP($C114,$Q$3:$Q$16,$R$3:$R$16)))*$B114,-5)</f>
        <v>44400000</v>
      </c>
      <c r="I114" s="17">
        <f t="shared" si="340"/>
        <v>122200000</v>
      </c>
      <c r="J114" s="17">
        <f t="shared" si="340"/>
        <v>132800000</v>
      </c>
      <c r="K114" s="17">
        <f t="shared" ref="K114:M114" si="341">roundup((XLOOKUP($D114,$T$3:$T$10,$U$3:$U$10)*XLOOKUP(K$2,$AA$3:$AA$5,$AD$3:$AD$5)-ABS(XLOOKUP($C114,$Q$3:$Q$16,$R$3:$R$16)))*$B114,-5)</f>
        <v>53000000</v>
      </c>
      <c r="L114" s="17">
        <f t="shared" si="341"/>
        <v>138400000</v>
      </c>
      <c r="M114" s="17">
        <f t="shared" si="341"/>
        <v>150000000</v>
      </c>
    </row>
    <row r="115">
      <c r="A115" s="14" t="s">
        <v>152</v>
      </c>
      <c r="B115" s="14">
        <v>187.0</v>
      </c>
      <c r="C115" s="15">
        <f t="shared" si="4"/>
        <v>13</v>
      </c>
      <c r="D115" s="14" t="s">
        <v>36</v>
      </c>
      <c r="E115" s="16">
        <f t="shared" ref="E115:G115" si="342">ROUNDUP((XLOOKUP($D115,$T$3:$T$10,$U$3:$U$10)*XLOOKUP(E$2,$AA$3:$AA$5,$AB$3:$AB$5)-ABS(XLOOKUP($C115,$Q$3:$Q$16,$R$3:$R$16)))*$B115,-5)</f>
        <v>45300000</v>
      </c>
      <c r="F115" s="16">
        <f t="shared" si="342"/>
        <v>80600000</v>
      </c>
      <c r="G115" s="16">
        <f t="shared" si="342"/>
        <v>87800000</v>
      </c>
      <c r="H115" s="17">
        <f t="shared" ref="H115:J115" si="343">roundup((XLOOKUP($D115,$T$3:$T$10,$U$3:$U$10)*XLOOKUP(H$2,$AA$3:$AA$5,$AC$3:$AC$5)-ABS(XLOOKUP($C115,$Q$3:$Q$16,$R$3:$R$16)))*$B115,-5)</f>
        <v>37300000</v>
      </c>
      <c r="I115" s="17">
        <f t="shared" si="343"/>
        <v>99700000</v>
      </c>
      <c r="J115" s="17">
        <f t="shared" si="343"/>
        <v>108300000</v>
      </c>
      <c r="K115" s="17">
        <f t="shared" ref="K115:M115" si="344">roundup((XLOOKUP($D115,$T$3:$T$10,$U$3:$U$10)*XLOOKUP(K$2,$AA$3:$AA$5,$AD$3:$AD$5)-ABS(XLOOKUP($C115,$Q$3:$Q$16,$R$3:$R$16)))*$B115,-5)</f>
        <v>44200000</v>
      </c>
      <c r="L115" s="17">
        <f t="shared" si="344"/>
        <v>112700000</v>
      </c>
      <c r="M115" s="17">
        <f t="shared" si="344"/>
        <v>122100000</v>
      </c>
    </row>
    <row r="116">
      <c r="A116" s="14" t="s">
        <v>153</v>
      </c>
      <c r="B116" s="14">
        <v>87.0</v>
      </c>
      <c r="C116" s="15">
        <f t="shared" si="4"/>
        <v>11</v>
      </c>
      <c r="D116" s="14" t="s">
        <v>33</v>
      </c>
      <c r="E116" s="16">
        <f t="shared" ref="E116:G116" si="345">ROUNDUP((XLOOKUP($D116,$T$3:$T$10,$U$3:$U$10)*XLOOKUP(E$2,$AA$3:$AA$5,$AB$3:$AB$5)-ABS(XLOOKUP($C116,$Q$3:$Q$16,$R$3:$R$16)))*$B116,-5)</f>
        <v>18900000</v>
      </c>
      <c r="F116" s="16">
        <f t="shared" si="345"/>
        <v>33500000</v>
      </c>
      <c r="G116" s="16">
        <f t="shared" si="345"/>
        <v>36500000</v>
      </c>
      <c r="H116" s="17">
        <f t="shared" ref="H116:J116" si="346">roundup((XLOOKUP($D116,$T$3:$T$10,$U$3:$U$10)*XLOOKUP(H$2,$AA$3:$AA$5,$AC$3:$AC$5)-ABS(XLOOKUP($C116,$Q$3:$Q$16,$R$3:$R$16)))*$B116,-5)</f>
        <v>15600000</v>
      </c>
      <c r="I116" s="17">
        <f t="shared" si="346"/>
        <v>41500000</v>
      </c>
      <c r="J116" s="17">
        <f t="shared" si="346"/>
        <v>45000000</v>
      </c>
      <c r="K116" s="17">
        <f t="shared" ref="K116:M116" si="347">roundup((XLOOKUP($D116,$T$3:$T$10,$U$3:$U$10)*XLOOKUP(K$2,$AA$3:$AA$5,$AD$3:$AD$5)-ABS(XLOOKUP($C116,$Q$3:$Q$16,$R$3:$R$16)))*$B116,-5)</f>
        <v>18400000</v>
      </c>
      <c r="L116" s="17">
        <f t="shared" si="347"/>
        <v>46900000</v>
      </c>
      <c r="M116" s="17">
        <f t="shared" si="347"/>
        <v>50800000</v>
      </c>
    </row>
    <row r="117">
      <c r="A117" s="14" t="s">
        <v>154</v>
      </c>
      <c r="B117" s="14">
        <v>231.0</v>
      </c>
      <c r="C117" s="15">
        <f t="shared" si="4"/>
        <v>14</v>
      </c>
      <c r="D117" s="14" t="s">
        <v>33</v>
      </c>
      <c r="E117" s="16">
        <f t="shared" ref="E117:G117" si="348">ROUNDUP((XLOOKUP($D117,$T$3:$T$10,$U$3:$U$10)*XLOOKUP(E$2,$AA$3:$AA$5,$AB$3:$AB$5)-ABS(XLOOKUP($C117,$Q$3:$Q$16,$R$3:$R$16)))*$B117,-5)</f>
        <v>43400000</v>
      </c>
      <c r="F117" s="16">
        <f t="shared" si="348"/>
        <v>82200000</v>
      </c>
      <c r="G117" s="16">
        <f t="shared" si="348"/>
        <v>90300000</v>
      </c>
      <c r="H117" s="17">
        <f t="shared" ref="H117:J117" si="349">roundup((XLOOKUP($D117,$T$3:$T$10,$U$3:$U$10)*XLOOKUP(H$2,$AA$3:$AA$5,$AC$3:$AC$5)-ABS(XLOOKUP($C117,$Q$3:$Q$16,$R$3:$R$16)))*$B117,-5)</f>
        <v>34600000</v>
      </c>
      <c r="I117" s="17">
        <f t="shared" si="349"/>
        <v>103400000</v>
      </c>
      <c r="J117" s="17">
        <f t="shared" si="349"/>
        <v>112700000</v>
      </c>
      <c r="K117" s="17">
        <f t="shared" ref="K117:M117" si="350">roundup((XLOOKUP($D117,$T$3:$T$10,$U$3:$U$10)*XLOOKUP(K$2,$AA$3:$AA$5,$AD$3:$AD$5)-ABS(XLOOKUP($C117,$Q$3:$Q$16,$R$3:$R$16)))*$B117,-5)</f>
        <v>42200000</v>
      </c>
      <c r="L117" s="17">
        <f t="shared" si="350"/>
        <v>117700000</v>
      </c>
      <c r="M117" s="17">
        <f t="shared" si="350"/>
        <v>128000000</v>
      </c>
    </row>
    <row r="118">
      <c r="A118" s="14" t="s">
        <v>155</v>
      </c>
      <c r="B118" s="14">
        <v>180.0</v>
      </c>
      <c r="C118" s="15">
        <f t="shared" si="4"/>
        <v>12</v>
      </c>
      <c r="D118" s="14" t="s">
        <v>36</v>
      </c>
      <c r="E118" s="16">
        <f t="shared" ref="E118:G118" si="351">ROUNDUP((XLOOKUP($D118,$T$3:$T$10,$U$3:$U$10)*XLOOKUP(E$2,$AA$3:$AA$5,$AB$3:$AB$5)-ABS(XLOOKUP($C118,$Q$3:$Q$16,$R$3:$R$16)))*$B118,-5)</f>
        <v>46300000</v>
      </c>
      <c r="F118" s="16">
        <f t="shared" si="351"/>
        <v>80200000</v>
      </c>
      <c r="G118" s="16">
        <f t="shared" si="351"/>
        <v>87300000</v>
      </c>
      <c r="H118" s="17">
        <f t="shared" ref="H118:J118" si="352">roundup((XLOOKUP($D118,$T$3:$T$10,$U$3:$U$10)*XLOOKUP(H$2,$AA$3:$AA$5,$AC$3:$AC$5)-ABS(XLOOKUP($C118,$Q$3:$Q$16,$R$3:$R$16)))*$B118,-5)</f>
        <v>38600000</v>
      </c>
      <c r="I118" s="17">
        <f t="shared" si="352"/>
        <v>98700000</v>
      </c>
      <c r="J118" s="17">
        <f t="shared" si="352"/>
        <v>106900000</v>
      </c>
      <c r="K118" s="17">
        <f t="shared" ref="K118:M118" si="353">roundup((XLOOKUP($D118,$T$3:$T$10,$U$3:$U$10)*XLOOKUP(K$2,$AA$3:$AA$5,$AD$3:$AD$5)-ABS(XLOOKUP($C118,$Q$3:$Q$16,$R$3:$R$16)))*$B118,-5)</f>
        <v>45300000</v>
      </c>
      <c r="L118" s="17">
        <f t="shared" si="353"/>
        <v>111200000</v>
      </c>
      <c r="M118" s="17">
        <f t="shared" si="353"/>
        <v>120200000</v>
      </c>
    </row>
    <row r="119">
      <c r="A119" s="14" t="s">
        <v>156</v>
      </c>
      <c r="B119" s="14">
        <v>194.0</v>
      </c>
      <c r="C119" s="15">
        <f t="shared" si="4"/>
        <v>13</v>
      </c>
      <c r="D119" s="14" t="s">
        <v>36</v>
      </c>
      <c r="E119" s="16">
        <f t="shared" ref="E119:G119" si="354">ROUNDUP((XLOOKUP($D119,$T$3:$T$10,$U$3:$U$10)*XLOOKUP(E$2,$AA$3:$AA$5,$AB$3:$AB$5)-ABS(XLOOKUP($C119,$Q$3:$Q$16,$R$3:$R$16)))*$B119,-5)</f>
        <v>47000000</v>
      </c>
      <c r="F119" s="16">
        <f t="shared" si="354"/>
        <v>83600000</v>
      </c>
      <c r="G119" s="16">
        <f t="shared" si="354"/>
        <v>91100000</v>
      </c>
      <c r="H119" s="17">
        <f t="shared" ref="H119:J119" si="355">roundup((XLOOKUP($D119,$T$3:$T$10,$U$3:$U$10)*XLOOKUP(H$2,$AA$3:$AA$5,$AC$3:$AC$5)-ABS(XLOOKUP($C119,$Q$3:$Q$16,$R$3:$R$16)))*$B119,-5)</f>
        <v>38700000</v>
      </c>
      <c r="I119" s="17">
        <f t="shared" si="355"/>
        <v>103500000</v>
      </c>
      <c r="J119" s="17">
        <f t="shared" si="355"/>
        <v>112300000</v>
      </c>
      <c r="K119" s="17">
        <f t="shared" ref="K119:M119" si="356">roundup((XLOOKUP($D119,$T$3:$T$10,$U$3:$U$10)*XLOOKUP(K$2,$AA$3:$AA$5,$AD$3:$AD$5)-ABS(XLOOKUP($C119,$Q$3:$Q$16,$R$3:$R$16)))*$B119,-5)</f>
        <v>45900000</v>
      </c>
      <c r="L119" s="17">
        <f t="shared" si="356"/>
        <v>117000000</v>
      </c>
      <c r="M119" s="17">
        <f t="shared" si="356"/>
        <v>126700000</v>
      </c>
    </row>
    <row r="120">
      <c r="A120" s="14" t="s">
        <v>157</v>
      </c>
      <c r="B120" s="14">
        <v>210.0</v>
      </c>
      <c r="C120" s="15">
        <f t="shared" si="4"/>
        <v>13</v>
      </c>
      <c r="D120" s="14" t="s">
        <v>36</v>
      </c>
      <c r="E120" s="16">
        <f t="shared" ref="E120:G120" si="357">ROUNDUP((XLOOKUP($D120,$T$3:$T$10,$U$3:$U$10)*XLOOKUP(E$2,$AA$3:$AA$5,$AB$3:$AB$5)-ABS(XLOOKUP($C120,$Q$3:$Q$16,$R$3:$R$16)))*$B120,-5)</f>
        <v>50900000</v>
      </c>
      <c r="F120" s="16">
        <f t="shared" si="357"/>
        <v>90500000</v>
      </c>
      <c r="G120" s="16">
        <f t="shared" si="357"/>
        <v>98600000</v>
      </c>
      <c r="H120" s="17">
        <f t="shared" ref="H120:J120" si="358">roundup((XLOOKUP($D120,$T$3:$T$10,$U$3:$U$10)*XLOOKUP(H$2,$AA$3:$AA$5,$AC$3:$AC$5)-ABS(XLOOKUP($C120,$Q$3:$Q$16,$R$3:$R$16)))*$B120,-5)</f>
        <v>41900000</v>
      </c>
      <c r="I120" s="17">
        <f t="shared" si="358"/>
        <v>112000000</v>
      </c>
      <c r="J120" s="17">
        <f t="shared" si="358"/>
        <v>121600000</v>
      </c>
      <c r="K120" s="17">
        <f t="shared" ref="K120:M120" si="359">roundup((XLOOKUP($D120,$T$3:$T$10,$U$3:$U$10)*XLOOKUP(K$2,$AA$3:$AA$5,$AD$3:$AD$5)-ABS(XLOOKUP($C120,$Q$3:$Q$16,$R$3:$R$16)))*$B120,-5)</f>
        <v>49700000</v>
      </c>
      <c r="L120" s="17">
        <f t="shared" si="359"/>
        <v>126600000</v>
      </c>
      <c r="M120" s="17">
        <f t="shared" si="359"/>
        <v>137100000</v>
      </c>
    </row>
    <row r="121">
      <c r="A121" s="14" t="s">
        <v>158</v>
      </c>
      <c r="B121" s="14">
        <v>154.0</v>
      </c>
      <c r="C121" s="15">
        <f t="shared" si="4"/>
        <v>11</v>
      </c>
      <c r="D121" s="14" t="s">
        <v>36</v>
      </c>
      <c r="E121" s="16">
        <f t="shared" ref="E121:G121" si="360">ROUNDUP((XLOOKUP($D121,$T$3:$T$10,$U$3:$U$10)*XLOOKUP(E$2,$AA$3:$AA$5,$AB$3:$AB$5)-ABS(XLOOKUP($C121,$Q$3:$Q$16,$R$3:$R$16)))*$B121,-5)</f>
        <v>40400000</v>
      </c>
      <c r="F121" s="16">
        <f t="shared" si="360"/>
        <v>69400000</v>
      </c>
      <c r="G121" s="16">
        <f t="shared" si="360"/>
        <v>75400000</v>
      </c>
      <c r="H121" s="17">
        <f t="shared" ref="H121:J121" si="361">roundup((XLOOKUP($D121,$T$3:$T$10,$U$3:$U$10)*XLOOKUP(H$2,$AA$3:$AA$5,$AC$3:$AC$5)-ABS(XLOOKUP($C121,$Q$3:$Q$16,$R$3:$R$16)))*$B121,-5)</f>
        <v>33800000</v>
      </c>
      <c r="I121" s="17">
        <f t="shared" si="361"/>
        <v>85200000</v>
      </c>
      <c r="J121" s="17">
        <f t="shared" si="361"/>
        <v>92200000</v>
      </c>
      <c r="K121" s="17">
        <f t="shared" ref="K121:M121" si="362">roundup((XLOOKUP($D121,$T$3:$T$10,$U$3:$U$10)*XLOOKUP(K$2,$AA$3:$AA$5,$AD$3:$AD$5)-ABS(XLOOKUP($C121,$Q$3:$Q$16,$R$3:$R$16)))*$B121,-5)</f>
        <v>39500000</v>
      </c>
      <c r="L121" s="17">
        <f t="shared" si="362"/>
        <v>95900000</v>
      </c>
      <c r="M121" s="17">
        <f t="shared" si="362"/>
        <v>103600000</v>
      </c>
    </row>
    <row r="122">
      <c r="A122" s="14" t="s">
        <v>159</v>
      </c>
      <c r="B122" s="14">
        <v>163.0</v>
      </c>
      <c r="C122" s="15">
        <f t="shared" si="4"/>
        <v>12</v>
      </c>
      <c r="D122" s="14" t="s">
        <v>33</v>
      </c>
      <c r="E122" s="16">
        <f t="shared" ref="E122:G122" si="363">ROUNDUP((XLOOKUP($D122,$T$3:$T$10,$U$3:$U$10)*XLOOKUP(E$2,$AA$3:$AA$5,$AB$3:$AB$5)-ABS(XLOOKUP($C122,$Q$3:$Q$16,$R$3:$R$16)))*$B122,-5)</f>
        <v>34600000</v>
      </c>
      <c r="F122" s="16">
        <f t="shared" si="363"/>
        <v>61900000</v>
      </c>
      <c r="G122" s="16">
        <f t="shared" si="363"/>
        <v>67600000</v>
      </c>
      <c r="H122" s="17">
        <f t="shared" ref="H122:J122" si="364">roundup((XLOOKUP($D122,$T$3:$T$10,$U$3:$U$10)*XLOOKUP(H$2,$AA$3:$AA$5,$AC$3:$AC$5)-ABS(XLOOKUP($C122,$Q$3:$Q$16,$R$3:$R$16)))*$B122,-5)</f>
        <v>28300000</v>
      </c>
      <c r="I122" s="17">
        <f t="shared" si="364"/>
        <v>76900000</v>
      </c>
      <c r="J122" s="17">
        <f t="shared" si="364"/>
        <v>83500000</v>
      </c>
      <c r="K122" s="17">
        <f t="shared" ref="K122:M122" si="365">roundup((XLOOKUP($D122,$T$3:$T$10,$U$3:$U$10)*XLOOKUP(K$2,$AA$3:$AA$5,$AD$3:$AD$5)-ABS(XLOOKUP($C122,$Q$3:$Q$16,$R$3:$R$16)))*$B122,-5)</f>
        <v>33700000</v>
      </c>
      <c r="L122" s="17">
        <f t="shared" si="365"/>
        <v>87000000</v>
      </c>
      <c r="M122" s="17">
        <f t="shared" si="365"/>
        <v>94300000</v>
      </c>
    </row>
    <row r="123">
      <c r="A123" s="14" t="s">
        <v>160</v>
      </c>
      <c r="B123" s="14">
        <v>144.0</v>
      </c>
      <c r="C123" s="15">
        <f t="shared" si="4"/>
        <v>11</v>
      </c>
      <c r="D123" s="14" t="s">
        <v>33</v>
      </c>
      <c r="E123" s="16">
        <f t="shared" ref="E123:G123" si="366">ROUNDUP((XLOOKUP($D123,$T$3:$T$10,$U$3:$U$10)*XLOOKUP(E$2,$AA$3:$AA$5,$AB$3:$AB$5)-ABS(XLOOKUP($C123,$Q$3:$Q$16,$R$3:$R$16)))*$B123,-5)</f>
        <v>31300000</v>
      </c>
      <c r="F123" s="16">
        <f t="shared" si="366"/>
        <v>55500000</v>
      </c>
      <c r="G123" s="16">
        <f t="shared" si="366"/>
        <v>60500000</v>
      </c>
      <c r="H123" s="17">
        <f t="shared" ref="H123:J123" si="367">roundup((XLOOKUP($D123,$T$3:$T$10,$U$3:$U$10)*XLOOKUP(H$2,$AA$3:$AA$5,$AC$3:$AC$5)-ABS(XLOOKUP($C123,$Q$3:$Q$16,$R$3:$R$16)))*$B123,-5)</f>
        <v>25700000</v>
      </c>
      <c r="I123" s="17">
        <f t="shared" si="367"/>
        <v>68600000</v>
      </c>
      <c r="J123" s="17">
        <f t="shared" si="367"/>
        <v>74500000</v>
      </c>
      <c r="K123" s="17">
        <f t="shared" ref="K123:M123" si="368">roundup((XLOOKUP($D123,$T$3:$T$10,$U$3:$U$10)*XLOOKUP(K$2,$AA$3:$AA$5,$AD$3:$AD$5)-ABS(XLOOKUP($C123,$Q$3:$Q$16,$R$3:$R$16)))*$B123,-5)</f>
        <v>30500000</v>
      </c>
      <c r="L123" s="17">
        <f t="shared" si="368"/>
        <v>77600000</v>
      </c>
      <c r="M123" s="17">
        <f t="shared" si="368"/>
        <v>84000000</v>
      </c>
    </row>
    <row r="124">
      <c r="A124" s="14" t="s">
        <v>161</v>
      </c>
      <c r="B124" s="14">
        <v>158.0</v>
      </c>
      <c r="C124" s="15">
        <f t="shared" si="4"/>
        <v>11</v>
      </c>
      <c r="D124" s="14" t="s">
        <v>36</v>
      </c>
      <c r="E124" s="16">
        <f t="shared" ref="E124:G124" si="369">ROUNDUP((XLOOKUP($D124,$T$3:$T$10,$U$3:$U$10)*XLOOKUP(E$2,$AA$3:$AA$5,$AB$3:$AB$5)-ABS(XLOOKUP($C124,$Q$3:$Q$16,$R$3:$R$16)))*$B124,-5)</f>
        <v>41500000</v>
      </c>
      <c r="F124" s="16">
        <f t="shared" si="369"/>
        <v>71200000</v>
      </c>
      <c r="G124" s="16">
        <f t="shared" si="369"/>
        <v>77400000</v>
      </c>
      <c r="H124" s="17">
        <f t="shared" ref="H124:J124" si="370">roundup((XLOOKUP($D124,$T$3:$T$10,$U$3:$U$10)*XLOOKUP(H$2,$AA$3:$AA$5,$AC$3:$AC$5)-ABS(XLOOKUP($C124,$Q$3:$Q$16,$R$3:$R$16)))*$B124,-5)</f>
        <v>34700000</v>
      </c>
      <c r="I124" s="17">
        <f t="shared" si="370"/>
        <v>87400000</v>
      </c>
      <c r="J124" s="17">
        <f t="shared" si="370"/>
        <v>94600000</v>
      </c>
      <c r="K124" s="17">
        <f t="shared" ref="K124:M124" si="371">roundup((XLOOKUP($D124,$T$3:$T$10,$U$3:$U$10)*XLOOKUP(K$2,$AA$3:$AA$5,$AD$3:$AD$5)-ABS(XLOOKUP($C124,$Q$3:$Q$16,$R$3:$R$16)))*$B124,-5)</f>
        <v>40600000</v>
      </c>
      <c r="L124" s="17">
        <f t="shared" si="371"/>
        <v>98400000</v>
      </c>
      <c r="M124" s="17">
        <f t="shared" si="371"/>
        <v>106300000</v>
      </c>
    </row>
    <row r="125">
      <c r="A125" s="14" t="s">
        <v>162</v>
      </c>
      <c r="B125" s="14">
        <v>109.0</v>
      </c>
      <c r="C125" s="15">
        <f t="shared" si="4"/>
        <v>11</v>
      </c>
      <c r="D125" s="14" t="s">
        <v>36</v>
      </c>
      <c r="E125" s="16">
        <f t="shared" ref="E125:G125" si="372">ROUNDUP((XLOOKUP($D125,$T$3:$T$10,$U$3:$U$10)*XLOOKUP(E$2,$AA$3:$AA$5,$AB$3:$AB$5)-ABS(XLOOKUP($C125,$Q$3:$Q$16,$R$3:$R$16)))*$B125,-5)</f>
        <v>28600000</v>
      </c>
      <c r="F125" s="16">
        <f t="shared" si="372"/>
        <v>49200000</v>
      </c>
      <c r="G125" s="16">
        <f t="shared" si="372"/>
        <v>53400000</v>
      </c>
      <c r="H125" s="17">
        <f t="shared" ref="H125:J125" si="373">roundup((XLOOKUP($D125,$T$3:$T$10,$U$3:$U$10)*XLOOKUP(H$2,$AA$3:$AA$5,$AC$3:$AC$5)-ABS(XLOOKUP($C125,$Q$3:$Q$16,$R$3:$R$16)))*$B125,-5)</f>
        <v>24000000</v>
      </c>
      <c r="I125" s="17">
        <f t="shared" si="373"/>
        <v>60300000</v>
      </c>
      <c r="J125" s="17">
        <f t="shared" si="373"/>
        <v>65300000</v>
      </c>
      <c r="K125" s="17">
        <f t="shared" ref="K125:M125" si="374">roundup((XLOOKUP($D125,$T$3:$T$10,$U$3:$U$10)*XLOOKUP(K$2,$AA$3:$AA$5,$AD$3:$AD$5)-ABS(XLOOKUP($C125,$Q$3:$Q$16,$R$3:$R$16)))*$B125,-5)</f>
        <v>28000000</v>
      </c>
      <c r="L125" s="17">
        <f t="shared" si="374"/>
        <v>67900000</v>
      </c>
      <c r="M125" s="17">
        <f t="shared" si="374"/>
        <v>73400000</v>
      </c>
    </row>
    <row r="126">
      <c r="A126" s="14" t="s">
        <v>163</v>
      </c>
      <c r="B126" s="14">
        <v>132.0</v>
      </c>
      <c r="C126" s="15">
        <f t="shared" si="4"/>
        <v>11</v>
      </c>
      <c r="D126" s="14" t="s">
        <v>36</v>
      </c>
      <c r="E126" s="16">
        <f t="shared" ref="E126:G126" si="375">ROUNDUP((XLOOKUP($D126,$T$3:$T$10,$U$3:$U$10)*XLOOKUP(E$2,$AA$3:$AA$5,$AB$3:$AB$5)-ABS(XLOOKUP($C126,$Q$3:$Q$16,$R$3:$R$16)))*$B126,-5)</f>
        <v>34700000</v>
      </c>
      <c r="F126" s="16">
        <f t="shared" si="375"/>
        <v>59500000</v>
      </c>
      <c r="G126" s="16">
        <f t="shared" si="375"/>
        <v>64700000</v>
      </c>
      <c r="H126" s="17">
        <f t="shared" ref="H126:J126" si="376">roundup((XLOOKUP($D126,$T$3:$T$10,$U$3:$U$10)*XLOOKUP(H$2,$AA$3:$AA$5,$AC$3:$AC$5)-ABS(XLOOKUP($C126,$Q$3:$Q$16,$R$3:$R$16)))*$B126,-5)</f>
        <v>29000000</v>
      </c>
      <c r="I126" s="17">
        <f t="shared" si="376"/>
        <v>73100000</v>
      </c>
      <c r="J126" s="17">
        <f t="shared" si="376"/>
        <v>79100000</v>
      </c>
      <c r="K126" s="17">
        <f t="shared" ref="K126:M126" si="377">roundup((XLOOKUP($D126,$T$3:$T$10,$U$3:$U$10)*XLOOKUP(K$2,$AA$3:$AA$5,$AD$3:$AD$5)-ABS(XLOOKUP($C126,$Q$3:$Q$16,$R$3:$R$16)))*$B126,-5)</f>
        <v>33900000</v>
      </c>
      <c r="L126" s="17">
        <f t="shared" si="377"/>
        <v>82200000</v>
      </c>
      <c r="M126" s="17">
        <f t="shared" si="377"/>
        <v>88800000</v>
      </c>
    </row>
    <row r="127">
      <c r="A127" s="14" t="s">
        <v>164</v>
      </c>
      <c r="B127" s="14">
        <v>105.0</v>
      </c>
      <c r="C127" s="15">
        <f t="shared" si="4"/>
        <v>11</v>
      </c>
      <c r="D127" s="14" t="s">
        <v>36</v>
      </c>
      <c r="E127" s="16">
        <f t="shared" ref="E127:G127" si="378">ROUNDUP((XLOOKUP($D127,$T$3:$T$10,$U$3:$U$10)*XLOOKUP(E$2,$AA$3:$AA$5,$AB$3:$AB$5)-ABS(XLOOKUP($C127,$Q$3:$Q$16,$R$3:$R$16)))*$B127,-5)</f>
        <v>27600000</v>
      </c>
      <c r="F127" s="16">
        <f t="shared" si="378"/>
        <v>47400000</v>
      </c>
      <c r="G127" s="16">
        <f t="shared" si="378"/>
        <v>51400000</v>
      </c>
      <c r="H127" s="17">
        <f t="shared" ref="H127:J127" si="379">roundup((XLOOKUP($D127,$T$3:$T$10,$U$3:$U$10)*XLOOKUP(H$2,$AA$3:$AA$5,$AC$3:$AC$5)-ABS(XLOOKUP($C127,$Q$3:$Q$16,$R$3:$R$16)))*$B127,-5)</f>
        <v>23100000</v>
      </c>
      <c r="I127" s="17">
        <f t="shared" si="379"/>
        <v>58100000</v>
      </c>
      <c r="J127" s="17">
        <f t="shared" si="379"/>
        <v>62900000</v>
      </c>
      <c r="K127" s="17">
        <f t="shared" ref="K127:M127" si="380">roundup((XLOOKUP($D127,$T$3:$T$10,$U$3:$U$10)*XLOOKUP(K$2,$AA$3:$AA$5,$AD$3:$AD$5)-ABS(XLOOKUP($C127,$Q$3:$Q$16,$R$3:$R$16)))*$B127,-5)</f>
        <v>27000000</v>
      </c>
      <c r="L127" s="17">
        <f t="shared" si="380"/>
        <v>65400000</v>
      </c>
      <c r="M127" s="17">
        <f t="shared" si="380"/>
        <v>70700000</v>
      </c>
    </row>
    <row r="128">
      <c r="A128" s="14" t="s">
        <v>165</v>
      </c>
      <c r="B128" s="14">
        <v>204.0</v>
      </c>
      <c r="C128" s="15">
        <f t="shared" si="4"/>
        <v>13</v>
      </c>
      <c r="D128" s="14" t="s">
        <v>36</v>
      </c>
      <c r="E128" s="16">
        <f t="shared" ref="E128:G128" si="381">ROUNDUP((XLOOKUP($D128,$T$3:$T$10,$U$3:$U$10)*XLOOKUP(E$2,$AA$3:$AA$5,$AB$3:$AB$5)-ABS(XLOOKUP($C128,$Q$3:$Q$16,$R$3:$R$16)))*$B128,-5)</f>
        <v>49500000</v>
      </c>
      <c r="F128" s="16">
        <f t="shared" si="381"/>
        <v>87900000</v>
      </c>
      <c r="G128" s="16">
        <f t="shared" si="381"/>
        <v>95800000</v>
      </c>
      <c r="H128" s="17">
        <f t="shared" ref="H128:J128" si="382">roundup((XLOOKUP($D128,$T$3:$T$10,$U$3:$U$10)*XLOOKUP(H$2,$AA$3:$AA$5,$AC$3:$AC$5)-ABS(XLOOKUP($C128,$Q$3:$Q$16,$R$3:$R$16)))*$B128,-5)</f>
        <v>40700000</v>
      </c>
      <c r="I128" s="17">
        <f t="shared" si="382"/>
        <v>108800000</v>
      </c>
      <c r="J128" s="17">
        <f t="shared" si="382"/>
        <v>118100000</v>
      </c>
      <c r="K128" s="17">
        <f t="shared" ref="K128:M128" si="383">roundup((XLOOKUP($D128,$T$3:$T$10,$U$3:$U$10)*XLOOKUP(K$2,$AA$3:$AA$5,$AD$3:$AD$5)-ABS(XLOOKUP($C128,$Q$3:$Q$16,$R$3:$R$16)))*$B128,-5)</f>
        <v>48300000</v>
      </c>
      <c r="L128" s="17">
        <f t="shared" si="383"/>
        <v>123000000</v>
      </c>
      <c r="M128" s="17">
        <f t="shared" si="383"/>
        <v>133200000</v>
      </c>
    </row>
    <row r="129">
      <c r="A129" s="14" t="s">
        <v>166</v>
      </c>
      <c r="B129" s="14">
        <v>244.0</v>
      </c>
      <c r="C129" s="15">
        <f t="shared" si="4"/>
        <v>14</v>
      </c>
      <c r="D129" s="14" t="s">
        <v>33</v>
      </c>
      <c r="E129" s="16">
        <f t="shared" ref="E129:G129" si="384">ROUNDUP((XLOOKUP($D129,$T$3:$T$10,$U$3:$U$10)*XLOOKUP(E$2,$AA$3:$AA$5,$AB$3:$AB$5)-ABS(XLOOKUP($C129,$Q$3:$Q$16,$R$3:$R$16)))*$B129,-5)</f>
        <v>45800000</v>
      </c>
      <c r="F129" s="16">
        <f t="shared" si="384"/>
        <v>86800000</v>
      </c>
      <c r="G129" s="16">
        <f t="shared" si="384"/>
        <v>95300000</v>
      </c>
      <c r="H129" s="17">
        <f t="shared" ref="H129:J129" si="385">roundup((XLOOKUP($D129,$T$3:$T$10,$U$3:$U$10)*XLOOKUP(H$2,$AA$3:$AA$5,$AC$3:$AC$5)-ABS(XLOOKUP($C129,$Q$3:$Q$16,$R$3:$R$16)))*$B129,-5)</f>
        <v>36500000</v>
      </c>
      <c r="I129" s="17">
        <f t="shared" si="385"/>
        <v>109200000</v>
      </c>
      <c r="J129" s="17">
        <f t="shared" si="385"/>
        <v>119100000</v>
      </c>
      <c r="K129" s="17">
        <f t="shared" ref="K129:M129" si="386">roundup((XLOOKUP($D129,$T$3:$T$10,$U$3:$U$10)*XLOOKUP(K$2,$AA$3:$AA$5,$AD$3:$AD$5)-ABS(XLOOKUP($C129,$Q$3:$Q$16,$R$3:$R$16)))*$B129,-5)</f>
        <v>44600000</v>
      </c>
      <c r="L129" s="17">
        <f t="shared" si="386"/>
        <v>124300000</v>
      </c>
      <c r="M129" s="17">
        <f t="shared" si="386"/>
        <v>135200000</v>
      </c>
    </row>
    <row r="130">
      <c r="A130" s="14" t="s">
        <v>167</v>
      </c>
      <c r="B130" s="14">
        <v>198.0</v>
      </c>
      <c r="C130" s="15">
        <f t="shared" si="4"/>
        <v>13</v>
      </c>
      <c r="D130" s="14" t="s">
        <v>36</v>
      </c>
      <c r="E130" s="16">
        <f t="shared" ref="E130:G130" si="387">ROUNDUP((XLOOKUP($D130,$T$3:$T$10,$U$3:$U$10)*XLOOKUP(E$2,$AA$3:$AA$5,$AB$3:$AB$5)-ABS(XLOOKUP($C130,$Q$3:$Q$16,$R$3:$R$16)))*$B130,-5)</f>
        <v>48000000</v>
      </c>
      <c r="F130" s="16">
        <f t="shared" si="387"/>
        <v>85300000</v>
      </c>
      <c r="G130" s="16">
        <f t="shared" si="387"/>
        <v>93000000</v>
      </c>
      <c r="H130" s="17">
        <f t="shared" ref="H130:J130" si="388">roundup((XLOOKUP($D130,$T$3:$T$10,$U$3:$U$10)*XLOOKUP(H$2,$AA$3:$AA$5,$AC$3:$AC$5)-ABS(XLOOKUP($C130,$Q$3:$Q$16,$R$3:$R$16)))*$B130,-5)</f>
        <v>39500000</v>
      </c>
      <c r="I130" s="17">
        <f t="shared" si="388"/>
        <v>105600000</v>
      </c>
      <c r="J130" s="17">
        <f t="shared" si="388"/>
        <v>114600000</v>
      </c>
      <c r="K130" s="17">
        <f t="shared" ref="K130:M130" si="389">roundup((XLOOKUP($D130,$T$3:$T$10,$U$3:$U$10)*XLOOKUP(K$2,$AA$3:$AA$5,$AD$3:$AD$5)-ABS(XLOOKUP($C130,$Q$3:$Q$16,$R$3:$R$16)))*$B130,-5)</f>
        <v>46800000</v>
      </c>
      <c r="L130" s="17">
        <f t="shared" si="389"/>
        <v>119400000</v>
      </c>
      <c r="M130" s="17">
        <f t="shared" si="389"/>
        <v>129300000</v>
      </c>
    </row>
    <row r="131">
      <c r="A131" s="14" t="s">
        <v>168</v>
      </c>
      <c r="B131" s="14">
        <v>134.0</v>
      </c>
      <c r="C131" s="15">
        <f t="shared" si="4"/>
        <v>11</v>
      </c>
      <c r="D131" s="14" t="s">
        <v>36</v>
      </c>
      <c r="E131" s="16">
        <f t="shared" ref="E131:G131" si="390">ROUNDUP((XLOOKUP($D131,$T$3:$T$10,$U$3:$U$10)*XLOOKUP(E$2,$AA$3:$AA$5,$AB$3:$AB$5)-ABS(XLOOKUP($C131,$Q$3:$Q$16,$R$3:$R$16)))*$B131,-5)</f>
        <v>35200000</v>
      </c>
      <c r="F131" s="16">
        <f t="shared" si="390"/>
        <v>60400000</v>
      </c>
      <c r="G131" s="16">
        <f t="shared" si="390"/>
        <v>65600000</v>
      </c>
      <c r="H131" s="17">
        <f t="shared" ref="H131:J131" si="391">roundup((XLOOKUP($D131,$T$3:$T$10,$U$3:$U$10)*XLOOKUP(H$2,$AA$3:$AA$5,$AC$3:$AC$5)-ABS(XLOOKUP($C131,$Q$3:$Q$16,$R$3:$R$16)))*$B131,-5)</f>
        <v>29400000</v>
      </c>
      <c r="I131" s="17">
        <f t="shared" si="391"/>
        <v>74200000</v>
      </c>
      <c r="J131" s="17">
        <f t="shared" si="391"/>
        <v>80300000</v>
      </c>
      <c r="K131" s="17">
        <f t="shared" ref="K131:M131" si="392">roundup((XLOOKUP($D131,$T$3:$T$10,$U$3:$U$10)*XLOOKUP(K$2,$AA$3:$AA$5,$AD$3:$AD$5)-ABS(XLOOKUP($C131,$Q$3:$Q$16,$R$3:$R$16)))*$B131,-5)</f>
        <v>34400000</v>
      </c>
      <c r="L131" s="17">
        <f t="shared" si="392"/>
        <v>83500000</v>
      </c>
      <c r="M131" s="17">
        <f t="shared" si="392"/>
        <v>90200000</v>
      </c>
    </row>
    <row r="132">
      <c r="A132" s="14" t="s">
        <v>169</v>
      </c>
      <c r="B132" s="14">
        <v>110.0</v>
      </c>
      <c r="C132" s="15">
        <f t="shared" si="4"/>
        <v>11</v>
      </c>
      <c r="D132" s="14" t="s">
        <v>33</v>
      </c>
      <c r="E132" s="16">
        <f t="shared" ref="E132:G132" si="393">ROUNDUP((XLOOKUP($D132,$T$3:$T$10,$U$3:$U$10)*XLOOKUP(E$2,$AA$3:$AA$5,$AB$3:$AB$5)-ABS(XLOOKUP($C132,$Q$3:$Q$16,$R$3:$R$16)))*$B132,-5)</f>
        <v>23900000</v>
      </c>
      <c r="F132" s="16">
        <f t="shared" si="393"/>
        <v>42400000</v>
      </c>
      <c r="G132" s="16">
        <f t="shared" si="393"/>
        <v>46200000</v>
      </c>
      <c r="H132" s="17">
        <f t="shared" ref="H132:J132" si="394">roundup((XLOOKUP($D132,$T$3:$T$10,$U$3:$U$10)*XLOOKUP(H$2,$AA$3:$AA$5,$AC$3:$AC$5)-ABS(XLOOKUP($C132,$Q$3:$Q$16,$R$3:$R$16)))*$B132,-5)</f>
        <v>19700000</v>
      </c>
      <c r="I132" s="17">
        <f t="shared" si="394"/>
        <v>52400000</v>
      </c>
      <c r="J132" s="17">
        <f t="shared" si="394"/>
        <v>56900000</v>
      </c>
      <c r="K132" s="17">
        <f t="shared" ref="K132:M132" si="395">roundup((XLOOKUP($D132,$T$3:$T$10,$U$3:$U$10)*XLOOKUP(K$2,$AA$3:$AA$5,$AD$3:$AD$5)-ABS(XLOOKUP($C132,$Q$3:$Q$16,$R$3:$R$16)))*$B132,-5)</f>
        <v>23300000</v>
      </c>
      <c r="L132" s="17">
        <f t="shared" si="395"/>
        <v>59300000</v>
      </c>
      <c r="M132" s="17">
        <f t="shared" si="395"/>
        <v>64200000</v>
      </c>
    </row>
    <row r="133">
      <c r="A133" s="14" t="s">
        <v>170</v>
      </c>
      <c r="B133" s="14">
        <v>104.0</v>
      </c>
      <c r="C133" s="15">
        <f t="shared" si="4"/>
        <v>11</v>
      </c>
      <c r="D133" s="14" t="s">
        <v>36</v>
      </c>
      <c r="E133" s="16">
        <f t="shared" ref="E133:G133" si="396">ROUNDUP((XLOOKUP($D133,$T$3:$T$10,$U$3:$U$10)*XLOOKUP(E$2,$AA$3:$AA$5,$AB$3:$AB$5)-ABS(XLOOKUP($C133,$Q$3:$Q$16,$R$3:$R$16)))*$B133,-5)</f>
        <v>27300000</v>
      </c>
      <c r="F133" s="16">
        <f t="shared" si="396"/>
        <v>46900000</v>
      </c>
      <c r="G133" s="16">
        <f t="shared" si="396"/>
        <v>51000000</v>
      </c>
      <c r="H133" s="17">
        <f t="shared" ref="H133:J133" si="397">roundup((XLOOKUP($D133,$T$3:$T$10,$U$3:$U$10)*XLOOKUP(H$2,$AA$3:$AA$5,$AC$3:$AC$5)-ABS(XLOOKUP($C133,$Q$3:$Q$16,$R$3:$R$16)))*$B133,-5)</f>
        <v>22900000</v>
      </c>
      <c r="I133" s="17">
        <f t="shared" si="397"/>
        <v>57600000</v>
      </c>
      <c r="J133" s="17">
        <f t="shared" si="397"/>
        <v>62300000</v>
      </c>
      <c r="K133" s="17">
        <f t="shared" ref="K133:M133" si="398">roundup((XLOOKUP($D133,$T$3:$T$10,$U$3:$U$10)*XLOOKUP(K$2,$AA$3:$AA$5,$AD$3:$AD$5)-ABS(XLOOKUP($C133,$Q$3:$Q$16,$R$3:$R$16)))*$B133,-5)</f>
        <v>26700000</v>
      </c>
      <c r="L133" s="17">
        <f t="shared" si="398"/>
        <v>64800000</v>
      </c>
      <c r="M133" s="17">
        <f t="shared" si="398"/>
        <v>70000000</v>
      </c>
    </row>
    <row r="134">
      <c r="A134" s="14" t="s">
        <v>171</v>
      </c>
      <c r="B134" s="14">
        <v>118.0</v>
      </c>
      <c r="C134" s="15">
        <f t="shared" si="4"/>
        <v>11</v>
      </c>
      <c r="D134" s="14" t="s">
        <v>36</v>
      </c>
      <c r="E134" s="16">
        <f t="shared" ref="E134:G134" si="399">ROUNDUP((XLOOKUP($D134,$T$3:$T$10,$U$3:$U$10)*XLOOKUP(E$2,$AA$3:$AA$5,$AB$3:$AB$5)-ABS(XLOOKUP($C134,$Q$3:$Q$16,$R$3:$R$16)))*$B134,-5)</f>
        <v>31000000</v>
      </c>
      <c r="F134" s="16">
        <f t="shared" si="399"/>
        <v>53200000</v>
      </c>
      <c r="G134" s="16">
        <f t="shared" si="399"/>
        <v>57800000</v>
      </c>
      <c r="H134" s="17">
        <f t="shared" ref="H134:J134" si="400">roundup((XLOOKUP($D134,$T$3:$T$10,$U$3:$U$10)*XLOOKUP(H$2,$AA$3:$AA$5,$AC$3:$AC$5)-ABS(XLOOKUP($C134,$Q$3:$Q$16,$R$3:$R$16)))*$B134,-5)</f>
        <v>25900000</v>
      </c>
      <c r="I134" s="17">
        <f t="shared" si="400"/>
        <v>65300000</v>
      </c>
      <c r="J134" s="17">
        <f t="shared" si="400"/>
        <v>70700000</v>
      </c>
      <c r="K134" s="17">
        <f t="shared" ref="K134:M134" si="401">roundup((XLOOKUP($D134,$T$3:$T$10,$U$3:$U$10)*XLOOKUP(K$2,$AA$3:$AA$5,$AD$3:$AD$5)-ABS(XLOOKUP($C134,$Q$3:$Q$16,$R$3:$R$16)))*$B134,-5)</f>
        <v>30300000</v>
      </c>
      <c r="L134" s="17">
        <f t="shared" si="401"/>
        <v>73500000</v>
      </c>
      <c r="M134" s="17">
        <f t="shared" si="401"/>
        <v>79400000</v>
      </c>
    </row>
    <row r="135">
      <c r="A135" s="14" t="s">
        <v>172</v>
      </c>
      <c r="B135" s="14">
        <v>99.0</v>
      </c>
      <c r="C135" s="15">
        <f t="shared" si="4"/>
        <v>11</v>
      </c>
      <c r="D135" s="14" t="s">
        <v>33</v>
      </c>
      <c r="E135" s="16">
        <f t="shared" ref="E135:G135" si="402">ROUNDUP((XLOOKUP($D135,$T$3:$T$10,$U$3:$U$10)*XLOOKUP(E$2,$AA$3:$AA$5,$AB$3:$AB$5)-ABS(XLOOKUP($C135,$Q$3:$Q$16,$R$3:$R$16)))*$B135,-5)</f>
        <v>21500000</v>
      </c>
      <c r="F135" s="16">
        <f t="shared" si="402"/>
        <v>38100000</v>
      </c>
      <c r="G135" s="16">
        <f t="shared" si="402"/>
        <v>41600000</v>
      </c>
      <c r="H135" s="17">
        <f t="shared" ref="H135:J135" si="403">roundup((XLOOKUP($D135,$T$3:$T$10,$U$3:$U$10)*XLOOKUP(H$2,$AA$3:$AA$5,$AC$3:$AC$5)-ABS(XLOOKUP($C135,$Q$3:$Q$16,$R$3:$R$16)))*$B135,-5)</f>
        <v>17700000</v>
      </c>
      <c r="I135" s="17">
        <f t="shared" si="403"/>
        <v>47200000</v>
      </c>
      <c r="J135" s="17">
        <f t="shared" si="403"/>
        <v>51200000</v>
      </c>
      <c r="K135" s="17">
        <f t="shared" ref="K135:M135" si="404">roundup((XLOOKUP($D135,$T$3:$T$10,$U$3:$U$10)*XLOOKUP(K$2,$AA$3:$AA$5,$AD$3:$AD$5)-ABS(XLOOKUP($C135,$Q$3:$Q$16,$R$3:$R$16)))*$B135,-5)</f>
        <v>21000000</v>
      </c>
      <c r="L135" s="17">
        <f t="shared" si="404"/>
        <v>53300000</v>
      </c>
      <c r="M135" s="17">
        <f t="shared" si="404"/>
        <v>57800000</v>
      </c>
    </row>
    <row r="136">
      <c r="A136" s="14" t="s">
        <v>173</v>
      </c>
      <c r="B136" s="14">
        <v>239.0</v>
      </c>
      <c r="C136" s="15">
        <f t="shared" si="4"/>
        <v>14</v>
      </c>
      <c r="D136" s="14" t="s">
        <v>33</v>
      </c>
      <c r="E136" s="16">
        <f t="shared" ref="E136:G136" si="405">ROUNDUP((XLOOKUP($D136,$T$3:$T$10,$U$3:$U$10)*XLOOKUP(E$2,$AA$3:$AA$5,$AB$3:$AB$5)-ABS(XLOOKUP($C136,$Q$3:$Q$16,$R$3:$R$16)))*$B136,-5)</f>
        <v>44900000</v>
      </c>
      <c r="F136" s="16">
        <f t="shared" si="405"/>
        <v>85100000</v>
      </c>
      <c r="G136" s="16">
        <f t="shared" si="405"/>
        <v>93400000</v>
      </c>
      <c r="H136" s="17">
        <f t="shared" ref="H136:J136" si="406">roundup((XLOOKUP($D136,$T$3:$T$10,$U$3:$U$10)*XLOOKUP(H$2,$AA$3:$AA$5,$AC$3:$AC$5)-ABS(XLOOKUP($C136,$Q$3:$Q$16,$R$3:$R$16)))*$B136,-5)</f>
        <v>35800000</v>
      </c>
      <c r="I136" s="17">
        <f t="shared" si="406"/>
        <v>107000000</v>
      </c>
      <c r="J136" s="17">
        <f t="shared" si="406"/>
        <v>116600000</v>
      </c>
      <c r="K136" s="17">
        <f t="shared" ref="K136:M136" si="407">roundup((XLOOKUP($D136,$T$3:$T$10,$U$3:$U$10)*XLOOKUP(K$2,$AA$3:$AA$5,$AD$3:$AD$5)-ABS(XLOOKUP($C136,$Q$3:$Q$16,$R$3:$R$16)))*$B136,-5)</f>
        <v>43700000</v>
      </c>
      <c r="L136" s="17">
        <f t="shared" si="407"/>
        <v>121800000</v>
      </c>
      <c r="M136" s="17">
        <f t="shared" si="407"/>
        <v>132400000</v>
      </c>
    </row>
    <row r="137">
      <c r="A137" s="14" t="s">
        <v>174</v>
      </c>
      <c r="B137" s="14">
        <v>234.0</v>
      </c>
      <c r="C137" s="15">
        <f t="shared" si="4"/>
        <v>14</v>
      </c>
      <c r="D137" s="14" t="s">
        <v>36</v>
      </c>
      <c r="E137" s="16">
        <f t="shared" ref="E137:G137" si="408">ROUNDUP((XLOOKUP($D137,$T$3:$T$10,$U$3:$U$10)*XLOOKUP(E$2,$AA$3:$AA$5,$AB$3:$AB$5)-ABS(XLOOKUP($C137,$Q$3:$Q$16,$R$3:$R$16)))*$B137,-5)</f>
        <v>54600000</v>
      </c>
      <c r="F137" s="16">
        <f t="shared" si="408"/>
        <v>98700000</v>
      </c>
      <c r="G137" s="16">
        <f t="shared" si="408"/>
        <v>107800000</v>
      </c>
      <c r="H137" s="17">
        <f t="shared" ref="H137:J137" si="409">roundup((XLOOKUP($D137,$T$3:$T$10,$U$3:$U$10)*XLOOKUP(H$2,$AA$3:$AA$5,$AC$3:$AC$5)-ABS(XLOOKUP($C137,$Q$3:$Q$16,$R$3:$R$16)))*$B137,-5)</f>
        <v>44600000</v>
      </c>
      <c r="I137" s="17">
        <f t="shared" si="409"/>
        <v>122700000</v>
      </c>
      <c r="J137" s="17">
        <f t="shared" si="409"/>
        <v>133300000</v>
      </c>
      <c r="K137" s="17">
        <f t="shared" ref="K137:M137" si="410">roundup((XLOOKUP($D137,$T$3:$T$10,$U$3:$U$10)*XLOOKUP(K$2,$AA$3:$AA$5,$AD$3:$AD$5)-ABS(XLOOKUP($C137,$Q$3:$Q$16,$R$3:$R$16)))*$B137,-5)</f>
        <v>53200000</v>
      </c>
      <c r="L137" s="17">
        <f t="shared" si="410"/>
        <v>139000000</v>
      </c>
      <c r="M137" s="17">
        <f t="shared" si="410"/>
        <v>150700000</v>
      </c>
    </row>
    <row r="138">
      <c r="A138" s="14" t="s">
        <v>175</v>
      </c>
      <c r="B138" s="14">
        <v>172.0</v>
      </c>
      <c r="C138" s="15">
        <f t="shared" si="4"/>
        <v>12</v>
      </c>
      <c r="D138" s="14" t="s">
        <v>36</v>
      </c>
      <c r="E138" s="16">
        <f t="shared" ref="E138:G138" si="411">ROUNDUP((XLOOKUP($D138,$T$3:$T$10,$U$3:$U$10)*XLOOKUP(E$2,$AA$3:$AA$5,$AB$3:$AB$5)-ABS(XLOOKUP($C138,$Q$3:$Q$16,$R$3:$R$16)))*$B138,-5)</f>
        <v>44300000</v>
      </c>
      <c r="F138" s="16">
        <f t="shared" si="411"/>
        <v>76700000</v>
      </c>
      <c r="G138" s="16">
        <f t="shared" si="411"/>
        <v>83400000</v>
      </c>
      <c r="H138" s="17">
        <f t="shared" ref="H138:J138" si="412">roundup((XLOOKUP($D138,$T$3:$T$10,$U$3:$U$10)*XLOOKUP(H$2,$AA$3:$AA$5,$AC$3:$AC$5)-ABS(XLOOKUP($C138,$Q$3:$Q$16,$R$3:$R$16)))*$B138,-5)</f>
        <v>36900000</v>
      </c>
      <c r="I138" s="17">
        <f t="shared" si="412"/>
        <v>94300000</v>
      </c>
      <c r="J138" s="17">
        <f t="shared" si="412"/>
        <v>102200000</v>
      </c>
      <c r="K138" s="17">
        <f t="shared" ref="K138:M138" si="413">roundup((XLOOKUP($D138,$T$3:$T$10,$U$3:$U$10)*XLOOKUP(K$2,$AA$3:$AA$5,$AD$3:$AD$5)-ABS(XLOOKUP($C138,$Q$3:$Q$16,$R$3:$R$16)))*$B138,-5)</f>
        <v>43300000</v>
      </c>
      <c r="L138" s="17">
        <f t="shared" si="413"/>
        <v>106300000</v>
      </c>
      <c r="M138" s="17">
        <f t="shared" si="413"/>
        <v>114900000</v>
      </c>
    </row>
    <row r="139">
      <c r="A139" s="14" t="s">
        <v>176</v>
      </c>
      <c r="B139" s="14">
        <v>174.0</v>
      </c>
      <c r="C139" s="15">
        <f t="shared" si="4"/>
        <v>12</v>
      </c>
      <c r="D139" s="14" t="s">
        <v>36</v>
      </c>
      <c r="E139" s="16">
        <f t="shared" ref="E139:G139" si="414">ROUNDUP((XLOOKUP($D139,$T$3:$T$10,$U$3:$U$10)*XLOOKUP(E$2,$AA$3:$AA$5,$AB$3:$AB$5)-ABS(XLOOKUP($C139,$Q$3:$Q$16,$R$3:$R$16)))*$B139,-5)</f>
        <v>44800000</v>
      </c>
      <c r="F139" s="16">
        <f t="shared" si="414"/>
        <v>77600000</v>
      </c>
      <c r="G139" s="16">
        <f t="shared" si="414"/>
        <v>84400000</v>
      </c>
      <c r="H139" s="17">
        <f t="shared" ref="H139:J139" si="415">roundup((XLOOKUP($D139,$T$3:$T$10,$U$3:$U$10)*XLOOKUP(H$2,$AA$3:$AA$5,$AC$3:$AC$5)-ABS(XLOOKUP($C139,$Q$3:$Q$16,$R$3:$R$16)))*$B139,-5)</f>
        <v>37300000</v>
      </c>
      <c r="I139" s="17">
        <f t="shared" si="415"/>
        <v>95400000</v>
      </c>
      <c r="J139" s="17">
        <f t="shared" si="415"/>
        <v>103300000</v>
      </c>
      <c r="K139" s="17">
        <f t="shared" ref="K139:M139" si="416">roundup((XLOOKUP($D139,$T$3:$T$10,$U$3:$U$10)*XLOOKUP(K$2,$AA$3:$AA$5,$AD$3:$AD$5)-ABS(XLOOKUP($C139,$Q$3:$Q$16,$R$3:$R$16)))*$B139,-5)</f>
        <v>43800000</v>
      </c>
      <c r="L139" s="17">
        <f t="shared" si="416"/>
        <v>107500000</v>
      </c>
      <c r="M139" s="17">
        <f t="shared" si="416"/>
        <v>116200000</v>
      </c>
    </row>
    <row r="140">
      <c r="A140" s="14" t="s">
        <v>177</v>
      </c>
      <c r="B140" s="14">
        <v>213.0</v>
      </c>
      <c r="C140" s="15">
        <f t="shared" si="4"/>
        <v>13</v>
      </c>
      <c r="D140" s="14" t="s">
        <v>36</v>
      </c>
      <c r="E140" s="16">
        <f t="shared" ref="E140:G140" si="417">ROUNDUP((XLOOKUP($D140,$T$3:$T$10,$U$3:$U$10)*XLOOKUP(E$2,$AA$3:$AA$5,$AB$3:$AB$5)-ABS(XLOOKUP($C140,$Q$3:$Q$16,$R$3:$R$16)))*$B140,-5)</f>
        <v>51600000</v>
      </c>
      <c r="F140" s="16">
        <f t="shared" si="417"/>
        <v>91800000</v>
      </c>
      <c r="G140" s="16">
        <f t="shared" si="417"/>
        <v>100100000</v>
      </c>
      <c r="H140" s="17">
        <f t="shared" ref="H140:J140" si="418">roundup((XLOOKUP($D140,$T$3:$T$10,$U$3:$U$10)*XLOOKUP(H$2,$AA$3:$AA$5,$AC$3:$AC$5)-ABS(XLOOKUP($C140,$Q$3:$Q$16,$R$3:$R$16)))*$B140,-5)</f>
        <v>42500000</v>
      </c>
      <c r="I140" s="17">
        <f t="shared" si="418"/>
        <v>113600000</v>
      </c>
      <c r="J140" s="17">
        <f t="shared" si="418"/>
        <v>123300000</v>
      </c>
      <c r="K140" s="17">
        <f t="shared" ref="K140:M140" si="419">roundup((XLOOKUP($D140,$T$3:$T$10,$U$3:$U$10)*XLOOKUP(K$2,$AA$3:$AA$5,$AD$3:$AD$5)-ABS(XLOOKUP($C140,$Q$3:$Q$16,$R$3:$R$16)))*$B140,-5)</f>
        <v>50400000</v>
      </c>
      <c r="L140" s="17">
        <f t="shared" si="419"/>
        <v>128400000</v>
      </c>
      <c r="M140" s="17">
        <f t="shared" si="419"/>
        <v>139100000</v>
      </c>
    </row>
    <row r="141">
      <c r="A141" s="14" t="s">
        <v>178</v>
      </c>
      <c r="B141" s="14">
        <v>199.0</v>
      </c>
      <c r="C141" s="15">
        <f t="shared" si="4"/>
        <v>13</v>
      </c>
      <c r="D141" s="14" t="s">
        <v>36</v>
      </c>
      <c r="E141" s="16">
        <f t="shared" ref="E141:G141" si="420">ROUNDUP((XLOOKUP($D141,$T$3:$T$10,$U$3:$U$10)*XLOOKUP(E$2,$AA$3:$AA$5,$AB$3:$AB$5)-ABS(XLOOKUP($C141,$Q$3:$Q$16,$R$3:$R$16)))*$B141,-5)</f>
        <v>48200000</v>
      </c>
      <c r="F141" s="16">
        <f t="shared" si="420"/>
        <v>85700000</v>
      </c>
      <c r="G141" s="16">
        <f t="shared" si="420"/>
        <v>93500000</v>
      </c>
      <c r="H141" s="17">
        <f t="shared" ref="H141:J141" si="421">roundup((XLOOKUP($D141,$T$3:$T$10,$U$3:$U$10)*XLOOKUP(H$2,$AA$3:$AA$5,$AC$3:$AC$5)-ABS(XLOOKUP($C141,$Q$3:$Q$16,$R$3:$R$16)))*$B141,-5)</f>
        <v>39700000</v>
      </c>
      <c r="I141" s="17">
        <f t="shared" si="421"/>
        <v>106100000</v>
      </c>
      <c r="J141" s="17">
        <f t="shared" si="421"/>
        <v>115200000</v>
      </c>
      <c r="K141" s="17">
        <f t="shared" ref="K141:M141" si="422">roundup((XLOOKUP($D141,$T$3:$T$10,$U$3:$U$10)*XLOOKUP(K$2,$AA$3:$AA$5,$AD$3:$AD$5)-ABS(XLOOKUP($C141,$Q$3:$Q$16,$R$3:$R$16)))*$B141,-5)</f>
        <v>47100000</v>
      </c>
      <c r="L141" s="17">
        <f t="shared" si="422"/>
        <v>120000000</v>
      </c>
      <c r="M141" s="17">
        <f t="shared" si="422"/>
        <v>129900000</v>
      </c>
    </row>
    <row r="142">
      <c r="A142" s="14" t="s">
        <v>179</v>
      </c>
      <c r="B142" s="14">
        <v>182.0</v>
      </c>
      <c r="C142" s="15">
        <f t="shared" si="4"/>
        <v>13</v>
      </c>
      <c r="D142" s="14" t="s">
        <v>33</v>
      </c>
      <c r="E142" s="16">
        <f t="shared" ref="E142:G142" si="423">ROUNDUP((XLOOKUP($D142,$T$3:$T$10,$U$3:$U$10)*XLOOKUP(E$2,$AA$3:$AA$5,$AB$3:$AB$5)-ABS(XLOOKUP($C142,$Q$3:$Q$16,$R$3:$R$16)))*$B142,-5)</f>
        <v>35800000</v>
      </c>
      <c r="F142" s="16">
        <f t="shared" si="423"/>
        <v>66400000</v>
      </c>
      <c r="G142" s="16">
        <f t="shared" si="423"/>
        <v>72800000</v>
      </c>
      <c r="H142" s="17">
        <f t="shared" ref="H142:J142" si="424">roundup((XLOOKUP($D142,$T$3:$T$10,$U$3:$U$10)*XLOOKUP(H$2,$AA$3:$AA$5,$AC$3:$AC$5)-ABS(XLOOKUP($C142,$Q$3:$Q$16,$R$3:$R$16)))*$B142,-5)</f>
        <v>28900000</v>
      </c>
      <c r="I142" s="17">
        <f t="shared" si="424"/>
        <v>83100000</v>
      </c>
      <c r="J142" s="17">
        <f t="shared" si="424"/>
        <v>90500000</v>
      </c>
      <c r="K142" s="17">
        <f t="shared" ref="K142:M142" si="425">roundup((XLOOKUP($D142,$T$3:$T$10,$U$3:$U$10)*XLOOKUP(K$2,$AA$3:$AA$5,$AD$3:$AD$5)-ABS(XLOOKUP($C142,$Q$3:$Q$16,$R$3:$R$16)))*$B142,-5)</f>
        <v>34900000</v>
      </c>
      <c r="L142" s="17">
        <f t="shared" si="425"/>
        <v>94400000</v>
      </c>
      <c r="M142" s="17">
        <f t="shared" si="425"/>
        <v>102500000</v>
      </c>
    </row>
    <row r="143">
      <c r="A143" s="14" t="s">
        <v>180</v>
      </c>
      <c r="B143" s="14">
        <v>192.0</v>
      </c>
      <c r="C143" s="15">
        <f t="shared" si="4"/>
        <v>13</v>
      </c>
      <c r="D143" s="14" t="s">
        <v>36</v>
      </c>
      <c r="E143" s="16">
        <f t="shared" ref="E143:G143" si="426">ROUNDUP((XLOOKUP($D143,$T$3:$T$10,$U$3:$U$10)*XLOOKUP(E$2,$AA$3:$AA$5,$AB$3:$AB$5)-ABS(XLOOKUP($C143,$Q$3:$Q$16,$R$3:$R$16)))*$B143,-5)</f>
        <v>46500000</v>
      </c>
      <c r="F143" s="16">
        <f t="shared" si="426"/>
        <v>82700000</v>
      </c>
      <c r="G143" s="16">
        <f t="shared" si="426"/>
        <v>90200000</v>
      </c>
      <c r="H143" s="17">
        <f t="shared" ref="H143:J143" si="427">roundup((XLOOKUP($D143,$T$3:$T$10,$U$3:$U$10)*XLOOKUP(H$2,$AA$3:$AA$5,$AC$3:$AC$5)-ABS(XLOOKUP($C143,$Q$3:$Q$16,$R$3:$R$16)))*$B143,-5)</f>
        <v>38300000</v>
      </c>
      <c r="I143" s="17">
        <f t="shared" si="427"/>
        <v>102400000</v>
      </c>
      <c r="J143" s="17">
        <f t="shared" si="427"/>
        <v>111100000</v>
      </c>
      <c r="K143" s="17">
        <f t="shared" ref="K143:M143" si="428">roundup((XLOOKUP($D143,$T$3:$T$10,$U$3:$U$10)*XLOOKUP(K$2,$AA$3:$AA$5,$AD$3:$AD$5)-ABS(XLOOKUP($C143,$Q$3:$Q$16,$R$3:$R$16)))*$B143,-5)</f>
        <v>45400000</v>
      </c>
      <c r="L143" s="17">
        <f t="shared" si="428"/>
        <v>115800000</v>
      </c>
      <c r="M143" s="17">
        <f t="shared" si="428"/>
        <v>125400000</v>
      </c>
    </row>
    <row r="144">
      <c r="A144" s="14" t="s">
        <v>181</v>
      </c>
      <c r="B144" s="14">
        <v>177.0</v>
      </c>
      <c r="C144" s="15">
        <f t="shared" si="4"/>
        <v>12</v>
      </c>
      <c r="D144" s="14" t="s">
        <v>36</v>
      </c>
      <c r="E144" s="16">
        <f t="shared" ref="E144:G144" si="429">ROUNDUP((XLOOKUP($D144,$T$3:$T$10,$U$3:$U$10)*XLOOKUP(E$2,$AA$3:$AA$5,$AB$3:$AB$5)-ABS(XLOOKUP($C144,$Q$3:$Q$16,$R$3:$R$16)))*$B144,-5)</f>
        <v>45600000</v>
      </c>
      <c r="F144" s="16">
        <f t="shared" si="429"/>
        <v>78900000</v>
      </c>
      <c r="G144" s="16">
        <f t="shared" si="429"/>
        <v>85800000</v>
      </c>
      <c r="H144" s="17">
        <f t="shared" ref="H144:J144" si="430">roundup((XLOOKUP($D144,$T$3:$T$10,$U$3:$U$10)*XLOOKUP(H$2,$AA$3:$AA$5,$AC$3:$AC$5)-ABS(XLOOKUP($C144,$Q$3:$Q$16,$R$3:$R$16)))*$B144,-5)</f>
        <v>38000000</v>
      </c>
      <c r="I144" s="17">
        <f t="shared" si="430"/>
        <v>97100000</v>
      </c>
      <c r="J144" s="17">
        <f t="shared" si="430"/>
        <v>105100000</v>
      </c>
      <c r="K144" s="17">
        <f t="shared" ref="K144:M144" si="431">roundup((XLOOKUP($D144,$T$3:$T$10,$U$3:$U$10)*XLOOKUP(K$2,$AA$3:$AA$5,$AD$3:$AD$5)-ABS(XLOOKUP($C144,$Q$3:$Q$16,$R$3:$R$16)))*$B144,-5)</f>
        <v>44500000</v>
      </c>
      <c r="L144" s="17">
        <f t="shared" si="431"/>
        <v>109400000</v>
      </c>
      <c r="M144" s="17">
        <f t="shared" si="431"/>
        <v>118200000</v>
      </c>
    </row>
    <row r="145">
      <c r="A145" s="14" t="s">
        <v>182</v>
      </c>
      <c r="B145" s="14">
        <v>167.0</v>
      </c>
      <c r="C145" s="15">
        <f t="shared" si="4"/>
        <v>12</v>
      </c>
      <c r="D145" s="14" t="s">
        <v>36</v>
      </c>
      <c r="E145" s="16">
        <f t="shared" ref="E145:G145" si="432">ROUNDUP((XLOOKUP($D145,$T$3:$T$10,$U$3:$U$10)*XLOOKUP(E$2,$AA$3:$AA$5,$AB$3:$AB$5)-ABS(XLOOKUP($C145,$Q$3:$Q$16,$R$3:$R$16)))*$B145,-5)</f>
        <v>43000000</v>
      </c>
      <c r="F145" s="16">
        <f t="shared" si="432"/>
        <v>74500000</v>
      </c>
      <c r="G145" s="16">
        <f t="shared" si="432"/>
        <v>81000000</v>
      </c>
      <c r="H145" s="17">
        <f t="shared" ref="H145:J145" si="433">roundup((XLOOKUP($D145,$T$3:$T$10,$U$3:$U$10)*XLOOKUP(H$2,$AA$3:$AA$5,$AC$3:$AC$5)-ABS(XLOOKUP($C145,$Q$3:$Q$16,$R$3:$R$16)))*$B145,-5)</f>
        <v>35800000</v>
      </c>
      <c r="I145" s="17">
        <f t="shared" si="433"/>
        <v>91600000</v>
      </c>
      <c r="J145" s="17">
        <f t="shared" si="433"/>
        <v>99200000</v>
      </c>
      <c r="K145" s="17">
        <f t="shared" ref="K145:M145" si="434">roundup((XLOOKUP($D145,$T$3:$T$10,$U$3:$U$10)*XLOOKUP(K$2,$AA$3:$AA$5,$AD$3:$AD$5)-ABS(XLOOKUP($C145,$Q$3:$Q$16,$R$3:$R$16)))*$B145,-5)</f>
        <v>42000000</v>
      </c>
      <c r="L145" s="17">
        <f t="shared" si="434"/>
        <v>103200000</v>
      </c>
      <c r="M145" s="17">
        <f t="shared" si="434"/>
        <v>111500000</v>
      </c>
    </row>
    <row r="146">
      <c r="A146" s="14" t="s">
        <v>183</v>
      </c>
      <c r="B146" s="14">
        <v>163.0</v>
      </c>
      <c r="C146" s="15">
        <f t="shared" si="4"/>
        <v>12</v>
      </c>
      <c r="D146" s="14" t="s">
        <v>33</v>
      </c>
      <c r="E146" s="16">
        <f t="shared" ref="E146:G146" si="435">ROUNDUP((XLOOKUP($D146,$T$3:$T$10,$U$3:$U$10)*XLOOKUP(E$2,$AA$3:$AA$5,$AB$3:$AB$5)-ABS(XLOOKUP($C146,$Q$3:$Q$16,$R$3:$R$16)))*$B146,-5)</f>
        <v>34600000</v>
      </c>
      <c r="F146" s="16">
        <f t="shared" si="435"/>
        <v>61900000</v>
      </c>
      <c r="G146" s="16">
        <f t="shared" si="435"/>
        <v>67600000</v>
      </c>
      <c r="H146" s="17">
        <f t="shared" ref="H146:J146" si="436">roundup((XLOOKUP($D146,$T$3:$T$10,$U$3:$U$10)*XLOOKUP(H$2,$AA$3:$AA$5,$AC$3:$AC$5)-ABS(XLOOKUP($C146,$Q$3:$Q$16,$R$3:$R$16)))*$B146,-5)</f>
        <v>28300000</v>
      </c>
      <c r="I146" s="17">
        <f t="shared" si="436"/>
        <v>76900000</v>
      </c>
      <c r="J146" s="17">
        <f t="shared" si="436"/>
        <v>83500000</v>
      </c>
      <c r="K146" s="17">
        <f t="shared" ref="K146:M146" si="437">roundup((XLOOKUP($D146,$T$3:$T$10,$U$3:$U$10)*XLOOKUP(K$2,$AA$3:$AA$5,$AD$3:$AD$5)-ABS(XLOOKUP($C146,$Q$3:$Q$16,$R$3:$R$16)))*$B146,-5)</f>
        <v>33700000</v>
      </c>
      <c r="L146" s="17">
        <f t="shared" si="437"/>
        <v>87000000</v>
      </c>
      <c r="M146" s="17">
        <f t="shared" si="437"/>
        <v>94300000</v>
      </c>
    </row>
    <row r="147">
      <c r="A147" s="14" t="s">
        <v>184</v>
      </c>
      <c r="B147" s="14">
        <v>152.0</v>
      </c>
      <c r="C147" s="15">
        <f t="shared" si="4"/>
        <v>11</v>
      </c>
      <c r="D147" s="14" t="s">
        <v>36</v>
      </c>
      <c r="E147" s="16">
        <f t="shared" ref="E147:G147" si="438">ROUNDUP((XLOOKUP($D147,$T$3:$T$10,$U$3:$U$10)*XLOOKUP(E$2,$AA$3:$AA$5,$AB$3:$AB$5)-ABS(XLOOKUP($C147,$Q$3:$Q$16,$R$3:$R$16)))*$B147,-5)</f>
        <v>39900000</v>
      </c>
      <c r="F147" s="16">
        <f t="shared" si="438"/>
        <v>68500000</v>
      </c>
      <c r="G147" s="16">
        <f t="shared" si="438"/>
        <v>74500000</v>
      </c>
      <c r="H147" s="17">
        <f t="shared" ref="H147:J147" si="439">roundup((XLOOKUP($D147,$T$3:$T$10,$U$3:$U$10)*XLOOKUP(H$2,$AA$3:$AA$5,$AC$3:$AC$5)-ABS(XLOOKUP($C147,$Q$3:$Q$16,$R$3:$R$16)))*$B147,-5)</f>
        <v>33400000</v>
      </c>
      <c r="I147" s="17">
        <f t="shared" si="439"/>
        <v>84100000</v>
      </c>
      <c r="J147" s="17">
        <f t="shared" si="439"/>
        <v>91000000</v>
      </c>
      <c r="K147" s="17">
        <f t="shared" ref="K147:M147" si="440">roundup((XLOOKUP($D147,$T$3:$T$10,$U$3:$U$10)*XLOOKUP(K$2,$AA$3:$AA$5,$AD$3:$AD$5)-ABS(XLOOKUP($C147,$Q$3:$Q$16,$R$3:$R$16)))*$B147,-5)</f>
        <v>39000000</v>
      </c>
      <c r="L147" s="17">
        <f t="shared" si="440"/>
        <v>94700000</v>
      </c>
      <c r="M147" s="17">
        <f t="shared" si="440"/>
        <v>102300000</v>
      </c>
    </row>
    <row r="148">
      <c r="A148" s="14" t="s">
        <v>185</v>
      </c>
      <c r="B148" s="14">
        <v>151.0</v>
      </c>
      <c r="C148" s="15">
        <f t="shared" si="4"/>
        <v>11</v>
      </c>
      <c r="D148" s="14" t="s">
        <v>33</v>
      </c>
      <c r="E148" s="16">
        <f t="shared" ref="E148:G148" si="441">ROUNDUP((XLOOKUP($D148,$T$3:$T$10,$U$3:$U$10)*XLOOKUP(E$2,$AA$3:$AA$5,$AB$3:$AB$5)-ABS(XLOOKUP($C148,$Q$3:$Q$16,$R$3:$R$16)))*$B148,-5)</f>
        <v>32800000</v>
      </c>
      <c r="F148" s="16">
        <f t="shared" si="441"/>
        <v>58100000</v>
      </c>
      <c r="G148" s="16">
        <f t="shared" si="441"/>
        <v>63400000</v>
      </c>
      <c r="H148" s="17">
        <f t="shared" ref="H148:J148" si="442">roundup((XLOOKUP($D148,$T$3:$T$10,$U$3:$U$10)*XLOOKUP(H$2,$AA$3:$AA$5,$AC$3:$AC$5)-ABS(XLOOKUP($C148,$Q$3:$Q$16,$R$3:$R$16)))*$B148,-5)</f>
        <v>27000000</v>
      </c>
      <c r="I148" s="17">
        <f t="shared" si="442"/>
        <v>72000000</v>
      </c>
      <c r="J148" s="17">
        <f t="shared" si="442"/>
        <v>78100000</v>
      </c>
      <c r="K148" s="17">
        <f t="shared" ref="K148:M148" si="443">roundup((XLOOKUP($D148,$T$3:$T$10,$U$3:$U$10)*XLOOKUP(K$2,$AA$3:$AA$5,$AD$3:$AD$5)-ABS(XLOOKUP($C148,$Q$3:$Q$16,$R$3:$R$16)))*$B148,-5)</f>
        <v>32000000</v>
      </c>
      <c r="L148" s="17">
        <f t="shared" si="443"/>
        <v>81300000</v>
      </c>
      <c r="M148" s="17">
        <f t="shared" si="443"/>
        <v>88100000</v>
      </c>
    </row>
    <row r="149">
      <c r="A149" s="14" t="s">
        <v>186</v>
      </c>
      <c r="B149" s="14">
        <v>136.0</v>
      </c>
      <c r="C149" s="15">
        <f t="shared" si="4"/>
        <v>11</v>
      </c>
      <c r="D149" s="14" t="s">
        <v>36</v>
      </c>
      <c r="E149" s="16">
        <f t="shared" ref="E149:G149" si="444">ROUNDUP((XLOOKUP($D149,$T$3:$T$10,$U$3:$U$10)*XLOOKUP(E$2,$AA$3:$AA$5,$AB$3:$AB$5)-ABS(XLOOKUP($C149,$Q$3:$Q$16,$R$3:$R$16)))*$B149,-5)</f>
        <v>35700000</v>
      </c>
      <c r="F149" s="16">
        <f t="shared" si="444"/>
        <v>61300000</v>
      </c>
      <c r="G149" s="16">
        <f t="shared" si="444"/>
        <v>66600000</v>
      </c>
      <c r="H149" s="17">
        <f t="shared" ref="H149:J149" si="445">roundup((XLOOKUP($D149,$T$3:$T$10,$U$3:$U$10)*XLOOKUP(H$2,$AA$3:$AA$5,$AC$3:$AC$5)-ABS(XLOOKUP($C149,$Q$3:$Q$16,$R$3:$R$16)))*$B149,-5)</f>
        <v>29900000</v>
      </c>
      <c r="I149" s="17">
        <f t="shared" si="445"/>
        <v>75300000</v>
      </c>
      <c r="J149" s="17">
        <f t="shared" si="445"/>
        <v>81500000</v>
      </c>
      <c r="K149" s="17">
        <f t="shared" ref="K149:M149" si="446">roundup((XLOOKUP($D149,$T$3:$T$10,$U$3:$U$10)*XLOOKUP(K$2,$AA$3:$AA$5,$AD$3:$AD$5)-ABS(XLOOKUP($C149,$Q$3:$Q$16,$R$3:$R$16)))*$B149,-5)</f>
        <v>34900000</v>
      </c>
      <c r="L149" s="17">
        <f t="shared" si="446"/>
        <v>84700000</v>
      </c>
      <c r="M149" s="17">
        <f t="shared" si="446"/>
        <v>91500000</v>
      </c>
    </row>
    <row r="150">
      <c r="A150" s="14" t="s">
        <v>187</v>
      </c>
      <c r="B150" s="14">
        <v>128.0</v>
      </c>
      <c r="C150" s="15">
        <f t="shared" si="4"/>
        <v>11</v>
      </c>
      <c r="D150" s="14" t="s">
        <v>33</v>
      </c>
      <c r="E150" s="16">
        <f t="shared" ref="E150:G150" si="447">ROUNDUP((XLOOKUP($D150,$T$3:$T$10,$U$3:$U$10)*XLOOKUP(E$2,$AA$3:$AA$5,$AB$3:$AB$5)-ABS(XLOOKUP($C150,$Q$3:$Q$16,$R$3:$R$16)))*$B150,-5)</f>
        <v>27800000</v>
      </c>
      <c r="F150" s="16">
        <f t="shared" si="447"/>
        <v>49300000</v>
      </c>
      <c r="G150" s="16">
        <f t="shared" si="447"/>
        <v>53700000</v>
      </c>
      <c r="H150" s="17">
        <f t="shared" ref="H150:J150" si="448">roundup((XLOOKUP($D150,$T$3:$T$10,$U$3:$U$10)*XLOOKUP(H$2,$AA$3:$AA$5,$AC$3:$AC$5)-ABS(XLOOKUP($C150,$Q$3:$Q$16,$R$3:$R$16)))*$B150,-5)</f>
        <v>22900000</v>
      </c>
      <c r="I150" s="17">
        <f t="shared" si="448"/>
        <v>61000000</v>
      </c>
      <c r="J150" s="17">
        <f t="shared" si="448"/>
        <v>66200000</v>
      </c>
      <c r="K150" s="17">
        <f t="shared" ref="K150:M150" si="449">roundup((XLOOKUP($D150,$T$3:$T$10,$U$3:$U$10)*XLOOKUP(K$2,$AA$3:$AA$5,$AD$3:$AD$5)-ABS(XLOOKUP($C150,$Q$3:$Q$16,$R$3:$R$16)))*$B150,-5)</f>
        <v>27100000</v>
      </c>
      <c r="L150" s="17">
        <f t="shared" si="449"/>
        <v>69000000</v>
      </c>
      <c r="M150" s="17">
        <f t="shared" si="449"/>
        <v>74700000</v>
      </c>
    </row>
    <row r="151">
      <c r="A151" s="14" t="s">
        <v>188</v>
      </c>
      <c r="B151" s="14">
        <v>116.0</v>
      </c>
      <c r="C151" s="15">
        <f t="shared" si="4"/>
        <v>11</v>
      </c>
      <c r="D151" s="14" t="s">
        <v>33</v>
      </c>
      <c r="E151" s="16">
        <f t="shared" ref="E151:G151" si="450">ROUNDUP((XLOOKUP($D151,$T$3:$T$10,$U$3:$U$10)*XLOOKUP(E$2,$AA$3:$AA$5,$AB$3:$AB$5)-ABS(XLOOKUP($C151,$Q$3:$Q$16,$R$3:$R$16)))*$B151,-5)</f>
        <v>25200000</v>
      </c>
      <c r="F151" s="16">
        <f t="shared" si="450"/>
        <v>44700000</v>
      </c>
      <c r="G151" s="16">
        <f t="shared" si="450"/>
        <v>48700000</v>
      </c>
      <c r="H151" s="17">
        <f t="shared" ref="H151:J151" si="451">roundup((XLOOKUP($D151,$T$3:$T$10,$U$3:$U$10)*XLOOKUP(H$2,$AA$3:$AA$5,$AC$3:$AC$5)-ABS(XLOOKUP($C151,$Q$3:$Q$16,$R$3:$R$16)))*$B151,-5)</f>
        <v>20700000</v>
      </c>
      <c r="I151" s="17">
        <f t="shared" si="451"/>
        <v>55300000</v>
      </c>
      <c r="J151" s="17">
        <f t="shared" si="451"/>
        <v>60000000</v>
      </c>
      <c r="K151" s="17">
        <f t="shared" ref="K151:M151" si="452">roundup((XLOOKUP($D151,$T$3:$T$10,$U$3:$U$10)*XLOOKUP(K$2,$AA$3:$AA$5,$AD$3:$AD$5)-ABS(XLOOKUP($C151,$Q$3:$Q$16,$R$3:$R$16)))*$B151,-5)</f>
        <v>24600000</v>
      </c>
      <c r="L151" s="17">
        <f t="shared" si="452"/>
        <v>62500000</v>
      </c>
      <c r="M151" s="17">
        <f t="shared" si="452"/>
        <v>67700000</v>
      </c>
    </row>
    <row r="152">
      <c r="A152" s="14" t="s">
        <v>189</v>
      </c>
      <c r="B152" s="14">
        <v>110.0</v>
      </c>
      <c r="C152" s="15">
        <f t="shared" si="4"/>
        <v>11</v>
      </c>
      <c r="D152" s="14" t="s">
        <v>36</v>
      </c>
      <c r="E152" s="16">
        <f t="shared" ref="E152:G152" si="453">ROUNDUP((XLOOKUP($D152,$T$3:$T$10,$U$3:$U$10)*XLOOKUP(E$2,$AA$3:$AA$5,$AB$3:$AB$5)-ABS(XLOOKUP($C152,$Q$3:$Q$16,$R$3:$R$16)))*$B152,-5)</f>
        <v>28900000</v>
      </c>
      <c r="F152" s="16">
        <f t="shared" si="453"/>
        <v>49600000</v>
      </c>
      <c r="G152" s="16">
        <f t="shared" si="453"/>
        <v>53900000</v>
      </c>
      <c r="H152" s="17">
        <f t="shared" ref="H152:J152" si="454">roundup((XLOOKUP($D152,$T$3:$T$10,$U$3:$U$10)*XLOOKUP(H$2,$AA$3:$AA$5,$AC$3:$AC$5)-ABS(XLOOKUP($C152,$Q$3:$Q$16,$R$3:$R$16)))*$B152,-5)</f>
        <v>24200000</v>
      </c>
      <c r="I152" s="17">
        <f t="shared" si="454"/>
        <v>60900000</v>
      </c>
      <c r="J152" s="17">
        <f t="shared" si="454"/>
        <v>65900000</v>
      </c>
      <c r="K152" s="17">
        <f t="shared" ref="K152:M152" si="455">roundup((XLOOKUP($D152,$T$3:$T$10,$U$3:$U$10)*XLOOKUP(K$2,$AA$3:$AA$5,$AD$3:$AD$5)-ABS(XLOOKUP($C152,$Q$3:$Q$16,$R$3:$R$16)))*$B152,-5)</f>
        <v>28200000</v>
      </c>
      <c r="L152" s="17">
        <f t="shared" si="455"/>
        <v>68500000</v>
      </c>
      <c r="M152" s="17">
        <f t="shared" si="455"/>
        <v>74000000</v>
      </c>
    </row>
    <row r="153">
      <c r="A153" s="14" t="s">
        <v>190</v>
      </c>
      <c r="B153" s="14">
        <v>110.0</v>
      </c>
      <c r="C153" s="15">
        <f t="shared" si="4"/>
        <v>11</v>
      </c>
      <c r="D153" s="14" t="s">
        <v>33</v>
      </c>
      <c r="E153" s="16">
        <f t="shared" ref="E153:G153" si="456">ROUNDUP((XLOOKUP($D153,$T$3:$T$10,$U$3:$U$10)*XLOOKUP(E$2,$AA$3:$AA$5,$AB$3:$AB$5)-ABS(XLOOKUP($C153,$Q$3:$Q$16,$R$3:$R$16)))*$B153,-5)</f>
        <v>23900000</v>
      </c>
      <c r="F153" s="16">
        <f t="shared" si="456"/>
        <v>42400000</v>
      </c>
      <c r="G153" s="16">
        <f t="shared" si="456"/>
        <v>46200000</v>
      </c>
      <c r="H153" s="17">
        <f t="shared" ref="H153:J153" si="457">roundup((XLOOKUP($D153,$T$3:$T$10,$U$3:$U$10)*XLOOKUP(H$2,$AA$3:$AA$5,$AC$3:$AC$5)-ABS(XLOOKUP($C153,$Q$3:$Q$16,$R$3:$R$16)))*$B153,-5)</f>
        <v>19700000</v>
      </c>
      <c r="I153" s="17">
        <f t="shared" si="457"/>
        <v>52400000</v>
      </c>
      <c r="J153" s="17">
        <f t="shared" si="457"/>
        <v>56900000</v>
      </c>
      <c r="K153" s="17">
        <f t="shared" ref="K153:M153" si="458">roundup((XLOOKUP($D153,$T$3:$T$10,$U$3:$U$10)*XLOOKUP(K$2,$AA$3:$AA$5,$AD$3:$AD$5)-ABS(XLOOKUP($C153,$Q$3:$Q$16,$R$3:$R$16)))*$B153,-5)</f>
        <v>23300000</v>
      </c>
      <c r="L153" s="17">
        <f t="shared" si="458"/>
        <v>59300000</v>
      </c>
      <c r="M153" s="17">
        <f t="shared" si="458"/>
        <v>64200000</v>
      </c>
    </row>
    <row r="154">
      <c r="A154" s="14" t="s">
        <v>191</v>
      </c>
      <c r="B154" s="14">
        <v>124.0</v>
      </c>
      <c r="C154" s="15">
        <f t="shared" si="4"/>
        <v>11</v>
      </c>
      <c r="D154" s="14" t="s">
        <v>33</v>
      </c>
      <c r="E154" s="16">
        <f t="shared" ref="E154:G154" si="459">ROUNDUP((XLOOKUP($D154,$T$3:$T$10,$U$3:$U$10)*XLOOKUP(E$2,$AA$3:$AA$5,$AB$3:$AB$5)-ABS(XLOOKUP($C154,$Q$3:$Q$16,$R$3:$R$16)))*$B154,-5)</f>
        <v>26900000</v>
      </c>
      <c r="F154" s="16">
        <f t="shared" si="459"/>
        <v>47800000</v>
      </c>
      <c r="G154" s="16">
        <f t="shared" si="459"/>
        <v>52100000</v>
      </c>
      <c r="H154" s="17">
        <f t="shared" ref="H154:J154" si="460">roundup((XLOOKUP($D154,$T$3:$T$10,$U$3:$U$10)*XLOOKUP(H$2,$AA$3:$AA$5,$AC$3:$AC$5)-ABS(XLOOKUP($C154,$Q$3:$Q$16,$R$3:$R$16)))*$B154,-5)</f>
        <v>22200000</v>
      </c>
      <c r="I154" s="17">
        <f t="shared" si="460"/>
        <v>59100000</v>
      </c>
      <c r="J154" s="17">
        <f t="shared" si="460"/>
        <v>64100000</v>
      </c>
      <c r="K154" s="17">
        <f t="shared" ref="K154:M154" si="461">roundup((XLOOKUP($D154,$T$3:$T$10,$U$3:$U$10)*XLOOKUP(K$2,$AA$3:$AA$5,$AD$3:$AD$5)-ABS(XLOOKUP($C154,$Q$3:$Q$16,$R$3:$R$16)))*$B154,-5)</f>
        <v>26300000</v>
      </c>
      <c r="L154" s="17">
        <f t="shared" si="461"/>
        <v>66800000</v>
      </c>
      <c r="M154" s="17">
        <f t="shared" si="461"/>
        <v>72300000</v>
      </c>
    </row>
    <row r="155">
      <c r="A155" s="14" t="s">
        <v>192</v>
      </c>
      <c r="B155" s="14">
        <v>119.0</v>
      </c>
      <c r="C155" s="15">
        <f t="shared" si="4"/>
        <v>11</v>
      </c>
      <c r="D155" s="14" t="s">
        <v>33</v>
      </c>
      <c r="E155" s="16">
        <f t="shared" ref="E155:G155" si="462">ROUNDUP((XLOOKUP($D155,$T$3:$T$10,$U$3:$U$10)*XLOOKUP(E$2,$AA$3:$AA$5,$AB$3:$AB$5)-ABS(XLOOKUP($C155,$Q$3:$Q$16,$R$3:$R$16)))*$B155,-5)</f>
        <v>25800000</v>
      </c>
      <c r="F155" s="16">
        <f t="shared" si="462"/>
        <v>45800000</v>
      </c>
      <c r="G155" s="16">
        <f t="shared" si="462"/>
        <v>50000000</v>
      </c>
      <c r="H155" s="17">
        <f t="shared" ref="H155:J155" si="463">roundup((XLOOKUP($D155,$T$3:$T$10,$U$3:$U$10)*XLOOKUP(H$2,$AA$3:$AA$5,$AC$3:$AC$5)-ABS(XLOOKUP($C155,$Q$3:$Q$16,$R$3:$R$16)))*$B155,-5)</f>
        <v>21300000</v>
      </c>
      <c r="I155" s="17">
        <f t="shared" si="463"/>
        <v>56700000</v>
      </c>
      <c r="J155" s="17">
        <f t="shared" si="463"/>
        <v>61600000</v>
      </c>
      <c r="K155" s="17">
        <f t="shared" ref="K155:M155" si="464">roundup((XLOOKUP($D155,$T$3:$T$10,$U$3:$U$10)*XLOOKUP(K$2,$AA$3:$AA$5,$AD$3:$AD$5)-ABS(XLOOKUP($C155,$Q$3:$Q$16,$R$3:$R$16)))*$B155,-5)</f>
        <v>25200000</v>
      </c>
      <c r="L155" s="17">
        <f t="shared" si="464"/>
        <v>64100000</v>
      </c>
      <c r="M155" s="17">
        <f t="shared" si="464"/>
        <v>69400000</v>
      </c>
    </row>
    <row r="156">
      <c r="A156" s="14" t="s">
        <v>193</v>
      </c>
      <c r="B156" s="14">
        <v>139.0</v>
      </c>
      <c r="C156" s="15">
        <f t="shared" si="4"/>
        <v>11</v>
      </c>
      <c r="D156" s="14" t="s">
        <v>33</v>
      </c>
      <c r="E156" s="16">
        <f t="shared" ref="E156:G156" si="465">ROUNDUP((XLOOKUP($D156,$T$3:$T$10,$U$3:$U$10)*XLOOKUP(E$2,$AA$3:$AA$5,$AB$3:$AB$5)-ABS(XLOOKUP($C156,$Q$3:$Q$16,$R$3:$R$16)))*$B156,-5)</f>
        <v>30200000</v>
      </c>
      <c r="F156" s="16">
        <f t="shared" si="465"/>
        <v>53500000</v>
      </c>
      <c r="G156" s="16">
        <f t="shared" si="465"/>
        <v>58400000</v>
      </c>
      <c r="H156" s="17">
        <f t="shared" ref="H156:J156" si="466">roundup((XLOOKUP($D156,$T$3:$T$10,$U$3:$U$10)*XLOOKUP(H$2,$AA$3:$AA$5,$AC$3:$AC$5)-ABS(XLOOKUP($C156,$Q$3:$Q$16,$R$3:$R$16)))*$B156,-5)</f>
        <v>24900000</v>
      </c>
      <c r="I156" s="17">
        <f t="shared" si="466"/>
        <v>66300000</v>
      </c>
      <c r="J156" s="17">
        <f t="shared" si="466"/>
        <v>71900000</v>
      </c>
      <c r="K156" s="17">
        <f t="shared" ref="K156:M156" si="467">roundup((XLOOKUP($D156,$T$3:$T$10,$U$3:$U$10)*XLOOKUP(K$2,$AA$3:$AA$5,$AD$3:$AD$5)-ABS(XLOOKUP($C156,$Q$3:$Q$16,$R$3:$R$16)))*$B156,-5)</f>
        <v>29400000</v>
      </c>
      <c r="L156" s="17">
        <f t="shared" si="467"/>
        <v>74900000</v>
      </c>
      <c r="M156" s="17">
        <f t="shared" si="467"/>
        <v>81100000</v>
      </c>
    </row>
    <row r="157">
      <c r="A157" s="14" t="s">
        <v>194</v>
      </c>
      <c r="B157" s="14">
        <v>155.0</v>
      </c>
      <c r="C157" s="15">
        <f t="shared" si="4"/>
        <v>11</v>
      </c>
      <c r="D157" s="14" t="s">
        <v>33</v>
      </c>
      <c r="E157" s="16">
        <f t="shared" ref="E157:G157" si="468">ROUNDUP((XLOOKUP($D157,$T$3:$T$10,$U$3:$U$10)*XLOOKUP(E$2,$AA$3:$AA$5,$AB$3:$AB$5)-ABS(XLOOKUP($C157,$Q$3:$Q$16,$R$3:$R$16)))*$B157,-5)</f>
        <v>33600000</v>
      </c>
      <c r="F157" s="16">
        <f t="shared" si="468"/>
        <v>59700000</v>
      </c>
      <c r="G157" s="16">
        <f t="shared" si="468"/>
        <v>65100000</v>
      </c>
      <c r="H157" s="17">
        <f t="shared" ref="H157:J157" si="469">roundup((XLOOKUP($D157,$T$3:$T$10,$U$3:$U$10)*XLOOKUP(H$2,$AA$3:$AA$5,$AC$3:$AC$5)-ABS(XLOOKUP($C157,$Q$3:$Q$16,$R$3:$R$16)))*$B157,-5)</f>
        <v>27700000</v>
      </c>
      <c r="I157" s="17">
        <f t="shared" si="469"/>
        <v>73900000</v>
      </c>
      <c r="J157" s="17">
        <f t="shared" si="469"/>
        <v>80200000</v>
      </c>
      <c r="K157" s="17">
        <f t="shared" ref="K157:M157" si="470">roundup((XLOOKUP($D157,$T$3:$T$10,$U$3:$U$10)*XLOOKUP(K$2,$AA$3:$AA$5,$AD$3:$AD$5)-ABS(XLOOKUP($C157,$Q$3:$Q$16,$R$3:$R$16)))*$B157,-5)</f>
        <v>32800000</v>
      </c>
      <c r="L157" s="17">
        <f t="shared" si="470"/>
        <v>83500000</v>
      </c>
      <c r="M157" s="17">
        <f t="shared" si="470"/>
        <v>90400000</v>
      </c>
    </row>
    <row r="158">
      <c r="A158" s="14" t="s">
        <v>195</v>
      </c>
      <c r="B158" s="14">
        <v>113.0</v>
      </c>
      <c r="C158" s="15">
        <f t="shared" si="4"/>
        <v>11</v>
      </c>
      <c r="D158" s="14" t="s">
        <v>33</v>
      </c>
      <c r="E158" s="16">
        <f t="shared" ref="E158:G158" si="471">ROUNDUP((XLOOKUP($D158,$T$3:$T$10,$U$3:$U$10)*XLOOKUP(E$2,$AA$3:$AA$5,$AB$3:$AB$5)-ABS(XLOOKUP($C158,$Q$3:$Q$16,$R$3:$R$16)))*$B158,-5)</f>
        <v>24500000</v>
      </c>
      <c r="F158" s="16">
        <f t="shared" si="471"/>
        <v>43500000</v>
      </c>
      <c r="G158" s="16">
        <f t="shared" si="471"/>
        <v>47500000</v>
      </c>
      <c r="H158" s="17">
        <f t="shared" ref="H158:J158" si="472">roundup((XLOOKUP($D158,$T$3:$T$10,$U$3:$U$10)*XLOOKUP(H$2,$AA$3:$AA$5,$AC$3:$AC$5)-ABS(XLOOKUP($C158,$Q$3:$Q$16,$R$3:$R$16)))*$B158,-5)</f>
        <v>20200000</v>
      </c>
      <c r="I158" s="17">
        <f t="shared" si="472"/>
        <v>53900000</v>
      </c>
      <c r="J158" s="17">
        <f t="shared" si="472"/>
        <v>58500000</v>
      </c>
      <c r="K158" s="17">
        <f t="shared" ref="K158:M158" si="473">roundup((XLOOKUP($D158,$T$3:$T$10,$U$3:$U$10)*XLOOKUP(K$2,$AA$3:$AA$5,$AD$3:$AD$5)-ABS(XLOOKUP($C158,$Q$3:$Q$16,$R$3:$R$16)))*$B158,-5)</f>
        <v>23900000</v>
      </c>
      <c r="L158" s="17">
        <f t="shared" si="473"/>
        <v>60900000</v>
      </c>
      <c r="M158" s="17">
        <f t="shared" si="473"/>
        <v>65900000</v>
      </c>
    </row>
    <row r="159">
      <c r="A159" s="14" t="s">
        <v>196</v>
      </c>
      <c r="B159" s="14">
        <v>141.0</v>
      </c>
      <c r="C159" s="15">
        <f t="shared" si="4"/>
        <v>11</v>
      </c>
      <c r="D159" s="14" t="s">
        <v>197</v>
      </c>
      <c r="E159" s="16">
        <f t="shared" ref="E159:G159" si="474">ROUNDUP((XLOOKUP($D159,$T$3:$T$10,$U$3:$U$10)*XLOOKUP(E$2,$AA$3:$AA$5,$AB$3:$AB$5)-ABS(XLOOKUP($C159,$Q$3:$Q$16,$R$3:$R$16)))*$B159,-5)</f>
        <v>33400000</v>
      </c>
      <c r="F159" s="16">
        <f t="shared" si="474"/>
        <v>58300000</v>
      </c>
      <c r="G159" s="16">
        <f t="shared" si="474"/>
        <v>63500000</v>
      </c>
      <c r="H159" s="17">
        <f t="shared" ref="H159:J159" si="475">roundup((XLOOKUP($D159,$T$3:$T$10,$U$3:$U$10)*XLOOKUP(H$2,$AA$3:$AA$5,$AC$3:$AC$5)-ABS(XLOOKUP($C159,$Q$3:$Q$16,$R$3:$R$16)))*$B159,-5)</f>
        <v>27700000</v>
      </c>
      <c r="I159" s="17">
        <f t="shared" si="475"/>
        <v>71900000</v>
      </c>
      <c r="J159" s="17">
        <f t="shared" si="475"/>
        <v>77900000</v>
      </c>
      <c r="K159" s="17">
        <f t="shared" ref="K159:M159" si="476">roundup((XLOOKUP($D159,$T$3:$T$10,$U$3:$U$10)*XLOOKUP(K$2,$AA$3:$AA$5,$AD$3:$AD$5)-ABS(XLOOKUP($C159,$Q$3:$Q$16,$R$3:$R$16)))*$B159,-5)</f>
        <v>32600000</v>
      </c>
      <c r="L159" s="17">
        <f t="shared" si="476"/>
        <v>81100000</v>
      </c>
      <c r="M159" s="17">
        <f t="shared" si="476"/>
        <v>87800000</v>
      </c>
    </row>
    <row r="160">
      <c r="A160" s="14" t="s">
        <v>198</v>
      </c>
      <c r="B160" s="14">
        <v>203.0</v>
      </c>
      <c r="C160" s="15">
        <f t="shared" si="4"/>
        <v>13</v>
      </c>
      <c r="D160" s="14" t="s">
        <v>197</v>
      </c>
      <c r="E160" s="16">
        <f t="shared" ref="E160:G160" si="477">ROUNDUP((XLOOKUP($D160,$T$3:$T$10,$U$3:$U$10)*XLOOKUP(E$2,$AA$3:$AA$5,$AB$3:$AB$5)-ABS(XLOOKUP($C160,$Q$3:$Q$16,$R$3:$R$16)))*$B160,-5)</f>
        <v>44000000</v>
      </c>
      <c r="F160" s="16">
        <f t="shared" si="477"/>
        <v>79900000</v>
      </c>
      <c r="G160" s="16">
        <f t="shared" si="477"/>
        <v>87300000</v>
      </c>
      <c r="H160" s="17">
        <f t="shared" ref="H160:J160" si="478">roundup((XLOOKUP($D160,$T$3:$T$10,$U$3:$U$10)*XLOOKUP(H$2,$AA$3:$AA$5,$AC$3:$AC$5)-ABS(XLOOKUP($C160,$Q$3:$Q$16,$R$3:$R$16)))*$B160,-5)</f>
        <v>35800000</v>
      </c>
      <c r="I160" s="17">
        <f t="shared" si="478"/>
        <v>99500000</v>
      </c>
      <c r="J160" s="17">
        <f t="shared" si="478"/>
        <v>108100000</v>
      </c>
      <c r="K160" s="17">
        <f t="shared" ref="K160:M160" si="479">roundup((XLOOKUP($D160,$T$3:$T$10,$U$3:$U$10)*XLOOKUP(K$2,$AA$3:$AA$5,$AD$3:$AD$5)-ABS(XLOOKUP($C160,$Q$3:$Q$16,$R$3:$R$16)))*$B160,-5)</f>
        <v>42900000</v>
      </c>
      <c r="L160" s="17">
        <f t="shared" si="479"/>
        <v>112700000</v>
      </c>
      <c r="M160" s="17">
        <f t="shared" si="479"/>
        <v>122300000</v>
      </c>
    </row>
    <row r="161">
      <c r="A161" s="14" t="s">
        <v>199</v>
      </c>
      <c r="B161" s="14">
        <v>159.0</v>
      </c>
      <c r="C161" s="15">
        <f t="shared" si="4"/>
        <v>11</v>
      </c>
      <c r="D161" s="14" t="s">
        <v>197</v>
      </c>
      <c r="E161" s="16">
        <f t="shared" ref="E161:G161" si="480">ROUNDUP((XLOOKUP($D161,$T$3:$T$10,$U$3:$U$10)*XLOOKUP(E$2,$AA$3:$AA$5,$AB$3:$AB$5)-ABS(XLOOKUP($C161,$Q$3:$Q$16,$R$3:$R$16)))*$B161,-5)</f>
        <v>37700000</v>
      </c>
      <c r="F161" s="16">
        <f t="shared" si="480"/>
        <v>65800000</v>
      </c>
      <c r="G161" s="16">
        <f t="shared" si="480"/>
        <v>71600000</v>
      </c>
      <c r="H161" s="17">
        <f t="shared" ref="H161:J161" si="481">roundup((XLOOKUP($D161,$T$3:$T$10,$U$3:$U$10)*XLOOKUP(H$2,$AA$3:$AA$5,$AC$3:$AC$5)-ABS(XLOOKUP($C161,$Q$3:$Q$16,$R$3:$R$16)))*$B161,-5)</f>
        <v>31300000</v>
      </c>
      <c r="I161" s="17">
        <f t="shared" si="481"/>
        <v>81100000</v>
      </c>
      <c r="J161" s="17">
        <f t="shared" si="481"/>
        <v>87900000</v>
      </c>
      <c r="K161" s="17">
        <f t="shared" ref="K161:M161" si="482">roundup((XLOOKUP($D161,$T$3:$T$10,$U$3:$U$10)*XLOOKUP(K$2,$AA$3:$AA$5,$AD$3:$AD$5)-ABS(XLOOKUP($C161,$Q$3:$Q$16,$R$3:$R$16)))*$B161,-5)</f>
        <v>36800000</v>
      </c>
      <c r="L161" s="17">
        <f t="shared" si="482"/>
        <v>91500000</v>
      </c>
      <c r="M161" s="17">
        <f t="shared" si="482"/>
        <v>99000000</v>
      </c>
    </row>
    <row r="162">
      <c r="A162" s="14" t="s">
        <v>200</v>
      </c>
      <c r="B162" s="14">
        <v>117.0</v>
      </c>
      <c r="C162" s="15">
        <f t="shared" si="4"/>
        <v>11</v>
      </c>
      <c r="D162" s="14" t="s">
        <v>197</v>
      </c>
      <c r="E162" s="16">
        <f t="shared" ref="E162:G162" si="483">ROUNDUP((XLOOKUP($D162,$T$3:$T$10,$U$3:$U$10)*XLOOKUP(E$2,$AA$3:$AA$5,$AB$3:$AB$5)-ABS(XLOOKUP($C162,$Q$3:$Q$16,$R$3:$R$16)))*$B162,-5)</f>
        <v>27700000</v>
      </c>
      <c r="F162" s="16">
        <f t="shared" si="483"/>
        <v>48400000</v>
      </c>
      <c r="G162" s="16">
        <f t="shared" si="483"/>
        <v>52700000</v>
      </c>
      <c r="H162" s="17">
        <f t="shared" ref="H162:J162" si="484">roundup((XLOOKUP($D162,$T$3:$T$10,$U$3:$U$10)*XLOOKUP(H$2,$AA$3:$AA$5,$AC$3:$AC$5)-ABS(XLOOKUP($C162,$Q$3:$Q$16,$R$3:$R$16)))*$B162,-5)</f>
        <v>23000000</v>
      </c>
      <c r="I162" s="17">
        <f t="shared" si="484"/>
        <v>59700000</v>
      </c>
      <c r="J162" s="17">
        <f t="shared" si="484"/>
        <v>64700000</v>
      </c>
      <c r="K162" s="17">
        <f t="shared" ref="K162:M162" si="485">roundup((XLOOKUP($D162,$T$3:$T$10,$U$3:$U$10)*XLOOKUP(K$2,$AA$3:$AA$5,$AD$3:$AD$5)-ABS(XLOOKUP($C162,$Q$3:$Q$16,$R$3:$R$16)))*$B162,-5)</f>
        <v>27100000</v>
      </c>
      <c r="L162" s="17">
        <f t="shared" si="485"/>
        <v>67300000</v>
      </c>
      <c r="M162" s="17">
        <f t="shared" si="485"/>
        <v>72800000</v>
      </c>
    </row>
    <row r="163">
      <c r="A163" s="14" t="s">
        <v>201</v>
      </c>
      <c r="B163" s="14">
        <v>125.0</v>
      </c>
      <c r="C163" s="15">
        <f t="shared" si="4"/>
        <v>11</v>
      </c>
      <c r="D163" s="14" t="s">
        <v>197</v>
      </c>
      <c r="E163" s="16">
        <f t="shared" ref="E163:G163" si="486">ROUNDUP((XLOOKUP($D163,$T$3:$T$10,$U$3:$U$10)*XLOOKUP(E$2,$AA$3:$AA$5,$AB$3:$AB$5)-ABS(XLOOKUP($C163,$Q$3:$Q$16,$R$3:$R$16)))*$B163,-5)</f>
        <v>29600000</v>
      </c>
      <c r="F163" s="16">
        <f t="shared" si="486"/>
        <v>51700000</v>
      </c>
      <c r="G163" s="16">
        <f t="shared" si="486"/>
        <v>56300000</v>
      </c>
      <c r="H163" s="17">
        <f t="shared" ref="H163:J163" si="487">roundup((XLOOKUP($D163,$T$3:$T$10,$U$3:$U$10)*XLOOKUP(H$2,$AA$3:$AA$5,$AC$3:$AC$5)-ABS(XLOOKUP($C163,$Q$3:$Q$16,$R$3:$R$16)))*$B163,-5)</f>
        <v>24600000</v>
      </c>
      <c r="I163" s="17">
        <f t="shared" si="487"/>
        <v>63800000</v>
      </c>
      <c r="J163" s="17">
        <f t="shared" si="487"/>
        <v>69100000</v>
      </c>
      <c r="K163" s="17">
        <f t="shared" ref="K163:M163" si="488">roundup((XLOOKUP($D163,$T$3:$T$10,$U$3:$U$10)*XLOOKUP(K$2,$AA$3:$AA$5,$AD$3:$AD$5)-ABS(XLOOKUP($C163,$Q$3:$Q$16,$R$3:$R$16)))*$B163,-5)</f>
        <v>28900000</v>
      </c>
      <c r="L163" s="17">
        <f t="shared" si="488"/>
        <v>71900000</v>
      </c>
      <c r="M163" s="17">
        <f t="shared" si="488"/>
        <v>77800000</v>
      </c>
    </row>
    <row r="164">
      <c r="A164" s="14" t="s">
        <v>202</v>
      </c>
      <c r="B164" s="14">
        <v>119.0</v>
      </c>
      <c r="C164" s="15">
        <f t="shared" si="4"/>
        <v>11</v>
      </c>
      <c r="D164" s="14" t="s">
        <v>197</v>
      </c>
      <c r="E164" s="16">
        <f t="shared" ref="E164:G164" si="489">ROUNDUP((XLOOKUP($D164,$T$3:$T$10,$U$3:$U$10)*XLOOKUP(E$2,$AA$3:$AA$5,$AB$3:$AB$5)-ABS(XLOOKUP($C164,$Q$3:$Q$16,$R$3:$R$16)))*$B164,-5)</f>
        <v>28200000</v>
      </c>
      <c r="F164" s="16">
        <f t="shared" si="489"/>
        <v>49200000</v>
      </c>
      <c r="G164" s="16">
        <f t="shared" si="489"/>
        <v>53600000</v>
      </c>
      <c r="H164" s="17">
        <f t="shared" ref="H164:J164" si="490">roundup((XLOOKUP($D164,$T$3:$T$10,$U$3:$U$10)*XLOOKUP(H$2,$AA$3:$AA$5,$AC$3:$AC$5)-ABS(XLOOKUP($C164,$Q$3:$Q$16,$R$3:$R$16)))*$B164,-5)</f>
        <v>23400000</v>
      </c>
      <c r="I164" s="17">
        <f t="shared" si="490"/>
        <v>60700000</v>
      </c>
      <c r="J164" s="17">
        <f t="shared" si="490"/>
        <v>65800000</v>
      </c>
      <c r="K164" s="17">
        <f t="shared" ref="K164:M164" si="491">roundup((XLOOKUP($D164,$T$3:$T$10,$U$3:$U$10)*XLOOKUP(K$2,$AA$3:$AA$5,$AD$3:$AD$5)-ABS(XLOOKUP($C164,$Q$3:$Q$16,$R$3:$R$16)))*$B164,-5)</f>
        <v>27500000</v>
      </c>
      <c r="L164" s="17">
        <f t="shared" si="491"/>
        <v>68500000</v>
      </c>
      <c r="M164" s="17">
        <f t="shared" si="491"/>
        <v>74100000</v>
      </c>
    </row>
    <row r="165">
      <c r="A165" s="14" t="s">
        <v>203</v>
      </c>
      <c r="B165" s="14">
        <v>111.0</v>
      </c>
      <c r="C165" s="15">
        <f t="shared" si="4"/>
        <v>11</v>
      </c>
      <c r="D165" s="14" t="s">
        <v>197</v>
      </c>
      <c r="E165" s="16">
        <f t="shared" ref="E165:G165" si="492">ROUNDUP((XLOOKUP($D165,$T$3:$T$10,$U$3:$U$10)*XLOOKUP(E$2,$AA$3:$AA$5,$AB$3:$AB$5)-ABS(XLOOKUP($C165,$Q$3:$Q$16,$R$3:$R$16)))*$B165,-5)</f>
        <v>26300000</v>
      </c>
      <c r="F165" s="16">
        <f t="shared" si="492"/>
        <v>45900000</v>
      </c>
      <c r="G165" s="16">
        <f t="shared" si="492"/>
        <v>50000000</v>
      </c>
      <c r="H165" s="17">
        <f t="shared" ref="H165:J165" si="493">roundup((XLOOKUP($D165,$T$3:$T$10,$U$3:$U$10)*XLOOKUP(H$2,$AA$3:$AA$5,$AC$3:$AC$5)-ABS(XLOOKUP($C165,$Q$3:$Q$16,$R$3:$R$16)))*$B165,-5)</f>
        <v>21800000</v>
      </c>
      <c r="I165" s="17">
        <f t="shared" si="493"/>
        <v>56600000</v>
      </c>
      <c r="J165" s="17">
        <f t="shared" si="493"/>
        <v>61400000</v>
      </c>
      <c r="K165" s="17">
        <f t="shared" ref="K165:M165" si="494">roundup((XLOOKUP($D165,$T$3:$T$10,$U$3:$U$10)*XLOOKUP(K$2,$AA$3:$AA$5,$AD$3:$AD$5)-ABS(XLOOKUP($C165,$Q$3:$Q$16,$R$3:$R$16)))*$B165,-5)</f>
        <v>25700000</v>
      </c>
      <c r="L165" s="17">
        <f t="shared" si="494"/>
        <v>63900000</v>
      </c>
      <c r="M165" s="17">
        <f t="shared" si="494"/>
        <v>69100000</v>
      </c>
    </row>
    <row r="166">
      <c r="A166" s="14" t="s">
        <v>204</v>
      </c>
      <c r="B166" s="14">
        <v>104.0</v>
      </c>
      <c r="C166" s="15">
        <f t="shared" si="4"/>
        <v>11</v>
      </c>
      <c r="D166" s="14" t="s">
        <v>197</v>
      </c>
      <c r="E166" s="16">
        <f t="shared" ref="E166:G166" si="495">ROUNDUP((XLOOKUP($D166,$T$3:$T$10,$U$3:$U$10)*XLOOKUP(E$2,$AA$3:$AA$5,$AB$3:$AB$5)-ABS(XLOOKUP($C166,$Q$3:$Q$16,$R$3:$R$16)))*$B166,-5)</f>
        <v>24600000</v>
      </c>
      <c r="F166" s="16">
        <f t="shared" si="495"/>
        <v>43000000</v>
      </c>
      <c r="G166" s="16">
        <f t="shared" si="495"/>
        <v>46800000</v>
      </c>
      <c r="H166" s="17">
        <f t="shared" ref="H166:J166" si="496">roundup((XLOOKUP($D166,$T$3:$T$10,$U$3:$U$10)*XLOOKUP(H$2,$AA$3:$AA$5,$AC$3:$AC$5)-ABS(XLOOKUP($C166,$Q$3:$Q$16,$R$3:$R$16)))*$B166,-5)</f>
        <v>20500000</v>
      </c>
      <c r="I166" s="17">
        <f t="shared" si="496"/>
        <v>53100000</v>
      </c>
      <c r="J166" s="17">
        <f t="shared" si="496"/>
        <v>57500000</v>
      </c>
      <c r="K166" s="17">
        <f t="shared" ref="K166:M166" si="497">roundup((XLOOKUP($D166,$T$3:$T$10,$U$3:$U$10)*XLOOKUP(K$2,$AA$3:$AA$5,$AD$3:$AD$5)-ABS(XLOOKUP($C166,$Q$3:$Q$16,$R$3:$R$16)))*$B166,-5)</f>
        <v>24100000</v>
      </c>
      <c r="L166" s="17">
        <f t="shared" si="497"/>
        <v>59900000</v>
      </c>
      <c r="M166" s="17">
        <f t="shared" si="497"/>
        <v>64700000</v>
      </c>
    </row>
    <row r="167">
      <c r="A167" s="14" t="s">
        <v>205</v>
      </c>
      <c r="B167" s="14">
        <v>93.0</v>
      </c>
      <c r="C167" s="15">
        <f t="shared" si="4"/>
        <v>11</v>
      </c>
      <c r="D167" s="14" t="s">
        <v>197</v>
      </c>
      <c r="E167" s="16">
        <f t="shared" ref="E167:G167" si="498">ROUNDUP((XLOOKUP($D167,$T$3:$T$10,$U$3:$U$10)*XLOOKUP(E$2,$AA$3:$AA$5,$AB$3:$AB$5)-ABS(XLOOKUP($C167,$Q$3:$Q$16,$R$3:$R$16)))*$B167,-5)</f>
        <v>22000000</v>
      </c>
      <c r="F167" s="16">
        <f t="shared" si="498"/>
        <v>38500000</v>
      </c>
      <c r="G167" s="16">
        <f t="shared" si="498"/>
        <v>41900000</v>
      </c>
      <c r="H167" s="17">
        <f t="shared" ref="H167:J167" si="499">roundup((XLOOKUP($D167,$T$3:$T$10,$U$3:$U$10)*XLOOKUP(H$2,$AA$3:$AA$5,$AC$3:$AC$5)-ABS(XLOOKUP($C167,$Q$3:$Q$16,$R$3:$R$16)))*$B167,-5)</f>
        <v>18300000</v>
      </c>
      <c r="I167" s="17">
        <f t="shared" si="499"/>
        <v>47500000</v>
      </c>
      <c r="J167" s="17">
        <f t="shared" si="499"/>
        <v>51400000</v>
      </c>
      <c r="K167" s="17">
        <f t="shared" ref="K167:M167" si="500">roundup((XLOOKUP($D167,$T$3:$T$10,$U$3:$U$10)*XLOOKUP(K$2,$AA$3:$AA$5,$AD$3:$AD$5)-ABS(XLOOKUP($C167,$Q$3:$Q$16,$R$3:$R$16)))*$B167,-5)</f>
        <v>21500000</v>
      </c>
      <c r="L167" s="17">
        <f t="shared" si="500"/>
        <v>53500000</v>
      </c>
      <c r="M167" s="17">
        <f t="shared" si="500"/>
        <v>57900000</v>
      </c>
    </row>
    <row r="168">
      <c r="A168" s="14" t="s">
        <v>206</v>
      </c>
      <c r="B168" s="14">
        <v>86.0</v>
      </c>
      <c r="C168" s="15">
        <f t="shared" si="4"/>
        <v>11</v>
      </c>
      <c r="D168" s="14" t="s">
        <v>197</v>
      </c>
      <c r="E168" s="16">
        <f t="shared" ref="E168:G168" si="501">ROUNDUP((XLOOKUP($D168,$T$3:$T$10,$U$3:$U$10)*XLOOKUP(E$2,$AA$3:$AA$5,$AB$3:$AB$5)-ABS(XLOOKUP($C168,$Q$3:$Q$16,$R$3:$R$16)))*$B168,-5)</f>
        <v>20400000</v>
      </c>
      <c r="F168" s="16">
        <f t="shared" si="501"/>
        <v>35600000</v>
      </c>
      <c r="G168" s="16">
        <f t="shared" si="501"/>
        <v>38700000</v>
      </c>
      <c r="H168" s="17">
        <f t="shared" ref="H168:J168" si="502">roundup((XLOOKUP($D168,$T$3:$T$10,$U$3:$U$10)*XLOOKUP(H$2,$AA$3:$AA$5,$AC$3:$AC$5)-ABS(XLOOKUP($C168,$Q$3:$Q$16,$R$3:$R$16)))*$B168,-5)</f>
        <v>16900000</v>
      </c>
      <c r="I168" s="17">
        <f t="shared" si="502"/>
        <v>43900000</v>
      </c>
      <c r="J168" s="17">
        <f t="shared" si="502"/>
        <v>47600000</v>
      </c>
      <c r="K168" s="17">
        <f t="shared" ref="K168:M168" si="503">roundup((XLOOKUP($D168,$T$3:$T$10,$U$3:$U$10)*XLOOKUP(K$2,$AA$3:$AA$5,$AD$3:$AD$5)-ABS(XLOOKUP($C168,$Q$3:$Q$16,$R$3:$R$16)))*$B168,-5)</f>
        <v>19900000</v>
      </c>
      <c r="L168" s="17">
        <f t="shared" si="503"/>
        <v>49500000</v>
      </c>
      <c r="M168" s="17">
        <f t="shared" si="503"/>
        <v>53500000</v>
      </c>
    </row>
    <row r="169">
      <c r="A169" s="14" t="s">
        <v>207</v>
      </c>
      <c r="B169" s="14">
        <v>129.0</v>
      </c>
      <c r="C169" s="15">
        <f t="shared" si="4"/>
        <v>11</v>
      </c>
      <c r="D169" s="14" t="s">
        <v>208</v>
      </c>
      <c r="E169" s="16">
        <f t="shared" ref="E169:G169" si="504">ROUNDUP((XLOOKUP($D169,$T$3:$T$10,$U$3:$U$10)*XLOOKUP(E$2,$AA$3:$AA$5,$AB$3:$AB$5)-ABS(XLOOKUP($C169,$Q$3:$Q$16,$R$3:$R$16)))*$B169,-5)</f>
        <v>29700000</v>
      </c>
      <c r="F169" s="16">
        <f t="shared" si="504"/>
        <v>52100000</v>
      </c>
      <c r="G169" s="16">
        <f t="shared" si="504"/>
        <v>56700000</v>
      </c>
      <c r="H169" s="17">
        <f t="shared" ref="H169:J169" si="505">roundup((XLOOKUP($D169,$T$3:$T$10,$U$3:$U$10)*XLOOKUP(H$2,$AA$3:$AA$5,$AC$3:$AC$5)-ABS(XLOOKUP($C169,$Q$3:$Q$16,$R$3:$R$16)))*$B169,-5)</f>
        <v>24600000</v>
      </c>
      <c r="I169" s="17">
        <f t="shared" si="505"/>
        <v>64300000</v>
      </c>
      <c r="J169" s="17">
        <f t="shared" si="505"/>
        <v>69700000</v>
      </c>
      <c r="K169" s="17">
        <f t="shared" ref="K169:M169" si="506">roundup((XLOOKUP($D169,$T$3:$T$10,$U$3:$U$10)*XLOOKUP(K$2,$AA$3:$AA$5,$AD$3:$AD$5)-ABS(XLOOKUP($C169,$Q$3:$Q$16,$R$3:$R$16)))*$B169,-5)</f>
        <v>29000000</v>
      </c>
      <c r="L169" s="17">
        <f t="shared" si="506"/>
        <v>72600000</v>
      </c>
      <c r="M169" s="17">
        <f t="shared" si="506"/>
        <v>78600000</v>
      </c>
    </row>
    <row r="170">
      <c r="A170" s="14" t="s">
        <v>209</v>
      </c>
      <c r="B170" s="14">
        <v>127.0</v>
      </c>
      <c r="C170" s="15">
        <f t="shared" si="4"/>
        <v>11</v>
      </c>
      <c r="D170" s="14" t="s">
        <v>208</v>
      </c>
      <c r="E170" s="16">
        <f t="shared" ref="E170:G170" si="507">ROUNDUP((XLOOKUP($D170,$T$3:$T$10,$U$3:$U$10)*XLOOKUP(E$2,$AA$3:$AA$5,$AB$3:$AB$5)-ABS(XLOOKUP($C170,$Q$3:$Q$16,$R$3:$R$16)))*$B170,-5)</f>
        <v>29200000</v>
      </c>
      <c r="F170" s="16">
        <f t="shared" si="507"/>
        <v>51300000</v>
      </c>
      <c r="G170" s="16">
        <f t="shared" si="507"/>
        <v>55900000</v>
      </c>
      <c r="H170" s="17">
        <f t="shared" ref="H170:J170" si="508">roundup((XLOOKUP($D170,$T$3:$T$10,$U$3:$U$10)*XLOOKUP(H$2,$AA$3:$AA$5,$AC$3:$AC$5)-ABS(XLOOKUP($C170,$Q$3:$Q$16,$R$3:$R$16)))*$B170,-5)</f>
        <v>24200000</v>
      </c>
      <c r="I170" s="17">
        <f t="shared" si="508"/>
        <v>63300000</v>
      </c>
      <c r="J170" s="17">
        <f t="shared" si="508"/>
        <v>68700000</v>
      </c>
      <c r="K170" s="17">
        <f t="shared" ref="K170:M170" si="509">roundup((XLOOKUP($D170,$T$3:$T$10,$U$3:$U$10)*XLOOKUP(K$2,$AA$3:$AA$5,$AD$3:$AD$5)-ABS(XLOOKUP($C170,$Q$3:$Q$16,$R$3:$R$16)))*$B170,-5)</f>
        <v>28500000</v>
      </c>
      <c r="L170" s="17">
        <f t="shared" si="509"/>
        <v>71500000</v>
      </c>
      <c r="M170" s="17">
        <f t="shared" si="509"/>
        <v>77300000</v>
      </c>
    </row>
    <row r="171">
      <c r="A171" s="14" t="s">
        <v>210</v>
      </c>
      <c r="B171" s="14">
        <v>107.0</v>
      </c>
      <c r="C171" s="15">
        <f t="shared" si="4"/>
        <v>11</v>
      </c>
      <c r="D171" s="14" t="s">
        <v>208</v>
      </c>
      <c r="E171" s="16">
        <f t="shared" ref="E171:G171" si="510">ROUNDUP((XLOOKUP($D171,$T$3:$T$10,$U$3:$U$10)*XLOOKUP(E$2,$AA$3:$AA$5,$AB$3:$AB$5)-ABS(XLOOKUP($C171,$Q$3:$Q$16,$R$3:$R$16)))*$B171,-5)</f>
        <v>24600000</v>
      </c>
      <c r="F171" s="16">
        <f t="shared" si="510"/>
        <v>43200000</v>
      </c>
      <c r="G171" s="16">
        <f t="shared" si="510"/>
        <v>47100000</v>
      </c>
      <c r="H171" s="17">
        <f t="shared" ref="H171:J171" si="511">roundup((XLOOKUP($D171,$T$3:$T$10,$U$3:$U$10)*XLOOKUP(H$2,$AA$3:$AA$5,$AC$3:$AC$5)-ABS(XLOOKUP($C171,$Q$3:$Q$16,$R$3:$R$16)))*$B171,-5)</f>
        <v>20400000</v>
      </c>
      <c r="I171" s="17">
        <f t="shared" si="511"/>
        <v>53400000</v>
      </c>
      <c r="J171" s="17">
        <f t="shared" si="511"/>
        <v>57900000</v>
      </c>
      <c r="K171" s="17">
        <f t="shared" ref="K171:M171" si="512">roundup((XLOOKUP($D171,$T$3:$T$10,$U$3:$U$10)*XLOOKUP(K$2,$AA$3:$AA$5,$AD$3:$AD$5)-ABS(XLOOKUP($C171,$Q$3:$Q$16,$R$3:$R$16)))*$B171,-5)</f>
        <v>24000000</v>
      </c>
      <c r="L171" s="17">
        <f t="shared" si="512"/>
        <v>60200000</v>
      </c>
      <c r="M171" s="17">
        <f t="shared" si="512"/>
        <v>65200000</v>
      </c>
    </row>
    <row r="172">
      <c r="A172" s="14" t="s">
        <v>211</v>
      </c>
      <c r="B172" s="14">
        <v>99.0</v>
      </c>
      <c r="C172" s="15">
        <f t="shared" si="4"/>
        <v>11</v>
      </c>
      <c r="D172" s="14" t="s">
        <v>33</v>
      </c>
      <c r="E172" s="16">
        <f t="shared" ref="E172:G172" si="513">ROUNDUP((XLOOKUP($D172,$T$3:$T$10,$U$3:$U$10)*XLOOKUP(E$2,$AA$3:$AA$5,$AB$3:$AB$5)-ABS(XLOOKUP($C172,$Q$3:$Q$16,$R$3:$R$16)))*$B172,-5)</f>
        <v>21500000</v>
      </c>
      <c r="F172" s="16">
        <f t="shared" si="513"/>
        <v>38100000</v>
      </c>
      <c r="G172" s="16">
        <f t="shared" si="513"/>
        <v>41600000</v>
      </c>
      <c r="H172" s="17">
        <f t="shared" ref="H172:J172" si="514">roundup((XLOOKUP($D172,$T$3:$T$10,$U$3:$U$10)*XLOOKUP(H$2,$AA$3:$AA$5,$AC$3:$AC$5)-ABS(XLOOKUP($C172,$Q$3:$Q$16,$R$3:$R$16)))*$B172,-5)</f>
        <v>17700000</v>
      </c>
      <c r="I172" s="17">
        <f t="shared" si="514"/>
        <v>47200000</v>
      </c>
      <c r="J172" s="17">
        <f t="shared" si="514"/>
        <v>51200000</v>
      </c>
      <c r="K172" s="17">
        <f t="shared" ref="K172:M172" si="515">roundup((XLOOKUP($D172,$T$3:$T$10,$U$3:$U$10)*XLOOKUP(K$2,$AA$3:$AA$5,$AD$3:$AD$5)-ABS(XLOOKUP($C172,$Q$3:$Q$16,$R$3:$R$16)))*$B172,-5)</f>
        <v>21000000</v>
      </c>
      <c r="L172" s="17">
        <f t="shared" si="515"/>
        <v>53300000</v>
      </c>
      <c r="M172" s="17">
        <f t="shared" si="515"/>
        <v>57800000</v>
      </c>
    </row>
    <row r="173">
      <c r="A173" s="14" t="s">
        <v>212</v>
      </c>
      <c r="B173" s="14">
        <v>87.0</v>
      </c>
      <c r="C173" s="15">
        <f t="shared" si="4"/>
        <v>11</v>
      </c>
      <c r="D173" s="14" t="s">
        <v>208</v>
      </c>
      <c r="E173" s="16">
        <f t="shared" ref="E173:G173" si="516">ROUNDUP((XLOOKUP($D173,$T$3:$T$10,$U$3:$U$10)*XLOOKUP(E$2,$AA$3:$AA$5,$AB$3:$AB$5)-ABS(XLOOKUP($C173,$Q$3:$Q$16,$R$3:$R$16)))*$B173,-5)</f>
        <v>20000000</v>
      </c>
      <c r="F173" s="16">
        <f t="shared" si="516"/>
        <v>35200000</v>
      </c>
      <c r="G173" s="16">
        <f t="shared" si="516"/>
        <v>38300000</v>
      </c>
      <c r="H173" s="17">
        <f t="shared" ref="H173:J173" si="517">roundup((XLOOKUP($D173,$T$3:$T$10,$U$3:$U$10)*XLOOKUP(H$2,$AA$3:$AA$5,$AC$3:$AC$5)-ABS(XLOOKUP($C173,$Q$3:$Q$16,$R$3:$R$16)))*$B173,-5)</f>
        <v>16600000</v>
      </c>
      <c r="I173" s="17">
        <f t="shared" si="517"/>
        <v>43400000</v>
      </c>
      <c r="J173" s="17">
        <f t="shared" si="517"/>
        <v>47000000</v>
      </c>
      <c r="K173" s="17">
        <f t="shared" ref="K173:M173" si="518">roundup((XLOOKUP($D173,$T$3:$T$10,$U$3:$U$10)*XLOOKUP(K$2,$AA$3:$AA$5,$AD$3:$AD$5)-ABS(XLOOKUP($C173,$Q$3:$Q$16,$R$3:$R$16)))*$B173,-5)</f>
        <v>19600000</v>
      </c>
      <c r="L173" s="17">
        <f t="shared" si="518"/>
        <v>49000000</v>
      </c>
      <c r="M173" s="17">
        <f t="shared" si="518"/>
        <v>53000000</v>
      </c>
    </row>
    <row r="174">
      <c r="A174" s="14" t="s">
        <v>213</v>
      </c>
      <c r="B174" s="14">
        <v>80.0</v>
      </c>
      <c r="C174" s="15">
        <f t="shared" si="4"/>
        <v>10</v>
      </c>
      <c r="D174" s="14" t="s">
        <v>208</v>
      </c>
      <c r="E174" s="16">
        <f t="shared" ref="E174:G174" si="519">ROUNDUP((XLOOKUP($D174,$T$3:$T$10,$U$3:$U$10)*XLOOKUP(E$2,$AA$3:$AA$5,$AB$3:$AB$5)-ABS(XLOOKUP($C174,$Q$3:$Q$16,$R$3:$R$16)))*$B174,-5)</f>
        <v>20800000</v>
      </c>
      <c r="F174" s="16">
        <f t="shared" si="519"/>
        <v>34700000</v>
      </c>
      <c r="G174" s="16">
        <f t="shared" si="519"/>
        <v>37600000</v>
      </c>
      <c r="H174" s="17">
        <f t="shared" ref="H174:J174" si="520">roundup((XLOOKUP($D174,$T$3:$T$10,$U$3:$U$10)*XLOOKUP(H$2,$AA$3:$AA$5,$AC$3:$AC$5)-ABS(XLOOKUP($C174,$Q$3:$Q$16,$R$3:$R$16)))*$B174,-5)</f>
        <v>17700000</v>
      </c>
      <c r="I174" s="17">
        <f t="shared" si="520"/>
        <v>42300000</v>
      </c>
      <c r="J174" s="17">
        <f t="shared" si="520"/>
        <v>45700000</v>
      </c>
      <c r="K174" s="17">
        <f t="shared" ref="K174:M174" si="521">roundup((XLOOKUP($D174,$T$3:$T$10,$U$3:$U$10)*XLOOKUP(K$2,$AA$3:$AA$5,$AD$3:$AD$5)-ABS(XLOOKUP($C174,$Q$3:$Q$16,$R$3:$R$16)))*$B174,-5)</f>
        <v>20400000</v>
      </c>
      <c r="L174" s="17">
        <f t="shared" si="521"/>
        <v>47400000</v>
      </c>
      <c r="M174" s="17">
        <f t="shared" si="521"/>
        <v>51100000</v>
      </c>
    </row>
    <row r="175">
      <c r="A175" s="14" t="s">
        <v>214</v>
      </c>
      <c r="B175" s="14">
        <v>70.0</v>
      </c>
      <c r="C175" s="15">
        <f t="shared" si="4"/>
        <v>9</v>
      </c>
      <c r="D175" s="14" t="s">
        <v>208</v>
      </c>
      <c r="E175" s="16">
        <f t="shared" ref="E175:G175" si="522">ROUNDUP((XLOOKUP($D175,$T$3:$T$10,$U$3:$U$10)*XLOOKUP(E$2,$AA$3:$AA$5,$AB$3:$AB$5)-ABS(XLOOKUP($C175,$Q$3:$Q$16,$R$3:$R$16)))*$B175,-5)</f>
        <v>22500000</v>
      </c>
      <c r="F175" s="16">
        <f t="shared" si="522"/>
        <v>34700000</v>
      </c>
      <c r="G175" s="16">
        <f t="shared" si="522"/>
        <v>37200000</v>
      </c>
      <c r="H175" s="17">
        <f t="shared" ref="H175:J175" si="523">roundup((XLOOKUP($D175,$T$3:$T$10,$U$3:$U$10)*XLOOKUP(H$2,$AA$3:$AA$5,$AC$3:$AC$5)-ABS(XLOOKUP($C175,$Q$3:$Q$16,$R$3:$R$16)))*$B175,-5)</f>
        <v>19700000</v>
      </c>
      <c r="I175" s="17">
        <f t="shared" si="523"/>
        <v>41300000</v>
      </c>
      <c r="J175" s="17">
        <f t="shared" si="523"/>
        <v>44200000</v>
      </c>
      <c r="K175" s="17">
        <f t="shared" ref="K175:M175" si="524">roundup((XLOOKUP($D175,$T$3:$T$10,$U$3:$U$10)*XLOOKUP(K$2,$AA$3:$AA$5,$AD$3:$AD$5)-ABS(XLOOKUP($C175,$Q$3:$Q$16,$R$3:$R$16)))*$B175,-5)</f>
        <v>22100000</v>
      </c>
      <c r="L175" s="17">
        <f t="shared" si="524"/>
        <v>45800000</v>
      </c>
      <c r="M175" s="17">
        <f t="shared" si="524"/>
        <v>49000000</v>
      </c>
    </row>
    <row r="176">
      <c r="A176" s="14" t="s">
        <v>215</v>
      </c>
      <c r="B176" s="14">
        <v>60.0</v>
      </c>
      <c r="C176" s="15">
        <f t="shared" si="4"/>
        <v>8</v>
      </c>
      <c r="D176" s="14" t="s">
        <v>208</v>
      </c>
      <c r="E176" s="16">
        <f t="shared" ref="E176:G176" si="525">ROUNDUP((XLOOKUP($D176,$T$3:$T$10,$U$3:$U$10)*XLOOKUP(E$2,$AA$3:$AA$5,$AB$3:$AB$5)-ABS(XLOOKUP($C176,$Q$3:$Q$16,$R$3:$R$16)))*$B176,-5)</f>
        <v>19500000</v>
      </c>
      <c r="F176" s="16">
        <f t="shared" si="525"/>
        <v>30000000</v>
      </c>
      <c r="G176" s="16">
        <f t="shared" si="525"/>
        <v>32100000</v>
      </c>
      <c r="H176" s="17">
        <f t="shared" ref="H176:J176" si="526">roundup((XLOOKUP($D176,$T$3:$T$10,$U$3:$U$10)*XLOOKUP(H$2,$AA$3:$AA$5,$AC$3:$AC$5)-ABS(XLOOKUP($C176,$Q$3:$Q$16,$R$3:$R$16)))*$B176,-5)</f>
        <v>17200000</v>
      </c>
      <c r="I176" s="17">
        <f t="shared" si="526"/>
        <v>35600000</v>
      </c>
      <c r="J176" s="17">
        <f t="shared" si="526"/>
        <v>38200000</v>
      </c>
      <c r="K176" s="17">
        <f t="shared" ref="K176:M176" si="527">roundup((XLOOKUP($D176,$T$3:$T$10,$U$3:$U$10)*XLOOKUP(K$2,$AA$3:$AA$5,$AD$3:$AD$5)-ABS(XLOOKUP($C176,$Q$3:$Q$16,$R$3:$R$16)))*$B176,-5)</f>
        <v>19200000</v>
      </c>
      <c r="L176" s="17">
        <f t="shared" si="527"/>
        <v>39500000</v>
      </c>
      <c r="M176" s="17">
        <f t="shared" si="527"/>
        <v>42300000</v>
      </c>
    </row>
    <row r="177">
      <c r="A177" s="14" t="s">
        <v>216</v>
      </c>
      <c r="B177" s="14">
        <v>46.0</v>
      </c>
      <c r="C177" s="15">
        <f t="shared" si="4"/>
        <v>6</v>
      </c>
      <c r="D177" s="14" t="s">
        <v>208</v>
      </c>
      <c r="E177" s="16">
        <f t="shared" ref="E177:G177" si="528">ROUNDUP((XLOOKUP($D177,$T$3:$T$10,$U$3:$U$10)*XLOOKUP(E$2,$AA$3:$AA$5,$AB$3:$AB$5)-ABS(XLOOKUP($C177,$Q$3:$Q$16,$R$3:$R$16)))*$B177,-5)</f>
        <v>15900000</v>
      </c>
      <c r="F177" s="16">
        <f t="shared" si="528"/>
        <v>23900000</v>
      </c>
      <c r="G177" s="16">
        <f t="shared" si="528"/>
        <v>25600000</v>
      </c>
      <c r="H177" s="17">
        <f t="shared" ref="H177:J177" si="529">roundup((XLOOKUP($D177,$T$3:$T$10,$U$3:$U$10)*XLOOKUP(H$2,$AA$3:$AA$5,$AC$3:$AC$5)-ABS(XLOOKUP($C177,$Q$3:$Q$16,$R$3:$R$16)))*$B177,-5)</f>
        <v>14100000</v>
      </c>
      <c r="I177" s="17">
        <f t="shared" si="529"/>
        <v>28300000</v>
      </c>
      <c r="J177" s="17">
        <f t="shared" si="529"/>
        <v>30200000</v>
      </c>
      <c r="K177" s="17">
        <f t="shared" ref="K177:M177" si="530">roundup((XLOOKUP($D177,$T$3:$T$10,$U$3:$U$10)*XLOOKUP(K$2,$AA$3:$AA$5,$AD$3:$AD$5)-ABS(XLOOKUP($C177,$Q$3:$Q$16,$R$3:$R$16)))*$B177,-5)</f>
        <v>15700000</v>
      </c>
      <c r="L177" s="17">
        <f t="shared" si="530"/>
        <v>31200000</v>
      </c>
      <c r="M177" s="17">
        <f t="shared" si="530"/>
        <v>33300000</v>
      </c>
    </row>
    <row r="178">
      <c r="A178" s="14" t="s">
        <v>217</v>
      </c>
      <c r="B178" s="14">
        <v>39.0</v>
      </c>
      <c r="C178" s="15">
        <f t="shared" si="4"/>
        <v>4</v>
      </c>
      <c r="D178" s="14" t="s">
        <v>208</v>
      </c>
      <c r="E178" s="16">
        <f t="shared" ref="E178:G178" si="531">ROUNDUP((XLOOKUP($D178,$T$3:$T$10,$U$3:$U$10)*XLOOKUP(E$2,$AA$3:$AA$5,$AB$3:$AB$5)-ABS(XLOOKUP($C178,$Q$3:$Q$16,$R$3:$R$16)))*$B178,-5)</f>
        <v>13800000</v>
      </c>
      <c r="F178" s="16">
        <f t="shared" si="531"/>
        <v>20600000</v>
      </c>
      <c r="G178" s="16">
        <f t="shared" si="531"/>
        <v>22000000</v>
      </c>
      <c r="H178" s="17">
        <f t="shared" ref="H178:J178" si="532">roundup((XLOOKUP($D178,$T$3:$T$10,$U$3:$U$10)*XLOOKUP(H$2,$AA$3:$AA$5,$AC$3:$AC$5)-ABS(XLOOKUP($C178,$Q$3:$Q$16,$R$3:$R$16)))*$B178,-5)</f>
        <v>12300000</v>
      </c>
      <c r="I178" s="17">
        <f t="shared" si="532"/>
        <v>24300000</v>
      </c>
      <c r="J178" s="17">
        <f t="shared" si="532"/>
        <v>26000000</v>
      </c>
      <c r="K178" s="17">
        <f t="shared" ref="K178:M178" si="533">roundup((XLOOKUP($D178,$T$3:$T$10,$U$3:$U$10)*XLOOKUP(K$2,$AA$3:$AA$5,$AD$3:$AD$5)-ABS(XLOOKUP($C178,$Q$3:$Q$16,$R$3:$R$16)))*$B178,-5)</f>
        <v>13600000</v>
      </c>
      <c r="L178" s="17">
        <f t="shared" si="533"/>
        <v>26800000</v>
      </c>
      <c r="M178" s="17">
        <f t="shared" si="533"/>
        <v>28600000</v>
      </c>
    </row>
    <row r="179">
      <c r="A179" s="14" t="s">
        <v>218</v>
      </c>
      <c r="B179" s="14">
        <v>29.0</v>
      </c>
      <c r="C179" s="15">
        <f t="shared" si="4"/>
        <v>1</v>
      </c>
      <c r="D179" s="14" t="s">
        <v>208</v>
      </c>
      <c r="E179" s="16">
        <f t="shared" ref="E179:G179" si="534">ROUNDUP((XLOOKUP($D179,$T$3:$T$10,$U$3:$U$10)*XLOOKUP(E$2,$AA$3:$AA$5,$AB$3:$AB$5)-ABS(XLOOKUP($C179,$Q$3:$Q$16,$R$3:$R$16)))*$B179,-5)</f>
        <v>11400000</v>
      </c>
      <c r="F179" s="16">
        <f t="shared" si="534"/>
        <v>16400000</v>
      </c>
      <c r="G179" s="16">
        <f t="shared" si="534"/>
        <v>17400000</v>
      </c>
      <c r="H179" s="17">
        <f t="shared" ref="H179:J179" si="535">roundup((XLOOKUP($D179,$T$3:$T$10,$U$3:$U$10)*XLOOKUP(H$2,$AA$3:$AA$5,$AC$3:$AC$5)-ABS(XLOOKUP($C179,$Q$3:$Q$16,$R$3:$R$16)))*$B179,-5)</f>
        <v>10200000</v>
      </c>
      <c r="I179" s="17">
        <f t="shared" si="535"/>
        <v>19100000</v>
      </c>
      <c r="J179" s="17">
        <f t="shared" si="535"/>
        <v>20400000</v>
      </c>
      <c r="K179" s="17">
        <f t="shared" ref="K179:M179" si="536">roundup((XLOOKUP($D179,$T$3:$T$10,$U$3:$U$10)*XLOOKUP(K$2,$AA$3:$AA$5,$AD$3:$AD$5)-ABS(XLOOKUP($C179,$Q$3:$Q$16,$R$3:$R$16)))*$B179,-5)</f>
        <v>11200000</v>
      </c>
      <c r="L179" s="17">
        <f t="shared" si="536"/>
        <v>21000000</v>
      </c>
      <c r="M179" s="17">
        <f t="shared" si="536"/>
        <v>22300000</v>
      </c>
    </row>
    <row r="180">
      <c r="A180" s="14" t="s">
        <v>219</v>
      </c>
      <c r="B180" s="14">
        <v>146.0</v>
      </c>
      <c r="C180" s="15">
        <f t="shared" si="4"/>
        <v>11</v>
      </c>
      <c r="D180" s="14" t="s">
        <v>33</v>
      </c>
      <c r="E180" s="16">
        <f t="shared" ref="E180:G180" si="537">ROUNDUP((XLOOKUP($D180,$T$3:$T$10,$U$3:$U$10)*XLOOKUP(E$2,$AA$3:$AA$5,$AB$3:$AB$5)-ABS(XLOOKUP($C180,$Q$3:$Q$16,$R$3:$R$16)))*$B180,-5)</f>
        <v>31700000</v>
      </c>
      <c r="F180" s="16">
        <f t="shared" si="537"/>
        <v>56200000</v>
      </c>
      <c r="G180" s="16">
        <f t="shared" si="537"/>
        <v>61300000</v>
      </c>
      <c r="H180" s="17">
        <f t="shared" ref="H180:J180" si="538">roundup((XLOOKUP($D180,$T$3:$T$10,$U$3:$U$10)*XLOOKUP(H$2,$AA$3:$AA$5,$AC$3:$AC$5)-ABS(XLOOKUP($C180,$Q$3:$Q$16,$R$3:$R$16)))*$B180,-5)</f>
        <v>26100000</v>
      </c>
      <c r="I180" s="17">
        <f t="shared" si="538"/>
        <v>69600000</v>
      </c>
      <c r="J180" s="17">
        <f t="shared" si="538"/>
        <v>75500000</v>
      </c>
      <c r="K180" s="17">
        <f t="shared" ref="K180:M180" si="539">roundup((XLOOKUP($D180,$T$3:$T$10,$U$3:$U$10)*XLOOKUP(K$2,$AA$3:$AA$5,$AD$3:$AD$5)-ABS(XLOOKUP($C180,$Q$3:$Q$16,$R$3:$R$16)))*$B180,-5)</f>
        <v>30900000</v>
      </c>
      <c r="L180" s="17">
        <f t="shared" si="539"/>
        <v>78600000</v>
      </c>
      <c r="M180" s="17">
        <f t="shared" si="539"/>
        <v>85200000</v>
      </c>
    </row>
    <row r="181">
      <c r="A181" s="14" t="s">
        <v>220</v>
      </c>
      <c r="B181" s="14">
        <v>153.0</v>
      </c>
      <c r="C181" s="15">
        <f t="shared" si="4"/>
        <v>11</v>
      </c>
      <c r="D181" s="14" t="s">
        <v>33</v>
      </c>
      <c r="E181" s="16">
        <f t="shared" ref="E181:G181" si="540">ROUNDUP((XLOOKUP($D181,$T$3:$T$10,$U$3:$U$10)*XLOOKUP(E$2,$AA$3:$AA$5,$AB$3:$AB$5)-ABS(XLOOKUP($C181,$Q$3:$Q$16,$R$3:$R$16)))*$B181,-5)</f>
        <v>33200000</v>
      </c>
      <c r="F181" s="16">
        <f t="shared" si="540"/>
        <v>58900000</v>
      </c>
      <c r="G181" s="16">
        <f t="shared" si="540"/>
        <v>64200000</v>
      </c>
      <c r="H181" s="17">
        <f t="shared" ref="H181:J181" si="541">roundup((XLOOKUP($D181,$T$3:$T$10,$U$3:$U$10)*XLOOKUP(H$2,$AA$3:$AA$5,$AC$3:$AC$5)-ABS(XLOOKUP($C181,$Q$3:$Q$16,$R$3:$R$16)))*$B181,-5)</f>
        <v>27300000</v>
      </c>
      <c r="I181" s="17">
        <f t="shared" si="541"/>
        <v>72900000</v>
      </c>
      <c r="J181" s="17">
        <f t="shared" si="541"/>
        <v>79100000</v>
      </c>
      <c r="K181" s="17">
        <f t="shared" ref="K181:M181" si="542">roundup((XLOOKUP($D181,$T$3:$T$10,$U$3:$U$10)*XLOOKUP(K$2,$AA$3:$AA$5,$AD$3:$AD$5)-ABS(XLOOKUP($C181,$Q$3:$Q$16,$R$3:$R$16)))*$B181,-5)</f>
        <v>32400000</v>
      </c>
      <c r="L181" s="17">
        <f t="shared" si="542"/>
        <v>82400000</v>
      </c>
      <c r="M181" s="17">
        <f t="shared" si="542"/>
        <v>89200000</v>
      </c>
    </row>
    <row r="182">
      <c r="A182" s="14" t="s">
        <v>221</v>
      </c>
      <c r="B182" s="14">
        <v>95.0</v>
      </c>
      <c r="C182" s="15">
        <f t="shared" si="4"/>
        <v>11</v>
      </c>
      <c r="D182" s="14" t="s">
        <v>33</v>
      </c>
      <c r="E182" s="16">
        <f t="shared" ref="E182:G182" si="543">ROUNDUP((XLOOKUP($D182,$T$3:$T$10,$U$3:$U$10)*XLOOKUP(E$2,$AA$3:$AA$5,$AB$3:$AB$5)-ABS(XLOOKUP($C182,$Q$3:$Q$16,$R$3:$R$16)))*$B182,-5)</f>
        <v>20600000</v>
      </c>
      <c r="F182" s="16">
        <f t="shared" si="543"/>
        <v>36600000</v>
      </c>
      <c r="G182" s="16">
        <f t="shared" si="543"/>
        <v>39900000</v>
      </c>
      <c r="H182" s="17">
        <f t="shared" ref="H182:J182" si="544">roundup((XLOOKUP($D182,$T$3:$T$10,$U$3:$U$10)*XLOOKUP(H$2,$AA$3:$AA$5,$AC$3:$AC$5)-ABS(XLOOKUP($C182,$Q$3:$Q$16,$R$3:$R$16)))*$B182,-5)</f>
        <v>17000000</v>
      </c>
      <c r="I182" s="17">
        <f t="shared" si="544"/>
        <v>45300000</v>
      </c>
      <c r="J182" s="17">
        <f t="shared" si="544"/>
        <v>49200000</v>
      </c>
      <c r="K182" s="17">
        <f t="shared" ref="K182:M182" si="545">roundup((XLOOKUP($D182,$T$3:$T$10,$U$3:$U$10)*XLOOKUP(K$2,$AA$3:$AA$5,$AD$3:$AD$5)-ABS(XLOOKUP($C182,$Q$3:$Q$16,$R$3:$R$16)))*$B182,-5)</f>
        <v>20100000</v>
      </c>
      <c r="L182" s="17">
        <f t="shared" si="545"/>
        <v>51200000</v>
      </c>
      <c r="M182" s="17">
        <f t="shared" si="545"/>
        <v>55400000</v>
      </c>
    </row>
    <row r="183">
      <c r="A183" s="14" t="s">
        <v>222</v>
      </c>
      <c r="B183" s="14">
        <v>100.0</v>
      </c>
      <c r="C183" s="15">
        <f t="shared" si="4"/>
        <v>11</v>
      </c>
      <c r="D183" s="14" t="s">
        <v>223</v>
      </c>
      <c r="E183" s="16">
        <f t="shared" ref="E183:G183" si="546">ROUNDUP((XLOOKUP($D183,$T$3:$T$10,$U$3:$U$10)*XLOOKUP(E$2,$AA$3:$AA$5,$AB$3:$AB$5)-ABS(XLOOKUP($C183,$Q$3:$Q$16,$R$3:$R$16)))*$B183,-5)</f>
        <v>26900000</v>
      </c>
      <c r="F183" s="16">
        <f t="shared" si="546"/>
        <v>46000000</v>
      </c>
      <c r="G183" s="16">
        <f t="shared" si="546"/>
        <v>50000000</v>
      </c>
      <c r="H183" s="17">
        <f t="shared" ref="H183:J183" si="547">roundup((XLOOKUP($D183,$T$3:$T$10,$U$3:$U$10)*XLOOKUP(H$2,$AA$3:$AA$5,$AC$3:$AC$5)-ABS(XLOOKUP($C183,$Q$3:$Q$16,$R$3:$R$16)))*$B183,-5)</f>
        <v>22600000</v>
      </c>
      <c r="I183" s="17">
        <f t="shared" si="547"/>
        <v>56500000</v>
      </c>
      <c r="J183" s="17">
        <f t="shared" si="547"/>
        <v>61100000</v>
      </c>
      <c r="K183" s="17">
        <f t="shared" ref="K183:M183" si="548">roundup((XLOOKUP($D183,$T$3:$T$10,$U$3:$U$10)*XLOOKUP(K$2,$AA$3:$AA$5,$AD$3:$AD$5)-ABS(XLOOKUP($C183,$Q$3:$Q$16,$R$3:$R$16)))*$B183,-5)</f>
        <v>26300000</v>
      </c>
      <c r="L183" s="17">
        <f t="shared" si="548"/>
        <v>63500000</v>
      </c>
      <c r="M183" s="17">
        <f t="shared" si="548"/>
        <v>68600000</v>
      </c>
    </row>
    <row r="184">
      <c r="A184" s="14" t="s">
        <v>224</v>
      </c>
      <c r="B184" s="14">
        <v>140.0</v>
      </c>
      <c r="C184" s="15">
        <f t="shared" si="4"/>
        <v>11</v>
      </c>
      <c r="D184" s="14" t="s">
        <v>223</v>
      </c>
      <c r="E184" s="16">
        <f t="shared" ref="E184:G184" si="549">ROUNDUP((XLOOKUP($D184,$T$3:$T$10,$U$3:$U$10)*XLOOKUP(E$2,$AA$3:$AA$5,$AB$3:$AB$5)-ABS(XLOOKUP($C184,$Q$3:$Q$16,$R$3:$R$16)))*$B184,-5)</f>
        <v>37700000</v>
      </c>
      <c r="F184" s="16">
        <f t="shared" si="549"/>
        <v>64400000</v>
      </c>
      <c r="G184" s="16">
        <f t="shared" si="549"/>
        <v>70000000</v>
      </c>
      <c r="H184" s="17">
        <f t="shared" ref="H184:J184" si="550">roundup((XLOOKUP($D184,$T$3:$T$10,$U$3:$U$10)*XLOOKUP(H$2,$AA$3:$AA$5,$AC$3:$AC$5)-ABS(XLOOKUP($C184,$Q$3:$Q$16,$R$3:$R$16)))*$B184,-5)</f>
        <v>31600000</v>
      </c>
      <c r="I184" s="17">
        <f t="shared" si="550"/>
        <v>79000000</v>
      </c>
      <c r="J184" s="17">
        <f t="shared" si="550"/>
        <v>85500000</v>
      </c>
      <c r="K184" s="17">
        <f t="shared" ref="K184:M184" si="551">roundup((XLOOKUP($D184,$T$3:$T$10,$U$3:$U$10)*XLOOKUP(K$2,$AA$3:$AA$5,$AD$3:$AD$5)-ABS(XLOOKUP($C184,$Q$3:$Q$16,$R$3:$R$16)))*$B184,-5)</f>
        <v>36800000</v>
      </c>
      <c r="L184" s="17">
        <f t="shared" si="551"/>
        <v>88900000</v>
      </c>
      <c r="M184" s="17">
        <f t="shared" si="551"/>
        <v>96000000</v>
      </c>
    </row>
    <row r="185">
      <c r="A185" s="14" t="s">
        <v>225</v>
      </c>
      <c r="B185" s="14">
        <v>137.0</v>
      </c>
      <c r="C185" s="15">
        <f t="shared" si="4"/>
        <v>11</v>
      </c>
      <c r="D185" s="14" t="s">
        <v>223</v>
      </c>
      <c r="E185" s="16">
        <f t="shared" ref="E185:G185" si="552">ROUNDUP((XLOOKUP($D185,$T$3:$T$10,$U$3:$U$10)*XLOOKUP(E$2,$AA$3:$AA$5,$AB$3:$AB$5)-ABS(XLOOKUP($C185,$Q$3:$Q$16,$R$3:$R$16)))*$B185,-5)</f>
        <v>36900000</v>
      </c>
      <c r="F185" s="16">
        <f t="shared" si="552"/>
        <v>63100000</v>
      </c>
      <c r="G185" s="16">
        <f t="shared" si="552"/>
        <v>68500000</v>
      </c>
      <c r="H185" s="17">
        <f t="shared" ref="H185:J185" si="553">roundup((XLOOKUP($D185,$T$3:$T$10,$U$3:$U$10)*XLOOKUP(H$2,$AA$3:$AA$5,$AC$3:$AC$5)-ABS(XLOOKUP($C185,$Q$3:$Q$16,$R$3:$R$16)))*$B185,-5)</f>
        <v>30900000</v>
      </c>
      <c r="I185" s="17">
        <f t="shared" si="553"/>
        <v>77300000</v>
      </c>
      <c r="J185" s="17">
        <f t="shared" si="553"/>
        <v>83700000</v>
      </c>
      <c r="K185" s="17">
        <f t="shared" ref="K185:M185" si="554">roundup((XLOOKUP($D185,$T$3:$T$10,$U$3:$U$10)*XLOOKUP(K$2,$AA$3:$AA$5,$AD$3:$AD$5)-ABS(XLOOKUP($C185,$Q$3:$Q$16,$R$3:$R$16)))*$B185,-5)</f>
        <v>36000000</v>
      </c>
      <c r="L185" s="17">
        <f t="shared" si="554"/>
        <v>87000000</v>
      </c>
      <c r="M185" s="17">
        <f t="shared" si="554"/>
        <v>94000000</v>
      </c>
    </row>
    <row r="186">
      <c r="A186" s="14" t="s">
        <v>226</v>
      </c>
      <c r="B186" s="14">
        <v>110.0</v>
      </c>
      <c r="C186" s="15">
        <f t="shared" si="4"/>
        <v>11</v>
      </c>
      <c r="D186" s="14" t="s">
        <v>33</v>
      </c>
      <c r="E186" s="16">
        <f t="shared" ref="E186:G186" si="555">ROUNDUP((XLOOKUP($D186,$T$3:$T$10,$U$3:$U$10)*XLOOKUP(E$2,$AA$3:$AA$5,$AB$3:$AB$5)-ABS(XLOOKUP($C186,$Q$3:$Q$16,$R$3:$R$16)))*$B186,-5)</f>
        <v>23900000</v>
      </c>
      <c r="F186" s="16">
        <f t="shared" si="555"/>
        <v>42400000</v>
      </c>
      <c r="G186" s="16">
        <f t="shared" si="555"/>
        <v>46200000</v>
      </c>
      <c r="H186" s="17">
        <f t="shared" ref="H186:J186" si="556">roundup((XLOOKUP($D186,$T$3:$T$10,$U$3:$U$10)*XLOOKUP(H$2,$AA$3:$AA$5,$AC$3:$AC$5)-ABS(XLOOKUP($C186,$Q$3:$Q$16,$R$3:$R$16)))*$B186,-5)</f>
        <v>19700000</v>
      </c>
      <c r="I186" s="17">
        <f t="shared" si="556"/>
        <v>52400000</v>
      </c>
      <c r="J186" s="17">
        <f t="shared" si="556"/>
        <v>56900000</v>
      </c>
      <c r="K186" s="17">
        <f t="shared" ref="K186:M186" si="557">roundup((XLOOKUP($D186,$T$3:$T$10,$U$3:$U$10)*XLOOKUP(K$2,$AA$3:$AA$5,$AD$3:$AD$5)-ABS(XLOOKUP($C186,$Q$3:$Q$16,$R$3:$R$16)))*$B186,-5)</f>
        <v>23300000</v>
      </c>
      <c r="L186" s="17">
        <f t="shared" si="557"/>
        <v>59300000</v>
      </c>
      <c r="M186" s="17">
        <f t="shared" si="557"/>
        <v>64200000</v>
      </c>
    </row>
    <row r="187">
      <c r="A187" s="14" t="s">
        <v>227</v>
      </c>
      <c r="B187" s="14">
        <v>91.0</v>
      </c>
      <c r="C187" s="15">
        <f t="shared" si="4"/>
        <v>11</v>
      </c>
      <c r="D187" s="14" t="s">
        <v>223</v>
      </c>
      <c r="E187" s="16">
        <f t="shared" ref="E187:G187" si="558">ROUNDUP((XLOOKUP($D187,$T$3:$T$10,$U$3:$U$10)*XLOOKUP(E$2,$AA$3:$AA$5,$AB$3:$AB$5)-ABS(XLOOKUP($C187,$Q$3:$Q$16,$R$3:$R$16)))*$B187,-5)</f>
        <v>24500000</v>
      </c>
      <c r="F187" s="16">
        <f t="shared" si="558"/>
        <v>41900000</v>
      </c>
      <c r="G187" s="16">
        <f t="shared" si="558"/>
        <v>45500000</v>
      </c>
      <c r="H187" s="17">
        <f t="shared" ref="H187:J187" si="559">roundup((XLOOKUP($D187,$T$3:$T$10,$U$3:$U$10)*XLOOKUP(H$2,$AA$3:$AA$5,$AC$3:$AC$5)-ABS(XLOOKUP($C187,$Q$3:$Q$16,$R$3:$R$16)))*$B187,-5)</f>
        <v>20500000</v>
      </c>
      <c r="I187" s="17">
        <f t="shared" si="559"/>
        <v>51400000</v>
      </c>
      <c r="J187" s="17">
        <f t="shared" si="559"/>
        <v>55600000</v>
      </c>
      <c r="K187" s="17">
        <f t="shared" ref="K187:M187" si="560">roundup((XLOOKUP($D187,$T$3:$T$10,$U$3:$U$10)*XLOOKUP(K$2,$AA$3:$AA$5,$AD$3:$AD$5)-ABS(XLOOKUP($C187,$Q$3:$Q$16,$R$3:$R$16)))*$B187,-5)</f>
        <v>24000000</v>
      </c>
      <c r="L187" s="17">
        <f t="shared" si="560"/>
        <v>57800000</v>
      </c>
      <c r="M187" s="17">
        <f t="shared" si="560"/>
        <v>62400000</v>
      </c>
    </row>
    <row r="188">
      <c r="A188" s="14" t="s">
        <v>228</v>
      </c>
      <c r="B188" s="14">
        <v>166.0</v>
      </c>
      <c r="C188" s="15">
        <f t="shared" si="4"/>
        <v>12</v>
      </c>
      <c r="D188" s="14" t="s">
        <v>33</v>
      </c>
      <c r="E188" s="16">
        <f t="shared" ref="E188:G188" si="561">ROUNDUP((XLOOKUP($D188,$T$3:$T$10,$U$3:$U$10)*XLOOKUP(E$2,$AA$3:$AA$5,$AB$3:$AB$5)-ABS(XLOOKUP($C188,$Q$3:$Q$16,$R$3:$R$16)))*$B188,-5)</f>
        <v>35200000</v>
      </c>
      <c r="F188" s="16">
        <f t="shared" si="561"/>
        <v>63100000</v>
      </c>
      <c r="G188" s="16">
        <f t="shared" si="561"/>
        <v>68900000</v>
      </c>
      <c r="H188" s="17">
        <f t="shared" ref="H188:J188" si="562">roundup((XLOOKUP($D188,$T$3:$T$10,$U$3:$U$10)*XLOOKUP(H$2,$AA$3:$AA$5,$AC$3:$AC$5)-ABS(XLOOKUP($C188,$Q$3:$Q$16,$R$3:$R$16)))*$B188,-5)</f>
        <v>28800000</v>
      </c>
      <c r="I188" s="17">
        <f t="shared" si="562"/>
        <v>78300000</v>
      </c>
      <c r="J188" s="17">
        <f t="shared" si="562"/>
        <v>85000000</v>
      </c>
      <c r="K188" s="17">
        <f t="shared" ref="K188:M188" si="563">roundup((XLOOKUP($D188,$T$3:$T$10,$U$3:$U$10)*XLOOKUP(K$2,$AA$3:$AA$5,$AD$3:$AD$5)-ABS(XLOOKUP($C188,$Q$3:$Q$16,$R$3:$R$16)))*$B188,-5)</f>
        <v>34300000</v>
      </c>
      <c r="L188" s="17">
        <f t="shared" si="563"/>
        <v>88600000</v>
      </c>
      <c r="M188" s="17">
        <f t="shared" si="563"/>
        <v>96000000</v>
      </c>
    </row>
    <row r="189">
      <c r="A189" s="14" t="s">
        <v>229</v>
      </c>
      <c r="B189" s="14">
        <v>226.0</v>
      </c>
      <c r="C189" s="15">
        <f t="shared" si="4"/>
        <v>14</v>
      </c>
      <c r="D189" s="14" t="s">
        <v>33</v>
      </c>
      <c r="E189" s="16">
        <f t="shared" ref="E189:G189" si="564">ROUNDUP((XLOOKUP($D189,$T$3:$T$10,$U$3:$U$10)*XLOOKUP(E$2,$AA$3:$AA$5,$AB$3:$AB$5)-ABS(XLOOKUP($C189,$Q$3:$Q$16,$R$3:$R$16)))*$B189,-5)</f>
        <v>42500000</v>
      </c>
      <c r="F189" s="16">
        <f t="shared" si="564"/>
        <v>80400000</v>
      </c>
      <c r="G189" s="16">
        <f t="shared" si="564"/>
        <v>88300000</v>
      </c>
      <c r="H189" s="17">
        <f t="shared" ref="H189:J189" si="565">roundup((XLOOKUP($D189,$T$3:$T$10,$U$3:$U$10)*XLOOKUP(H$2,$AA$3:$AA$5,$AC$3:$AC$5)-ABS(XLOOKUP($C189,$Q$3:$Q$16,$R$3:$R$16)))*$B189,-5)</f>
        <v>33800000</v>
      </c>
      <c r="I189" s="17">
        <f t="shared" si="565"/>
        <v>101100000</v>
      </c>
      <c r="J189" s="17">
        <f t="shared" si="565"/>
        <v>110300000</v>
      </c>
      <c r="K189" s="17">
        <f t="shared" ref="K189:M189" si="566">roundup((XLOOKUP($D189,$T$3:$T$10,$U$3:$U$10)*XLOOKUP(K$2,$AA$3:$AA$5,$AD$3:$AD$5)-ABS(XLOOKUP($C189,$Q$3:$Q$16,$R$3:$R$16)))*$B189,-5)</f>
        <v>41300000</v>
      </c>
      <c r="L189" s="17">
        <f t="shared" si="566"/>
        <v>115200000</v>
      </c>
      <c r="M189" s="17">
        <f t="shared" si="566"/>
        <v>125200000</v>
      </c>
    </row>
    <row r="190">
      <c r="A190" s="14" t="s">
        <v>230</v>
      </c>
      <c r="B190" s="14">
        <v>55.0</v>
      </c>
      <c r="C190" s="15">
        <f t="shared" si="4"/>
        <v>7</v>
      </c>
      <c r="D190" s="14" t="s">
        <v>33</v>
      </c>
      <c r="E190" s="16">
        <f t="shared" ref="E190:G190" si="567">ROUNDUP((XLOOKUP($D190,$T$3:$T$10,$U$3:$U$10)*XLOOKUP(E$2,$AA$3:$AA$5,$AB$3:$AB$5)-ABS(XLOOKUP($C190,$Q$3:$Q$16,$R$3:$R$16)))*$B190,-5)</f>
        <v>18000000</v>
      </c>
      <c r="F190" s="16">
        <f t="shared" si="567"/>
        <v>27300000</v>
      </c>
      <c r="G190" s="16">
        <f t="shared" si="567"/>
        <v>29200000</v>
      </c>
      <c r="H190" s="17">
        <f t="shared" ref="H190:J190" si="568">roundup((XLOOKUP($D190,$T$3:$T$10,$U$3:$U$10)*XLOOKUP(H$2,$AA$3:$AA$5,$AC$3:$AC$5)-ABS(XLOOKUP($C190,$Q$3:$Q$16,$R$3:$R$16)))*$B190,-5)</f>
        <v>15900000</v>
      </c>
      <c r="I190" s="17">
        <f t="shared" si="568"/>
        <v>32300000</v>
      </c>
      <c r="J190" s="17">
        <f t="shared" si="568"/>
        <v>34500000</v>
      </c>
      <c r="K190" s="17">
        <f t="shared" ref="K190:M190" si="569">roundup((XLOOKUP($D190,$T$3:$T$10,$U$3:$U$10)*XLOOKUP(K$2,$AA$3:$AA$5,$AD$3:$AD$5)-ABS(XLOOKUP($C190,$Q$3:$Q$16,$R$3:$R$16)))*$B190,-5)</f>
        <v>17700000</v>
      </c>
      <c r="L190" s="17">
        <f t="shared" si="569"/>
        <v>35700000</v>
      </c>
      <c r="M190" s="17">
        <f t="shared" si="569"/>
        <v>38200000</v>
      </c>
    </row>
    <row r="191">
      <c r="A191" s="14" t="s">
        <v>231</v>
      </c>
      <c r="B191" s="14">
        <v>169.0</v>
      </c>
      <c r="C191" s="15">
        <f t="shared" si="4"/>
        <v>12</v>
      </c>
      <c r="D191" s="14" t="s">
        <v>33</v>
      </c>
      <c r="E191" s="16">
        <f t="shared" ref="E191:G191" si="570">ROUNDUP((XLOOKUP($D191,$T$3:$T$10,$U$3:$U$10)*XLOOKUP(E$2,$AA$3:$AA$5,$AB$3:$AB$5)-ABS(XLOOKUP($C191,$Q$3:$Q$16,$R$3:$R$16)))*$B191,-5)</f>
        <v>35800000</v>
      </c>
      <c r="F191" s="16">
        <f t="shared" si="570"/>
        <v>64200000</v>
      </c>
      <c r="G191" s="16">
        <f t="shared" si="570"/>
        <v>70100000</v>
      </c>
      <c r="H191" s="17">
        <f t="shared" ref="H191:J191" si="571">roundup((XLOOKUP($D191,$T$3:$T$10,$U$3:$U$10)*XLOOKUP(H$2,$AA$3:$AA$5,$AC$3:$AC$5)-ABS(XLOOKUP($C191,$Q$3:$Q$16,$R$3:$R$16)))*$B191,-5)</f>
        <v>29400000</v>
      </c>
      <c r="I191" s="17">
        <f t="shared" si="571"/>
        <v>79700000</v>
      </c>
      <c r="J191" s="17">
        <f t="shared" si="571"/>
        <v>86600000</v>
      </c>
      <c r="K191" s="17">
        <f t="shared" ref="K191:M191" si="572">roundup((XLOOKUP($D191,$T$3:$T$10,$U$3:$U$10)*XLOOKUP(K$2,$AA$3:$AA$5,$AD$3:$AD$5)-ABS(XLOOKUP($C191,$Q$3:$Q$16,$R$3:$R$16)))*$B191,-5)</f>
        <v>34900000</v>
      </c>
      <c r="L191" s="17">
        <f t="shared" si="572"/>
        <v>90200000</v>
      </c>
      <c r="M191" s="17">
        <f t="shared" si="572"/>
        <v>97700000</v>
      </c>
    </row>
    <row r="192">
      <c r="A192" s="14" t="s">
        <v>232</v>
      </c>
      <c r="B192" s="14">
        <v>299.0</v>
      </c>
      <c r="C192" s="15">
        <f t="shared" si="4"/>
        <v>14</v>
      </c>
      <c r="D192" s="14" t="s">
        <v>36</v>
      </c>
      <c r="E192" s="16">
        <f t="shared" ref="E192:G192" si="573">ROUNDUP((XLOOKUP($D192,$T$3:$T$10,$U$3:$U$10)*XLOOKUP(E$2,$AA$3:$AA$5,$AB$3:$AB$5)-ABS(XLOOKUP($C192,$Q$3:$Q$16,$R$3:$R$16)))*$B192,-5)</f>
        <v>69800000</v>
      </c>
      <c r="F192" s="16">
        <f t="shared" si="573"/>
        <v>126100000</v>
      </c>
      <c r="G192" s="16">
        <f t="shared" si="573"/>
        <v>137700000</v>
      </c>
      <c r="H192" s="17">
        <f t="shared" ref="H192:J192" si="574">roundup((XLOOKUP($D192,$T$3:$T$10,$U$3:$U$10)*XLOOKUP(H$2,$AA$3:$AA$5,$AC$3:$AC$5)-ABS(XLOOKUP($C192,$Q$3:$Q$16,$R$3:$R$16)))*$B192,-5)</f>
        <v>57000000</v>
      </c>
      <c r="I192" s="17">
        <f t="shared" si="574"/>
        <v>156800000</v>
      </c>
      <c r="J192" s="17">
        <f t="shared" si="574"/>
        <v>170400000</v>
      </c>
      <c r="K192" s="17">
        <f t="shared" ref="K192:M192" si="575">roundup((XLOOKUP($D192,$T$3:$T$10,$U$3:$U$10)*XLOOKUP(K$2,$AA$3:$AA$5,$AD$3:$AD$5)-ABS(XLOOKUP($C192,$Q$3:$Q$16,$R$3:$R$16)))*$B192,-5)</f>
        <v>68000000</v>
      </c>
      <c r="L192" s="17">
        <f t="shared" si="575"/>
        <v>177600000</v>
      </c>
      <c r="M192" s="17">
        <f t="shared" si="575"/>
        <v>192500000</v>
      </c>
    </row>
    <row r="193">
      <c r="A193" s="14" t="s">
        <v>233</v>
      </c>
      <c r="B193" s="14">
        <v>228.0</v>
      </c>
      <c r="C193" s="15">
        <f t="shared" si="4"/>
        <v>14</v>
      </c>
      <c r="D193" s="14" t="s">
        <v>36</v>
      </c>
      <c r="E193" s="16">
        <f t="shared" ref="E193:G193" si="576">ROUNDUP((XLOOKUP($D193,$T$3:$T$10,$U$3:$U$10)*XLOOKUP(E$2,$AA$3:$AA$5,$AB$3:$AB$5)-ABS(XLOOKUP($C193,$Q$3:$Q$16,$R$3:$R$16)))*$B193,-5)</f>
        <v>53200000</v>
      </c>
      <c r="F193" s="16">
        <f t="shared" si="576"/>
        <v>96200000</v>
      </c>
      <c r="G193" s="16">
        <f t="shared" si="576"/>
        <v>105000000</v>
      </c>
      <c r="H193" s="17">
        <f t="shared" ref="H193:J193" si="577">roundup((XLOOKUP($D193,$T$3:$T$10,$U$3:$U$10)*XLOOKUP(H$2,$AA$3:$AA$5,$AC$3:$AC$5)-ABS(XLOOKUP($C193,$Q$3:$Q$16,$R$3:$R$16)))*$B193,-5)</f>
        <v>43400000</v>
      </c>
      <c r="I193" s="17">
        <f t="shared" si="577"/>
        <v>119600000</v>
      </c>
      <c r="J193" s="17">
        <f t="shared" si="577"/>
        <v>129900000</v>
      </c>
      <c r="K193" s="17">
        <f t="shared" ref="K193:M193" si="578">roundup((XLOOKUP($D193,$T$3:$T$10,$U$3:$U$10)*XLOOKUP(K$2,$AA$3:$AA$5,$AD$3:$AD$5)-ABS(XLOOKUP($C193,$Q$3:$Q$16,$R$3:$R$16)))*$B193,-5)</f>
        <v>51900000</v>
      </c>
      <c r="L193" s="17">
        <f t="shared" si="578"/>
        <v>135400000</v>
      </c>
      <c r="M193" s="17">
        <f t="shared" si="578"/>
        <v>146800000</v>
      </c>
    </row>
    <row r="194">
      <c r="A194" s="14" t="s">
        <v>234</v>
      </c>
      <c r="B194" s="14">
        <v>208.0</v>
      </c>
      <c r="C194" s="15">
        <f t="shared" si="4"/>
        <v>13</v>
      </c>
      <c r="D194" s="14" t="s">
        <v>33</v>
      </c>
      <c r="E194" s="16">
        <f t="shared" ref="E194:G194" si="579">ROUNDUP((XLOOKUP($D194,$T$3:$T$10,$U$3:$U$10)*XLOOKUP(E$2,$AA$3:$AA$5,$AB$3:$AB$5)-ABS(XLOOKUP($C194,$Q$3:$Q$16,$R$3:$R$16)))*$B194,-5)</f>
        <v>41000000</v>
      </c>
      <c r="F194" s="16">
        <f t="shared" si="579"/>
        <v>75900000</v>
      </c>
      <c r="G194" s="16">
        <f t="shared" si="579"/>
        <v>83100000</v>
      </c>
      <c r="H194" s="17">
        <f t="shared" ref="H194:J194" si="580">roundup((XLOOKUP($D194,$T$3:$T$10,$U$3:$U$10)*XLOOKUP(H$2,$AA$3:$AA$5,$AC$3:$AC$5)-ABS(XLOOKUP($C194,$Q$3:$Q$16,$R$3:$R$16)))*$B194,-5)</f>
        <v>33000000</v>
      </c>
      <c r="I194" s="17">
        <f t="shared" si="580"/>
        <v>95000000</v>
      </c>
      <c r="J194" s="17">
        <f t="shared" si="580"/>
        <v>103400000</v>
      </c>
      <c r="K194" s="17">
        <f t="shared" ref="K194:M194" si="581">roundup((XLOOKUP($D194,$T$3:$T$10,$U$3:$U$10)*XLOOKUP(K$2,$AA$3:$AA$5,$AD$3:$AD$5)-ABS(XLOOKUP($C194,$Q$3:$Q$16,$R$3:$R$16)))*$B194,-5)</f>
        <v>39900000</v>
      </c>
      <c r="L194" s="17">
        <f t="shared" si="581"/>
        <v>107900000</v>
      </c>
      <c r="M194" s="17">
        <f t="shared" si="581"/>
        <v>117100000</v>
      </c>
    </row>
    <row r="195">
      <c r="A195" s="14" t="s">
        <v>235</v>
      </c>
      <c r="B195" s="14">
        <v>242.0</v>
      </c>
      <c r="C195" s="15">
        <f t="shared" si="4"/>
        <v>14</v>
      </c>
      <c r="D195" s="14" t="s">
        <v>36</v>
      </c>
      <c r="E195" s="16">
        <f t="shared" ref="E195:G195" si="582">ROUNDUP((XLOOKUP($D195,$T$3:$T$10,$U$3:$U$10)*XLOOKUP(E$2,$AA$3:$AA$5,$AB$3:$AB$5)-ABS(XLOOKUP($C195,$Q$3:$Q$16,$R$3:$R$16)))*$B195,-5)</f>
        <v>56500000</v>
      </c>
      <c r="F195" s="16">
        <f t="shared" si="582"/>
        <v>102100000</v>
      </c>
      <c r="G195" s="16">
        <f t="shared" si="582"/>
        <v>111500000</v>
      </c>
      <c r="H195" s="17">
        <f t="shared" ref="H195:J195" si="583">roundup((XLOOKUP($D195,$T$3:$T$10,$U$3:$U$10)*XLOOKUP(H$2,$AA$3:$AA$5,$AC$3:$AC$5)-ABS(XLOOKUP($C195,$Q$3:$Q$16,$R$3:$R$16)))*$B195,-5)</f>
        <v>46100000</v>
      </c>
      <c r="I195" s="17">
        <f t="shared" si="583"/>
        <v>126900000</v>
      </c>
      <c r="J195" s="17">
        <f t="shared" si="583"/>
        <v>137900000</v>
      </c>
      <c r="K195" s="17">
        <f t="shared" ref="K195:M195" si="584">roundup((XLOOKUP($D195,$T$3:$T$10,$U$3:$U$10)*XLOOKUP(K$2,$AA$3:$AA$5,$AD$3:$AD$5)-ABS(XLOOKUP($C195,$Q$3:$Q$16,$R$3:$R$16)))*$B195,-5)</f>
        <v>55100000</v>
      </c>
      <c r="L195" s="17">
        <f t="shared" si="584"/>
        <v>143700000</v>
      </c>
      <c r="M195" s="17">
        <f t="shared" si="584"/>
        <v>155800000</v>
      </c>
    </row>
    <row r="196">
      <c r="A196" s="14" t="s">
        <v>236</v>
      </c>
      <c r="B196" s="14">
        <v>196.0</v>
      </c>
      <c r="C196" s="15">
        <f t="shared" si="4"/>
        <v>13</v>
      </c>
      <c r="D196" s="14" t="s">
        <v>36</v>
      </c>
      <c r="E196" s="16">
        <f t="shared" ref="E196:G196" si="585">ROUNDUP((XLOOKUP($D196,$T$3:$T$10,$U$3:$U$10)*XLOOKUP(E$2,$AA$3:$AA$5,$AB$3:$AB$5)-ABS(XLOOKUP($C196,$Q$3:$Q$16,$R$3:$R$16)))*$B196,-5)</f>
        <v>47500000</v>
      </c>
      <c r="F196" s="16">
        <f t="shared" si="585"/>
        <v>84400000</v>
      </c>
      <c r="G196" s="16">
        <f t="shared" si="585"/>
        <v>92100000</v>
      </c>
      <c r="H196" s="17">
        <f t="shared" ref="H196:J196" si="586">roundup((XLOOKUP($D196,$T$3:$T$10,$U$3:$U$10)*XLOOKUP(H$2,$AA$3:$AA$5,$AC$3:$AC$5)-ABS(XLOOKUP($C196,$Q$3:$Q$16,$R$3:$R$16)))*$B196,-5)</f>
        <v>39100000</v>
      </c>
      <c r="I196" s="17">
        <f t="shared" si="586"/>
        <v>104500000</v>
      </c>
      <c r="J196" s="17">
        <f t="shared" si="586"/>
        <v>113500000</v>
      </c>
      <c r="K196" s="17">
        <f t="shared" ref="K196:M196" si="587">roundup((XLOOKUP($D196,$T$3:$T$10,$U$3:$U$10)*XLOOKUP(K$2,$AA$3:$AA$5,$AD$3:$AD$5)-ABS(XLOOKUP($C196,$Q$3:$Q$16,$R$3:$R$16)))*$B196,-5)</f>
        <v>46400000</v>
      </c>
      <c r="L196" s="17">
        <f t="shared" si="587"/>
        <v>118200000</v>
      </c>
      <c r="M196" s="17">
        <f t="shared" si="587"/>
        <v>128000000</v>
      </c>
    </row>
    <row r="197">
      <c r="A197" s="14" t="s">
        <v>237</v>
      </c>
      <c r="B197" s="14">
        <v>213.0</v>
      </c>
      <c r="C197" s="15">
        <f t="shared" si="4"/>
        <v>13</v>
      </c>
      <c r="D197" s="14" t="s">
        <v>36</v>
      </c>
      <c r="E197" s="16">
        <f t="shared" ref="E197:G197" si="588">ROUNDUP((XLOOKUP($D197,$T$3:$T$10,$U$3:$U$10)*XLOOKUP(E$2,$AA$3:$AA$5,$AB$3:$AB$5)-ABS(XLOOKUP($C197,$Q$3:$Q$16,$R$3:$R$16)))*$B197,-5)</f>
        <v>51600000</v>
      </c>
      <c r="F197" s="16">
        <f t="shared" si="588"/>
        <v>91800000</v>
      </c>
      <c r="G197" s="16">
        <f t="shared" si="588"/>
        <v>100100000</v>
      </c>
      <c r="H197" s="17">
        <f t="shared" ref="H197:J197" si="589">roundup((XLOOKUP($D197,$T$3:$T$10,$U$3:$U$10)*XLOOKUP(H$2,$AA$3:$AA$5,$AC$3:$AC$5)-ABS(XLOOKUP($C197,$Q$3:$Q$16,$R$3:$R$16)))*$B197,-5)</f>
        <v>42500000</v>
      </c>
      <c r="I197" s="17">
        <f t="shared" si="589"/>
        <v>113600000</v>
      </c>
      <c r="J197" s="17">
        <f t="shared" si="589"/>
        <v>123300000</v>
      </c>
      <c r="K197" s="17">
        <f t="shared" ref="K197:M197" si="590">roundup((XLOOKUP($D197,$T$3:$T$10,$U$3:$U$10)*XLOOKUP(K$2,$AA$3:$AA$5,$AD$3:$AD$5)-ABS(XLOOKUP($C197,$Q$3:$Q$16,$R$3:$R$16)))*$B197,-5)</f>
        <v>50400000</v>
      </c>
      <c r="L197" s="17">
        <f t="shared" si="590"/>
        <v>128400000</v>
      </c>
      <c r="M197" s="17">
        <f t="shared" si="590"/>
        <v>139100000</v>
      </c>
    </row>
    <row r="198">
      <c r="A198" s="14" t="s">
        <v>238</v>
      </c>
      <c r="B198" s="14">
        <v>187.0</v>
      </c>
      <c r="C198" s="15">
        <f t="shared" si="4"/>
        <v>13</v>
      </c>
      <c r="D198" s="14" t="s">
        <v>36</v>
      </c>
      <c r="E198" s="16">
        <f t="shared" ref="E198:G198" si="591">ROUNDUP((XLOOKUP($D198,$T$3:$T$10,$U$3:$U$10)*XLOOKUP(E$2,$AA$3:$AA$5,$AB$3:$AB$5)-ABS(XLOOKUP($C198,$Q$3:$Q$16,$R$3:$R$16)))*$B198,-5)</f>
        <v>45300000</v>
      </c>
      <c r="F198" s="16">
        <f t="shared" si="591"/>
        <v>80600000</v>
      </c>
      <c r="G198" s="16">
        <f t="shared" si="591"/>
        <v>87800000</v>
      </c>
      <c r="H198" s="17">
        <f t="shared" ref="H198:J198" si="592">roundup((XLOOKUP($D198,$T$3:$T$10,$U$3:$U$10)*XLOOKUP(H$2,$AA$3:$AA$5,$AC$3:$AC$5)-ABS(XLOOKUP($C198,$Q$3:$Q$16,$R$3:$R$16)))*$B198,-5)</f>
        <v>37300000</v>
      </c>
      <c r="I198" s="17">
        <f t="shared" si="592"/>
        <v>99700000</v>
      </c>
      <c r="J198" s="17">
        <f t="shared" si="592"/>
        <v>108300000</v>
      </c>
      <c r="K198" s="17">
        <f t="shared" ref="K198:M198" si="593">roundup((XLOOKUP($D198,$T$3:$T$10,$U$3:$U$10)*XLOOKUP(K$2,$AA$3:$AA$5,$AD$3:$AD$5)-ABS(XLOOKUP($C198,$Q$3:$Q$16,$R$3:$R$16)))*$B198,-5)</f>
        <v>44200000</v>
      </c>
      <c r="L198" s="17">
        <f t="shared" si="593"/>
        <v>112700000</v>
      </c>
      <c r="M198" s="17">
        <f t="shared" si="593"/>
        <v>122100000</v>
      </c>
    </row>
    <row r="199">
      <c r="A199" s="14" t="s">
        <v>239</v>
      </c>
      <c r="B199" s="14">
        <v>157.0</v>
      </c>
      <c r="C199" s="15">
        <f t="shared" si="4"/>
        <v>11</v>
      </c>
      <c r="D199" s="14" t="s">
        <v>36</v>
      </c>
      <c r="E199" s="16">
        <f t="shared" ref="E199:G199" si="594">ROUNDUP((XLOOKUP($D199,$T$3:$T$10,$U$3:$U$10)*XLOOKUP(E$2,$AA$3:$AA$5,$AB$3:$AB$5)-ABS(XLOOKUP($C199,$Q$3:$Q$16,$R$3:$R$16)))*$B199,-5)</f>
        <v>41200000</v>
      </c>
      <c r="F199" s="16">
        <f t="shared" si="594"/>
        <v>70800000</v>
      </c>
      <c r="G199" s="16">
        <f t="shared" si="594"/>
        <v>76900000</v>
      </c>
      <c r="H199" s="17">
        <f t="shared" ref="H199:J199" si="595">roundup((XLOOKUP($D199,$T$3:$T$10,$U$3:$U$10)*XLOOKUP(H$2,$AA$3:$AA$5,$AC$3:$AC$5)-ABS(XLOOKUP($C199,$Q$3:$Q$16,$R$3:$R$16)))*$B199,-5)</f>
        <v>34500000</v>
      </c>
      <c r="I199" s="17">
        <f t="shared" si="595"/>
        <v>86900000</v>
      </c>
      <c r="J199" s="17">
        <f t="shared" si="595"/>
        <v>94000000</v>
      </c>
      <c r="K199" s="17">
        <f t="shared" ref="K199:M199" si="596">roundup((XLOOKUP($D199,$T$3:$T$10,$U$3:$U$10)*XLOOKUP(K$2,$AA$3:$AA$5,$AD$3:$AD$5)-ABS(XLOOKUP($C199,$Q$3:$Q$16,$R$3:$R$16)))*$B199,-5)</f>
        <v>40300000</v>
      </c>
      <c r="L199" s="17">
        <f t="shared" si="596"/>
        <v>97800000</v>
      </c>
      <c r="M199" s="17">
        <f t="shared" si="596"/>
        <v>105700000</v>
      </c>
    </row>
    <row r="200">
      <c r="A200" s="14" t="s">
        <v>240</v>
      </c>
      <c r="B200" s="14">
        <v>167.0</v>
      </c>
      <c r="C200" s="15">
        <f t="shared" si="4"/>
        <v>12</v>
      </c>
      <c r="D200" s="14" t="s">
        <v>33</v>
      </c>
      <c r="E200" s="16">
        <f t="shared" ref="E200:G200" si="597">ROUNDUP((XLOOKUP($D200,$T$3:$T$10,$U$3:$U$10)*XLOOKUP(E$2,$AA$3:$AA$5,$AB$3:$AB$5)-ABS(XLOOKUP($C200,$Q$3:$Q$16,$R$3:$R$16)))*$B200,-5)</f>
        <v>35400000</v>
      </c>
      <c r="F200" s="16">
        <f t="shared" si="597"/>
        <v>63500000</v>
      </c>
      <c r="G200" s="16">
        <f t="shared" si="597"/>
        <v>69300000</v>
      </c>
      <c r="H200" s="17">
        <f t="shared" ref="H200:J200" si="598">roundup((XLOOKUP($D200,$T$3:$T$10,$U$3:$U$10)*XLOOKUP(H$2,$AA$3:$AA$5,$AC$3:$AC$5)-ABS(XLOOKUP($C200,$Q$3:$Q$16,$R$3:$R$16)))*$B200,-5)</f>
        <v>29000000</v>
      </c>
      <c r="I200" s="17">
        <f t="shared" si="598"/>
        <v>78800000</v>
      </c>
      <c r="J200" s="17">
        <f t="shared" si="598"/>
        <v>85500000</v>
      </c>
      <c r="K200" s="17">
        <f t="shared" ref="K200:M200" si="599">roundup((XLOOKUP($D200,$T$3:$T$10,$U$3:$U$10)*XLOOKUP(K$2,$AA$3:$AA$5,$AD$3:$AD$5)-ABS(XLOOKUP($C200,$Q$3:$Q$16,$R$3:$R$16)))*$B200,-5)</f>
        <v>34500000</v>
      </c>
      <c r="L200" s="17">
        <f t="shared" si="599"/>
        <v>89100000</v>
      </c>
      <c r="M200" s="17">
        <f t="shared" si="599"/>
        <v>96600000</v>
      </c>
    </row>
    <row r="201">
      <c r="A201" s="14" t="s">
        <v>241</v>
      </c>
      <c r="B201" s="14">
        <v>176.0</v>
      </c>
      <c r="C201" s="15">
        <f t="shared" si="4"/>
        <v>12</v>
      </c>
      <c r="D201" s="14" t="s">
        <v>36</v>
      </c>
      <c r="E201" s="16">
        <f t="shared" ref="E201:G201" si="600">ROUNDUP((XLOOKUP($D201,$T$3:$T$10,$U$3:$U$10)*XLOOKUP(E$2,$AA$3:$AA$5,$AB$3:$AB$5)-ABS(XLOOKUP($C201,$Q$3:$Q$16,$R$3:$R$16)))*$B201,-5)</f>
        <v>45300000</v>
      </c>
      <c r="F201" s="16">
        <f t="shared" si="600"/>
        <v>78500000</v>
      </c>
      <c r="G201" s="16">
        <f t="shared" si="600"/>
        <v>85300000</v>
      </c>
      <c r="H201" s="17">
        <f t="shared" ref="H201:J201" si="601">roundup((XLOOKUP($D201,$T$3:$T$10,$U$3:$U$10)*XLOOKUP(H$2,$AA$3:$AA$5,$AC$3:$AC$5)-ABS(XLOOKUP($C201,$Q$3:$Q$16,$R$3:$R$16)))*$B201,-5)</f>
        <v>37800000</v>
      </c>
      <c r="I201" s="17">
        <f t="shared" si="601"/>
        <v>96500000</v>
      </c>
      <c r="J201" s="17">
        <f t="shared" si="601"/>
        <v>104500000</v>
      </c>
      <c r="K201" s="17">
        <f t="shared" ref="K201:M201" si="602">roundup((XLOOKUP($D201,$T$3:$T$10,$U$3:$U$10)*XLOOKUP(K$2,$AA$3:$AA$5,$AD$3:$AD$5)-ABS(XLOOKUP($C201,$Q$3:$Q$16,$R$3:$R$16)))*$B201,-5)</f>
        <v>44300000</v>
      </c>
      <c r="L201" s="17">
        <f t="shared" si="602"/>
        <v>108800000</v>
      </c>
      <c r="M201" s="17">
        <f t="shared" si="602"/>
        <v>117600000</v>
      </c>
    </row>
    <row r="202">
      <c r="A202" s="14" t="s">
        <v>242</v>
      </c>
      <c r="B202" s="14">
        <v>131.0</v>
      </c>
      <c r="C202" s="15">
        <f t="shared" si="4"/>
        <v>11</v>
      </c>
      <c r="D202" s="14" t="s">
        <v>36</v>
      </c>
      <c r="E202" s="16">
        <f t="shared" ref="E202:G202" si="603">ROUNDUP((XLOOKUP($D202,$T$3:$T$10,$U$3:$U$10)*XLOOKUP(E$2,$AA$3:$AA$5,$AB$3:$AB$5)-ABS(XLOOKUP($C202,$Q$3:$Q$16,$R$3:$R$16)))*$B202,-5)</f>
        <v>34400000</v>
      </c>
      <c r="F202" s="16">
        <f t="shared" si="603"/>
        <v>59100000</v>
      </c>
      <c r="G202" s="16">
        <f t="shared" si="603"/>
        <v>64200000</v>
      </c>
      <c r="H202" s="17">
        <f t="shared" ref="H202:J202" si="604">roundup((XLOOKUP($D202,$T$3:$T$10,$U$3:$U$10)*XLOOKUP(H$2,$AA$3:$AA$5,$AC$3:$AC$5)-ABS(XLOOKUP($C202,$Q$3:$Q$16,$R$3:$R$16)))*$B202,-5)</f>
        <v>28800000</v>
      </c>
      <c r="I202" s="17">
        <f t="shared" si="604"/>
        <v>72500000</v>
      </c>
      <c r="J202" s="17">
        <f t="shared" si="604"/>
        <v>78500000</v>
      </c>
      <c r="K202" s="17">
        <f t="shared" ref="K202:M202" si="605">roundup((XLOOKUP($D202,$T$3:$T$10,$U$3:$U$10)*XLOOKUP(K$2,$AA$3:$AA$5,$AD$3:$AD$5)-ABS(XLOOKUP($C202,$Q$3:$Q$16,$R$3:$R$16)))*$B202,-5)</f>
        <v>33600000</v>
      </c>
      <c r="L202" s="17">
        <f t="shared" si="605"/>
        <v>81600000</v>
      </c>
      <c r="M202" s="17">
        <f t="shared" si="605"/>
        <v>88200000</v>
      </c>
    </row>
    <row r="203">
      <c r="A203" s="14" t="s">
        <v>243</v>
      </c>
      <c r="B203" s="14">
        <v>185.0</v>
      </c>
      <c r="C203" s="15">
        <f t="shared" si="4"/>
        <v>13</v>
      </c>
      <c r="D203" s="14" t="s">
        <v>36</v>
      </c>
      <c r="E203" s="16">
        <f t="shared" ref="E203:G203" si="606">ROUNDUP((XLOOKUP($D203,$T$3:$T$10,$U$3:$U$10)*XLOOKUP(E$2,$AA$3:$AA$5,$AB$3:$AB$5)-ABS(XLOOKUP($C203,$Q$3:$Q$16,$R$3:$R$16)))*$B203,-5)</f>
        <v>44900000</v>
      </c>
      <c r="F203" s="16">
        <f t="shared" si="606"/>
        <v>79700000</v>
      </c>
      <c r="G203" s="16">
        <f t="shared" si="606"/>
        <v>86900000</v>
      </c>
      <c r="H203" s="17">
        <f t="shared" ref="H203:J203" si="607">roundup((XLOOKUP($D203,$T$3:$T$10,$U$3:$U$10)*XLOOKUP(H$2,$AA$3:$AA$5,$AC$3:$AC$5)-ABS(XLOOKUP($C203,$Q$3:$Q$16,$R$3:$R$16)))*$B203,-5)</f>
        <v>36900000</v>
      </c>
      <c r="I203" s="17">
        <f t="shared" si="607"/>
        <v>98700000</v>
      </c>
      <c r="J203" s="17">
        <f t="shared" si="607"/>
        <v>107100000</v>
      </c>
      <c r="K203" s="17">
        <f t="shared" ref="K203:M203" si="608">roundup((XLOOKUP($D203,$T$3:$T$10,$U$3:$U$10)*XLOOKUP(K$2,$AA$3:$AA$5,$AD$3:$AD$5)-ABS(XLOOKUP($C203,$Q$3:$Q$16,$R$3:$R$16)))*$B203,-5)</f>
        <v>43800000</v>
      </c>
      <c r="L203" s="17">
        <f t="shared" si="608"/>
        <v>111500000</v>
      </c>
      <c r="M203" s="17">
        <f t="shared" si="608"/>
        <v>120800000</v>
      </c>
    </row>
    <row r="204">
      <c r="A204" s="14" t="s">
        <v>244</v>
      </c>
      <c r="B204" s="14">
        <v>203.0</v>
      </c>
      <c r="C204" s="15">
        <f t="shared" si="4"/>
        <v>13</v>
      </c>
      <c r="D204" s="14" t="s">
        <v>36</v>
      </c>
      <c r="E204" s="16">
        <f t="shared" ref="E204:G204" si="609">ROUNDUP((XLOOKUP($D204,$T$3:$T$10,$U$3:$U$10)*XLOOKUP(E$2,$AA$3:$AA$5,$AB$3:$AB$5)-ABS(XLOOKUP($C204,$Q$3:$Q$16,$R$3:$R$16)))*$B204,-5)</f>
        <v>49200000</v>
      </c>
      <c r="F204" s="16">
        <f t="shared" si="609"/>
        <v>87400000</v>
      </c>
      <c r="G204" s="16">
        <f t="shared" si="609"/>
        <v>95400000</v>
      </c>
      <c r="H204" s="17">
        <f t="shared" ref="H204:J204" si="610">roundup((XLOOKUP($D204,$T$3:$T$10,$U$3:$U$10)*XLOOKUP(H$2,$AA$3:$AA$5,$AC$3:$AC$5)-ABS(XLOOKUP($C204,$Q$3:$Q$16,$R$3:$R$16)))*$B204,-5)</f>
        <v>40500000</v>
      </c>
      <c r="I204" s="17">
        <f t="shared" si="610"/>
        <v>108300000</v>
      </c>
      <c r="J204" s="17">
        <f t="shared" si="610"/>
        <v>117500000</v>
      </c>
      <c r="K204" s="17">
        <f t="shared" ref="K204:M204" si="611">roundup((XLOOKUP($D204,$T$3:$T$10,$U$3:$U$10)*XLOOKUP(K$2,$AA$3:$AA$5,$AD$3:$AD$5)-ABS(XLOOKUP($C204,$Q$3:$Q$16,$R$3:$R$16)))*$B204,-5)</f>
        <v>48000000</v>
      </c>
      <c r="L204" s="17">
        <f t="shared" si="611"/>
        <v>122400000</v>
      </c>
      <c r="M204" s="17">
        <f t="shared" si="611"/>
        <v>132500000</v>
      </c>
    </row>
    <row r="205">
      <c r="A205" s="14" t="s">
        <v>245</v>
      </c>
      <c r="B205" s="14">
        <v>177.0</v>
      </c>
      <c r="C205" s="15">
        <f t="shared" si="4"/>
        <v>12</v>
      </c>
      <c r="D205" s="14" t="s">
        <v>36</v>
      </c>
      <c r="E205" s="16">
        <f t="shared" ref="E205:G205" si="612">ROUNDUP((XLOOKUP($D205,$T$3:$T$10,$U$3:$U$10)*XLOOKUP(E$2,$AA$3:$AA$5,$AB$3:$AB$5)-ABS(XLOOKUP($C205,$Q$3:$Q$16,$R$3:$R$16)))*$B205,-5)</f>
        <v>45600000</v>
      </c>
      <c r="F205" s="16">
        <f t="shared" si="612"/>
        <v>78900000</v>
      </c>
      <c r="G205" s="16">
        <f t="shared" si="612"/>
        <v>85800000</v>
      </c>
      <c r="H205" s="17">
        <f t="shared" ref="H205:J205" si="613">roundup((XLOOKUP($D205,$T$3:$T$10,$U$3:$U$10)*XLOOKUP(H$2,$AA$3:$AA$5,$AC$3:$AC$5)-ABS(XLOOKUP($C205,$Q$3:$Q$16,$R$3:$R$16)))*$B205,-5)</f>
        <v>38000000</v>
      </c>
      <c r="I205" s="17">
        <f t="shared" si="613"/>
        <v>97100000</v>
      </c>
      <c r="J205" s="17">
        <f t="shared" si="613"/>
        <v>105100000</v>
      </c>
      <c r="K205" s="17">
        <f t="shared" ref="K205:M205" si="614">roundup((XLOOKUP($D205,$T$3:$T$10,$U$3:$U$10)*XLOOKUP(K$2,$AA$3:$AA$5,$AD$3:$AD$5)-ABS(XLOOKUP($C205,$Q$3:$Q$16,$R$3:$R$16)))*$B205,-5)</f>
        <v>44500000</v>
      </c>
      <c r="L205" s="17">
        <f t="shared" si="614"/>
        <v>109400000</v>
      </c>
      <c r="M205" s="17">
        <f t="shared" si="614"/>
        <v>118200000</v>
      </c>
    </row>
    <row r="206">
      <c r="A206" s="14" t="s">
        <v>246</v>
      </c>
      <c r="B206" s="14">
        <v>159.0</v>
      </c>
      <c r="C206" s="15">
        <f t="shared" si="4"/>
        <v>11</v>
      </c>
      <c r="D206" s="14" t="s">
        <v>36</v>
      </c>
      <c r="E206" s="16">
        <f t="shared" ref="E206:G206" si="615">ROUNDUP((XLOOKUP($D206,$T$3:$T$10,$U$3:$U$10)*XLOOKUP(E$2,$AA$3:$AA$5,$AB$3:$AB$5)-ABS(XLOOKUP($C206,$Q$3:$Q$16,$R$3:$R$16)))*$B206,-5)</f>
        <v>41700000</v>
      </c>
      <c r="F206" s="16">
        <f t="shared" si="615"/>
        <v>71700000</v>
      </c>
      <c r="G206" s="16">
        <f t="shared" si="615"/>
        <v>77900000</v>
      </c>
      <c r="H206" s="17">
        <f t="shared" ref="H206:J206" si="616">roundup((XLOOKUP($D206,$T$3:$T$10,$U$3:$U$10)*XLOOKUP(H$2,$AA$3:$AA$5,$AC$3:$AC$5)-ABS(XLOOKUP($C206,$Q$3:$Q$16,$R$3:$R$16)))*$B206,-5)</f>
        <v>34900000</v>
      </c>
      <c r="I206" s="17">
        <f t="shared" si="616"/>
        <v>88000000</v>
      </c>
      <c r="J206" s="17">
        <f t="shared" si="616"/>
        <v>95200000</v>
      </c>
      <c r="K206" s="17">
        <f t="shared" ref="K206:M206" si="617">roundup((XLOOKUP($D206,$T$3:$T$10,$U$3:$U$10)*XLOOKUP(K$2,$AA$3:$AA$5,$AD$3:$AD$5)-ABS(XLOOKUP($C206,$Q$3:$Q$16,$R$3:$R$16)))*$B206,-5)</f>
        <v>40800000</v>
      </c>
      <c r="L206" s="17">
        <f t="shared" si="617"/>
        <v>99100000</v>
      </c>
      <c r="M206" s="17">
        <f t="shared" si="617"/>
        <v>107000000</v>
      </c>
    </row>
    <row r="207">
      <c r="A207" s="14" t="s">
        <v>247</v>
      </c>
      <c r="B207" s="14">
        <v>155.0</v>
      </c>
      <c r="C207" s="15">
        <f t="shared" si="4"/>
        <v>11</v>
      </c>
      <c r="D207" s="14" t="s">
        <v>36</v>
      </c>
      <c r="E207" s="16">
        <f t="shared" ref="E207:G207" si="618">ROUNDUP((XLOOKUP($D207,$T$3:$T$10,$U$3:$U$10)*XLOOKUP(E$2,$AA$3:$AA$5,$AB$3:$AB$5)-ABS(XLOOKUP($C207,$Q$3:$Q$16,$R$3:$R$16)))*$B207,-5)</f>
        <v>40700000</v>
      </c>
      <c r="F207" s="16">
        <f t="shared" si="618"/>
        <v>69900000</v>
      </c>
      <c r="G207" s="16">
        <f t="shared" si="618"/>
        <v>75900000</v>
      </c>
      <c r="H207" s="17">
        <f t="shared" ref="H207:J207" si="619">roundup((XLOOKUP($D207,$T$3:$T$10,$U$3:$U$10)*XLOOKUP(H$2,$AA$3:$AA$5,$AC$3:$AC$5)-ABS(XLOOKUP($C207,$Q$3:$Q$16,$R$3:$R$16)))*$B207,-5)</f>
        <v>34000000</v>
      </c>
      <c r="I207" s="17">
        <f t="shared" si="619"/>
        <v>85800000</v>
      </c>
      <c r="J207" s="17">
        <f t="shared" si="619"/>
        <v>92800000</v>
      </c>
      <c r="K207" s="17">
        <f t="shared" ref="K207:M207" si="620">roundup((XLOOKUP($D207,$T$3:$T$10,$U$3:$U$10)*XLOOKUP(K$2,$AA$3:$AA$5,$AD$3:$AD$5)-ABS(XLOOKUP($C207,$Q$3:$Q$16,$R$3:$R$16)))*$B207,-5)</f>
        <v>39800000</v>
      </c>
      <c r="L207" s="17">
        <f t="shared" si="620"/>
        <v>96600000</v>
      </c>
      <c r="M207" s="17">
        <f t="shared" si="620"/>
        <v>104300000</v>
      </c>
    </row>
    <row r="208">
      <c r="A208" s="14" t="s">
        <v>248</v>
      </c>
      <c r="B208" s="14">
        <v>130.0</v>
      </c>
      <c r="C208" s="15">
        <f t="shared" si="4"/>
        <v>11</v>
      </c>
      <c r="D208" s="14" t="s">
        <v>36</v>
      </c>
      <c r="E208" s="16">
        <f t="shared" ref="E208:G208" si="621">ROUNDUP((XLOOKUP($D208,$T$3:$T$10,$U$3:$U$10)*XLOOKUP(E$2,$AA$3:$AA$5,$AB$3:$AB$5)-ABS(XLOOKUP($C208,$Q$3:$Q$16,$R$3:$R$16)))*$B208,-5)</f>
        <v>34100000</v>
      </c>
      <c r="F208" s="16">
        <f t="shared" si="621"/>
        <v>58600000</v>
      </c>
      <c r="G208" s="16">
        <f t="shared" si="621"/>
        <v>63700000</v>
      </c>
      <c r="H208" s="17">
        <f t="shared" ref="H208:J208" si="622">roundup((XLOOKUP($D208,$T$3:$T$10,$U$3:$U$10)*XLOOKUP(H$2,$AA$3:$AA$5,$AC$3:$AC$5)-ABS(XLOOKUP($C208,$Q$3:$Q$16,$R$3:$R$16)))*$B208,-5)</f>
        <v>28600000</v>
      </c>
      <c r="I208" s="17">
        <f t="shared" si="622"/>
        <v>72000000</v>
      </c>
      <c r="J208" s="17">
        <f t="shared" si="622"/>
        <v>77900000</v>
      </c>
      <c r="K208" s="17">
        <f t="shared" ref="K208:M208" si="623">roundup((XLOOKUP($D208,$T$3:$T$10,$U$3:$U$10)*XLOOKUP(K$2,$AA$3:$AA$5,$AD$3:$AD$5)-ABS(XLOOKUP($C208,$Q$3:$Q$16,$R$3:$R$16)))*$B208,-5)</f>
        <v>33400000</v>
      </c>
      <c r="L208" s="17">
        <f t="shared" si="623"/>
        <v>81000000</v>
      </c>
      <c r="M208" s="17">
        <f t="shared" si="623"/>
        <v>87500000</v>
      </c>
    </row>
    <row r="209">
      <c r="A209" s="14" t="s">
        <v>249</v>
      </c>
      <c r="B209" s="14">
        <v>338.0</v>
      </c>
      <c r="C209" s="15">
        <f t="shared" si="4"/>
        <v>14</v>
      </c>
      <c r="D209" s="14" t="s">
        <v>33</v>
      </c>
      <c r="E209" s="16">
        <f t="shared" ref="E209:G209" si="624">ROUNDUP((XLOOKUP($D209,$T$3:$T$10,$U$3:$U$10)*XLOOKUP(E$2,$AA$3:$AA$5,$AB$3:$AB$5)-ABS(XLOOKUP($C209,$Q$3:$Q$16,$R$3:$R$16)))*$B209,-5)</f>
        <v>63500000</v>
      </c>
      <c r="F209" s="16">
        <f t="shared" si="624"/>
        <v>120300000</v>
      </c>
      <c r="G209" s="16">
        <f t="shared" si="624"/>
        <v>132000000</v>
      </c>
      <c r="H209" s="17">
        <f t="shared" ref="H209:J209" si="625">roundup((XLOOKUP($D209,$T$3:$T$10,$U$3:$U$10)*XLOOKUP(H$2,$AA$3:$AA$5,$AC$3:$AC$5)-ABS(XLOOKUP($C209,$Q$3:$Q$16,$R$3:$R$16)))*$B209,-5)</f>
        <v>50600000</v>
      </c>
      <c r="I209" s="17">
        <f t="shared" si="625"/>
        <v>151200000</v>
      </c>
      <c r="J209" s="17">
        <f t="shared" si="625"/>
        <v>164900000</v>
      </c>
      <c r="K209" s="17">
        <f t="shared" ref="K209:M209" si="626">roundup((XLOOKUP($D209,$T$3:$T$10,$U$3:$U$10)*XLOOKUP(K$2,$AA$3:$AA$5,$AD$3:$AD$5)-ABS(XLOOKUP($C209,$Q$3:$Q$16,$R$3:$R$16)))*$B209,-5)</f>
        <v>61700000</v>
      </c>
      <c r="L209" s="17">
        <f t="shared" si="626"/>
        <v>172200000</v>
      </c>
      <c r="M209" s="17">
        <f t="shared" si="626"/>
        <v>187300000</v>
      </c>
    </row>
    <row r="210">
      <c r="A210" s="14" t="s">
        <v>250</v>
      </c>
      <c r="B210" s="14">
        <v>144.0</v>
      </c>
      <c r="C210" s="15">
        <f t="shared" si="4"/>
        <v>11</v>
      </c>
      <c r="D210" s="14" t="s">
        <v>36</v>
      </c>
      <c r="E210" s="16">
        <f t="shared" ref="E210:G210" si="627">ROUNDUP((XLOOKUP($D210,$T$3:$T$10,$U$3:$U$10)*XLOOKUP(E$2,$AA$3:$AA$5,$AB$3:$AB$5)-ABS(XLOOKUP($C210,$Q$3:$Q$16,$R$3:$R$16)))*$B210,-5)</f>
        <v>37800000</v>
      </c>
      <c r="F210" s="16">
        <f t="shared" si="627"/>
        <v>64900000</v>
      </c>
      <c r="G210" s="16">
        <f t="shared" si="627"/>
        <v>70500000</v>
      </c>
      <c r="H210" s="17">
        <f t="shared" ref="H210:J210" si="628">roundup((XLOOKUP($D210,$T$3:$T$10,$U$3:$U$10)*XLOOKUP(H$2,$AA$3:$AA$5,$AC$3:$AC$5)-ABS(XLOOKUP($C210,$Q$3:$Q$16,$R$3:$R$16)))*$B210,-5)</f>
        <v>31600000</v>
      </c>
      <c r="I210" s="17">
        <f t="shared" si="628"/>
        <v>79700000</v>
      </c>
      <c r="J210" s="17">
        <f t="shared" si="628"/>
        <v>86300000</v>
      </c>
      <c r="K210" s="17">
        <f t="shared" ref="K210:M210" si="629">roundup((XLOOKUP($D210,$T$3:$T$10,$U$3:$U$10)*XLOOKUP(K$2,$AA$3:$AA$5,$AD$3:$AD$5)-ABS(XLOOKUP($C210,$Q$3:$Q$16,$R$3:$R$16)))*$B210,-5)</f>
        <v>37000000</v>
      </c>
      <c r="L210" s="17">
        <f t="shared" si="629"/>
        <v>89700000</v>
      </c>
      <c r="M210" s="17">
        <f t="shared" si="629"/>
        <v>96900000</v>
      </c>
    </row>
    <row r="211">
      <c r="A211" s="14" t="s">
        <v>251</v>
      </c>
      <c r="B211" s="14">
        <v>159.0</v>
      </c>
      <c r="C211" s="15">
        <f t="shared" si="4"/>
        <v>11</v>
      </c>
      <c r="D211" s="14" t="s">
        <v>36</v>
      </c>
      <c r="E211" s="16">
        <f t="shared" ref="E211:G211" si="630">ROUNDUP((XLOOKUP($D211,$T$3:$T$10,$U$3:$U$10)*XLOOKUP(E$2,$AA$3:$AA$5,$AB$3:$AB$5)-ABS(XLOOKUP($C211,$Q$3:$Q$16,$R$3:$R$16)))*$B211,-5)</f>
        <v>41700000</v>
      </c>
      <c r="F211" s="16">
        <f t="shared" si="630"/>
        <v>71700000</v>
      </c>
      <c r="G211" s="16">
        <f t="shared" si="630"/>
        <v>77900000</v>
      </c>
      <c r="H211" s="17">
        <f t="shared" ref="H211:J211" si="631">roundup((XLOOKUP($D211,$T$3:$T$10,$U$3:$U$10)*XLOOKUP(H$2,$AA$3:$AA$5,$AC$3:$AC$5)-ABS(XLOOKUP($C211,$Q$3:$Q$16,$R$3:$R$16)))*$B211,-5)</f>
        <v>34900000</v>
      </c>
      <c r="I211" s="17">
        <f t="shared" si="631"/>
        <v>88000000</v>
      </c>
      <c r="J211" s="17">
        <f t="shared" si="631"/>
        <v>95200000</v>
      </c>
      <c r="K211" s="17">
        <f t="shared" ref="K211:M211" si="632">roundup((XLOOKUP($D211,$T$3:$T$10,$U$3:$U$10)*XLOOKUP(K$2,$AA$3:$AA$5,$AD$3:$AD$5)-ABS(XLOOKUP($C211,$Q$3:$Q$16,$R$3:$R$16)))*$B211,-5)</f>
        <v>40800000</v>
      </c>
      <c r="L211" s="17">
        <f t="shared" si="632"/>
        <v>99100000</v>
      </c>
      <c r="M211" s="17">
        <f t="shared" si="632"/>
        <v>107000000</v>
      </c>
    </row>
    <row r="212">
      <c r="A212" s="14" t="s">
        <v>252</v>
      </c>
      <c r="B212" s="14">
        <v>195.0</v>
      </c>
      <c r="C212" s="15">
        <f t="shared" si="4"/>
        <v>13</v>
      </c>
      <c r="D212" s="14" t="s">
        <v>33</v>
      </c>
      <c r="E212" s="16">
        <f t="shared" ref="E212:G212" si="633">ROUNDUP((XLOOKUP($D212,$T$3:$T$10,$U$3:$U$10)*XLOOKUP(E$2,$AA$3:$AA$5,$AB$3:$AB$5)-ABS(XLOOKUP($C212,$Q$3:$Q$16,$R$3:$R$16)))*$B212,-5)</f>
        <v>38400000</v>
      </c>
      <c r="F212" s="16">
        <f t="shared" si="633"/>
        <v>71200000</v>
      </c>
      <c r="G212" s="16">
        <f t="shared" si="633"/>
        <v>78000000</v>
      </c>
      <c r="H212" s="17">
        <f t="shared" ref="H212:J212" si="634">roundup((XLOOKUP($D212,$T$3:$T$10,$U$3:$U$10)*XLOOKUP(H$2,$AA$3:$AA$5,$AC$3:$AC$5)-ABS(XLOOKUP($C212,$Q$3:$Q$16,$R$3:$R$16)))*$B212,-5)</f>
        <v>30900000</v>
      </c>
      <c r="I212" s="17">
        <f t="shared" si="634"/>
        <v>89000000</v>
      </c>
      <c r="J212" s="17">
        <f t="shared" si="634"/>
        <v>96900000</v>
      </c>
      <c r="K212" s="17">
        <f t="shared" ref="K212:M212" si="635">roundup((XLOOKUP($D212,$T$3:$T$10,$U$3:$U$10)*XLOOKUP(K$2,$AA$3:$AA$5,$AD$3:$AD$5)-ABS(XLOOKUP($C212,$Q$3:$Q$16,$R$3:$R$16)))*$B212,-5)</f>
        <v>37400000</v>
      </c>
      <c r="L212" s="17">
        <f t="shared" si="635"/>
        <v>101100000</v>
      </c>
      <c r="M212" s="17">
        <f t="shared" si="635"/>
        <v>109800000</v>
      </c>
    </row>
    <row r="213">
      <c r="A213" s="14" t="s">
        <v>253</v>
      </c>
      <c r="B213" s="14">
        <v>103.0</v>
      </c>
      <c r="C213" s="15">
        <f t="shared" si="4"/>
        <v>11</v>
      </c>
      <c r="D213" s="14" t="s">
        <v>36</v>
      </c>
      <c r="E213" s="16">
        <f t="shared" ref="E213:G213" si="636">ROUNDUP((XLOOKUP($D213,$T$3:$T$10,$U$3:$U$10)*XLOOKUP(E$2,$AA$3:$AA$5,$AB$3:$AB$5)-ABS(XLOOKUP($C213,$Q$3:$Q$16,$R$3:$R$16)))*$B213,-5)</f>
        <v>27100000</v>
      </c>
      <c r="F213" s="16">
        <f t="shared" si="636"/>
        <v>46500000</v>
      </c>
      <c r="G213" s="16">
        <f t="shared" si="636"/>
        <v>50500000</v>
      </c>
      <c r="H213" s="17">
        <f t="shared" ref="H213:J213" si="637">roundup((XLOOKUP($D213,$T$3:$T$10,$U$3:$U$10)*XLOOKUP(H$2,$AA$3:$AA$5,$AC$3:$AC$5)-ABS(XLOOKUP($C213,$Q$3:$Q$16,$R$3:$R$16)))*$B213,-5)</f>
        <v>22600000</v>
      </c>
      <c r="I213" s="17">
        <f t="shared" si="637"/>
        <v>57000000</v>
      </c>
      <c r="J213" s="17">
        <f t="shared" si="637"/>
        <v>61700000</v>
      </c>
      <c r="K213" s="17">
        <f t="shared" ref="K213:M213" si="638">roundup((XLOOKUP($D213,$T$3:$T$10,$U$3:$U$10)*XLOOKUP(K$2,$AA$3:$AA$5,$AD$3:$AD$5)-ABS(XLOOKUP($C213,$Q$3:$Q$16,$R$3:$R$16)))*$B213,-5)</f>
        <v>26500000</v>
      </c>
      <c r="L213" s="17">
        <f t="shared" si="638"/>
        <v>64200000</v>
      </c>
      <c r="M213" s="17">
        <f t="shared" si="638"/>
        <v>69300000</v>
      </c>
    </row>
    <row r="214">
      <c r="A214" s="14" t="s">
        <v>254</v>
      </c>
      <c r="B214" s="14">
        <v>168.0</v>
      </c>
      <c r="C214" s="15">
        <f t="shared" si="4"/>
        <v>12</v>
      </c>
      <c r="D214" s="14" t="s">
        <v>33</v>
      </c>
      <c r="E214" s="16">
        <f t="shared" ref="E214:G214" si="639">ROUNDUP((XLOOKUP($D214,$T$3:$T$10,$U$3:$U$10)*XLOOKUP(E$2,$AA$3:$AA$5,$AB$3:$AB$5)-ABS(XLOOKUP($C214,$Q$3:$Q$16,$R$3:$R$16)))*$B214,-5)</f>
        <v>35600000</v>
      </c>
      <c r="F214" s="16">
        <f t="shared" si="639"/>
        <v>63800000</v>
      </c>
      <c r="G214" s="16">
        <f t="shared" si="639"/>
        <v>69700000</v>
      </c>
      <c r="H214" s="17">
        <f t="shared" ref="H214:J214" si="640">roundup((XLOOKUP($D214,$T$3:$T$10,$U$3:$U$10)*XLOOKUP(H$2,$AA$3:$AA$5,$AC$3:$AC$5)-ABS(XLOOKUP($C214,$Q$3:$Q$16,$R$3:$R$16)))*$B214,-5)</f>
        <v>29200000</v>
      </c>
      <c r="I214" s="17">
        <f t="shared" si="640"/>
        <v>79200000</v>
      </c>
      <c r="J214" s="17">
        <f t="shared" si="640"/>
        <v>86000000</v>
      </c>
      <c r="K214" s="17">
        <f t="shared" ref="K214:M214" si="641">roundup((XLOOKUP($D214,$T$3:$T$10,$U$3:$U$10)*XLOOKUP(K$2,$AA$3:$AA$5,$AD$3:$AD$5)-ABS(XLOOKUP($C214,$Q$3:$Q$16,$R$3:$R$16)))*$B214,-5)</f>
        <v>34700000</v>
      </c>
      <c r="L214" s="17">
        <f t="shared" si="641"/>
        <v>89600000</v>
      </c>
      <c r="M214" s="17">
        <f t="shared" si="641"/>
        <v>97100000</v>
      </c>
    </row>
    <row r="215">
      <c r="A215" s="14" t="s">
        <v>255</v>
      </c>
      <c r="B215" s="14">
        <v>180.0</v>
      </c>
      <c r="C215" s="15">
        <f t="shared" si="4"/>
        <v>12</v>
      </c>
      <c r="D215" s="14" t="s">
        <v>36</v>
      </c>
      <c r="E215" s="16">
        <f t="shared" ref="E215:G215" si="642">ROUNDUP((XLOOKUP($D215,$T$3:$T$10,$U$3:$U$10)*XLOOKUP(E$2,$AA$3:$AA$5,$AB$3:$AB$5)-ABS(XLOOKUP($C215,$Q$3:$Q$16,$R$3:$R$16)))*$B215,-5)</f>
        <v>46300000</v>
      </c>
      <c r="F215" s="16">
        <f t="shared" si="642"/>
        <v>80200000</v>
      </c>
      <c r="G215" s="16">
        <f t="shared" si="642"/>
        <v>87300000</v>
      </c>
      <c r="H215" s="17">
        <f t="shared" ref="H215:J215" si="643">roundup((XLOOKUP($D215,$T$3:$T$10,$U$3:$U$10)*XLOOKUP(H$2,$AA$3:$AA$5,$AC$3:$AC$5)-ABS(XLOOKUP($C215,$Q$3:$Q$16,$R$3:$R$16)))*$B215,-5)</f>
        <v>38600000</v>
      </c>
      <c r="I215" s="17">
        <f t="shared" si="643"/>
        <v>98700000</v>
      </c>
      <c r="J215" s="17">
        <f t="shared" si="643"/>
        <v>106900000</v>
      </c>
      <c r="K215" s="17">
        <f t="shared" ref="K215:M215" si="644">roundup((XLOOKUP($D215,$T$3:$T$10,$U$3:$U$10)*XLOOKUP(K$2,$AA$3:$AA$5,$AD$3:$AD$5)-ABS(XLOOKUP($C215,$Q$3:$Q$16,$R$3:$R$16)))*$B215,-5)</f>
        <v>45300000</v>
      </c>
      <c r="L215" s="17">
        <f t="shared" si="644"/>
        <v>111200000</v>
      </c>
      <c r="M215" s="17">
        <f t="shared" si="644"/>
        <v>120200000</v>
      </c>
    </row>
    <row r="216">
      <c r="A216" s="14" t="s">
        <v>256</v>
      </c>
      <c r="B216" s="14">
        <v>134.0</v>
      </c>
      <c r="C216" s="15">
        <f t="shared" si="4"/>
        <v>11</v>
      </c>
      <c r="D216" s="14" t="s">
        <v>33</v>
      </c>
      <c r="E216" s="16">
        <f t="shared" ref="E216:G216" si="645">ROUNDUP((XLOOKUP($D216,$T$3:$T$10,$U$3:$U$10)*XLOOKUP(E$2,$AA$3:$AA$5,$AB$3:$AB$5)-ABS(XLOOKUP($C216,$Q$3:$Q$16,$R$3:$R$16)))*$B216,-5)</f>
        <v>29100000</v>
      </c>
      <c r="F216" s="16">
        <f t="shared" si="645"/>
        <v>51600000</v>
      </c>
      <c r="G216" s="16">
        <f t="shared" si="645"/>
        <v>56300000</v>
      </c>
      <c r="H216" s="17">
        <f t="shared" ref="H216:J216" si="646">roundup((XLOOKUP($D216,$T$3:$T$10,$U$3:$U$10)*XLOOKUP(H$2,$AA$3:$AA$5,$AC$3:$AC$5)-ABS(XLOOKUP($C216,$Q$3:$Q$16,$R$3:$R$16)))*$B216,-5)</f>
        <v>24000000</v>
      </c>
      <c r="I216" s="17">
        <f t="shared" si="646"/>
        <v>63900000</v>
      </c>
      <c r="J216" s="17">
        <f t="shared" si="646"/>
        <v>69300000</v>
      </c>
      <c r="K216" s="17">
        <f t="shared" ref="K216:M216" si="647">roundup((XLOOKUP($D216,$T$3:$T$10,$U$3:$U$10)*XLOOKUP(K$2,$AA$3:$AA$5,$AD$3:$AD$5)-ABS(XLOOKUP($C216,$Q$3:$Q$16,$R$3:$R$16)))*$B216,-5)</f>
        <v>28400000</v>
      </c>
      <c r="L216" s="17">
        <f t="shared" si="647"/>
        <v>72200000</v>
      </c>
      <c r="M216" s="17">
        <f t="shared" si="647"/>
        <v>78200000</v>
      </c>
    </row>
    <row r="217">
      <c r="A217" s="14" t="s">
        <v>257</v>
      </c>
      <c r="B217" s="14">
        <v>103.0</v>
      </c>
      <c r="C217" s="15">
        <f t="shared" si="4"/>
        <v>11</v>
      </c>
      <c r="D217" s="14" t="s">
        <v>36</v>
      </c>
      <c r="E217" s="16">
        <f t="shared" ref="E217:G217" si="648">ROUNDUP((XLOOKUP($D217,$T$3:$T$10,$U$3:$U$10)*XLOOKUP(E$2,$AA$3:$AA$5,$AB$3:$AB$5)-ABS(XLOOKUP($C217,$Q$3:$Q$16,$R$3:$R$16)))*$B217,-5)</f>
        <v>27100000</v>
      </c>
      <c r="F217" s="16">
        <f t="shared" si="648"/>
        <v>46500000</v>
      </c>
      <c r="G217" s="16">
        <f t="shared" si="648"/>
        <v>50500000</v>
      </c>
      <c r="H217" s="17">
        <f t="shared" ref="H217:J217" si="649">roundup((XLOOKUP($D217,$T$3:$T$10,$U$3:$U$10)*XLOOKUP(H$2,$AA$3:$AA$5,$AC$3:$AC$5)-ABS(XLOOKUP($C217,$Q$3:$Q$16,$R$3:$R$16)))*$B217,-5)</f>
        <v>22600000</v>
      </c>
      <c r="I217" s="17">
        <f t="shared" si="649"/>
        <v>57000000</v>
      </c>
      <c r="J217" s="17">
        <f t="shared" si="649"/>
        <v>61700000</v>
      </c>
      <c r="K217" s="17">
        <f t="shared" ref="K217:M217" si="650">roundup((XLOOKUP($D217,$T$3:$T$10,$U$3:$U$10)*XLOOKUP(K$2,$AA$3:$AA$5,$AD$3:$AD$5)-ABS(XLOOKUP($C217,$Q$3:$Q$16,$R$3:$R$16)))*$B217,-5)</f>
        <v>26500000</v>
      </c>
      <c r="L217" s="17">
        <f t="shared" si="650"/>
        <v>64200000</v>
      </c>
      <c r="M217" s="17">
        <f t="shared" si="650"/>
        <v>69300000</v>
      </c>
    </row>
    <row r="218">
      <c r="A218" s="14" t="s">
        <v>258</v>
      </c>
      <c r="B218" s="14">
        <v>164.0</v>
      </c>
      <c r="C218" s="15">
        <f t="shared" si="4"/>
        <v>12</v>
      </c>
      <c r="D218" s="14" t="s">
        <v>36</v>
      </c>
      <c r="E218" s="16">
        <f t="shared" ref="E218:G218" si="651">ROUNDUP((XLOOKUP($D218,$T$3:$T$10,$U$3:$U$10)*XLOOKUP(E$2,$AA$3:$AA$5,$AB$3:$AB$5)-ABS(XLOOKUP($C218,$Q$3:$Q$16,$R$3:$R$16)))*$B218,-5)</f>
        <v>42200000</v>
      </c>
      <c r="F218" s="16">
        <f t="shared" si="651"/>
        <v>73100000</v>
      </c>
      <c r="G218" s="16">
        <f t="shared" si="651"/>
        <v>79500000</v>
      </c>
      <c r="H218" s="17">
        <f t="shared" ref="H218:J218" si="652">roundup((XLOOKUP($D218,$T$3:$T$10,$U$3:$U$10)*XLOOKUP(H$2,$AA$3:$AA$5,$AC$3:$AC$5)-ABS(XLOOKUP($C218,$Q$3:$Q$16,$R$3:$R$16)))*$B218,-5)</f>
        <v>35200000</v>
      </c>
      <c r="I218" s="17">
        <f t="shared" si="652"/>
        <v>89900000</v>
      </c>
      <c r="J218" s="17">
        <f t="shared" si="652"/>
        <v>97400000</v>
      </c>
      <c r="K218" s="17">
        <f t="shared" ref="K218:M218" si="653">roundup((XLOOKUP($D218,$T$3:$T$10,$U$3:$U$10)*XLOOKUP(K$2,$AA$3:$AA$5,$AD$3:$AD$5)-ABS(XLOOKUP($C218,$Q$3:$Q$16,$R$3:$R$16)))*$B218,-5)</f>
        <v>41300000</v>
      </c>
      <c r="L218" s="17">
        <f t="shared" si="653"/>
        <v>101300000</v>
      </c>
      <c r="M218" s="17">
        <f t="shared" si="653"/>
        <v>109500000</v>
      </c>
    </row>
    <row r="219">
      <c r="A219" s="14" t="s">
        <v>259</v>
      </c>
      <c r="B219" s="14">
        <v>174.0</v>
      </c>
      <c r="C219" s="15">
        <f t="shared" si="4"/>
        <v>12</v>
      </c>
      <c r="D219" s="14" t="s">
        <v>36</v>
      </c>
      <c r="E219" s="16">
        <f t="shared" ref="E219:G219" si="654">ROUNDUP((XLOOKUP($D219,$T$3:$T$10,$U$3:$U$10)*XLOOKUP(E$2,$AA$3:$AA$5,$AB$3:$AB$5)-ABS(XLOOKUP($C219,$Q$3:$Q$16,$R$3:$R$16)))*$B219,-5)</f>
        <v>44800000</v>
      </c>
      <c r="F219" s="16">
        <f t="shared" si="654"/>
        <v>77600000</v>
      </c>
      <c r="G219" s="16">
        <f t="shared" si="654"/>
        <v>84400000</v>
      </c>
      <c r="H219" s="17">
        <f t="shared" ref="H219:J219" si="655">roundup((XLOOKUP($D219,$T$3:$T$10,$U$3:$U$10)*XLOOKUP(H$2,$AA$3:$AA$5,$AC$3:$AC$5)-ABS(XLOOKUP($C219,$Q$3:$Q$16,$R$3:$R$16)))*$B219,-5)</f>
        <v>37300000</v>
      </c>
      <c r="I219" s="17">
        <f t="shared" si="655"/>
        <v>95400000</v>
      </c>
      <c r="J219" s="17">
        <f t="shared" si="655"/>
        <v>103300000</v>
      </c>
      <c r="K219" s="17">
        <f t="shared" ref="K219:M219" si="656">roundup((XLOOKUP($D219,$T$3:$T$10,$U$3:$U$10)*XLOOKUP(K$2,$AA$3:$AA$5,$AD$3:$AD$5)-ABS(XLOOKUP($C219,$Q$3:$Q$16,$R$3:$R$16)))*$B219,-5)</f>
        <v>43800000</v>
      </c>
      <c r="L219" s="17">
        <f t="shared" si="656"/>
        <v>107500000</v>
      </c>
      <c r="M219" s="17">
        <f t="shared" si="656"/>
        <v>116200000</v>
      </c>
    </row>
    <row r="220">
      <c r="A220" s="14" t="s">
        <v>260</v>
      </c>
      <c r="B220" s="14">
        <v>209.0</v>
      </c>
      <c r="C220" s="15">
        <f t="shared" si="4"/>
        <v>13</v>
      </c>
      <c r="D220" s="14" t="s">
        <v>36</v>
      </c>
      <c r="E220" s="16">
        <f t="shared" ref="E220:G220" si="657">ROUNDUP((XLOOKUP($D220,$T$3:$T$10,$U$3:$U$10)*XLOOKUP(E$2,$AA$3:$AA$5,$AB$3:$AB$5)-ABS(XLOOKUP($C220,$Q$3:$Q$16,$R$3:$R$16)))*$B220,-5)</f>
        <v>50700000</v>
      </c>
      <c r="F220" s="16">
        <f t="shared" si="657"/>
        <v>90000000</v>
      </c>
      <c r="G220" s="16">
        <f t="shared" si="657"/>
        <v>98200000</v>
      </c>
      <c r="H220" s="17">
        <f t="shared" ref="H220:J220" si="658">roundup((XLOOKUP($D220,$T$3:$T$10,$U$3:$U$10)*XLOOKUP(H$2,$AA$3:$AA$5,$AC$3:$AC$5)-ABS(XLOOKUP($C220,$Q$3:$Q$16,$R$3:$R$16)))*$B220,-5)</f>
        <v>41700000</v>
      </c>
      <c r="I220" s="17">
        <f t="shared" si="658"/>
        <v>111500000</v>
      </c>
      <c r="J220" s="17">
        <f t="shared" si="658"/>
        <v>121000000</v>
      </c>
      <c r="K220" s="17">
        <f t="shared" ref="K220:M220" si="659">roundup((XLOOKUP($D220,$T$3:$T$10,$U$3:$U$10)*XLOOKUP(K$2,$AA$3:$AA$5,$AD$3:$AD$5)-ABS(XLOOKUP($C220,$Q$3:$Q$16,$R$3:$R$16)))*$B220,-5)</f>
        <v>49400000</v>
      </c>
      <c r="L220" s="17">
        <f t="shared" si="659"/>
        <v>126000000</v>
      </c>
      <c r="M220" s="17">
        <f t="shared" si="659"/>
        <v>136500000</v>
      </c>
    </row>
    <row r="221">
      <c r="A221" s="14" t="s">
        <v>261</v>
      </c>
      <c r="B221" s="14">
        <v>171.0</v>
      </c>
      <c r="C221" s="15">
        <f t="shared" si="4"/>
        <v>12</v>
      </c>
      <c r="D221" s="14" t="s">
        <v>36</v>
      </c>
      <c r="E221" s="16">
        <f t="shared" ref="E221:G221" si="660">ROUNDUP((XLOOKUP($D221,$T$3:$T$10,$U$3:$U$10)*XLOOKUP(E$2,$AA$3:$AA$5,$AB$3:$AB$5)-ABS(XLOOKUP($C221,$Q$3:$Q$16,$R$3:$R$16)))*$B221,-5)</f>
        <v>44000000</v>
      </c>
      <c r="F221" s="16">
        <f t="shared" si="660"/>
        <v>76200000</v>
      </c>
      <c r="G221" s="16">
        <f t="shared" si="660"/>
        <v>82900000</v>
      </c>
      <c r="H221" s="17">
        <f t="shared" ref="H221:J221" si="661">roundup((XLOOKUP($D221,$T$3:$T$10,$U$3:$U$10)*XLOOKUP(H$2,$AA$3:$AA$5,$AC$3:$AC$5)-ABS(XLOOKUP($C221,$Q$3:$Q$16,$R$3:$R$16)))*$B221,-5)</f>
        <v>36700000</v>
      </c>
      <c r="I221" s="17">
        <f t="shared" si="661"/>
        <v>93800000</v>
      </c>
      <c r="J221" s="17">
        <f t="shared" si="661"/>
        <v>101600000</v>
      </c>
      <c r="K221" s="17">
        <f t="shared" ref="K221:M221" si="662">roundup((XLOOKUP($D221,$T$3:$T$10,$U$3:$U$10)*XLOOKUP(K$2,$AA$3:$AA$5,$AD$3:$AD$5)-ABS(XLOOKUP($C221,$Q$3:$Q$16,$R$3:$R$16)))*$B221,-5)</f>
        <v>43000000</v>
      </c>
      <c r="L221" s="17">
        <f t="shared" si="662"/>
        <v>105700000</v>
      </c>
      <c r="M221" s="17">
        <f t="shared" si="662"/>
        <v>114200000</v>
      </c>
    </row>
    <row r="222">
      <c r="A222" s="14" t="s">
        <v>262</v>
      </c>
      <c r="B222" s="14">
        <v>126.0</v>
      </c>
      <c r="C222" s="15">
        <f t="shared" si="4"/>
        <v>11</v>
      </c>
      <c r="D222" s="14" t="s">
        <v>36</v>
      </c>
      <c r="E222" s="16">
        <f t="shared" ref="E222:G222" si="663">ROUNDUP((XLOOKUP($D222,$T$3:$T$10,$U$3:$U$10)*XLOOKUP(E$2,$AA$3:$AA$5,$AB$3:$AB$5)-ABS(XLOOKUP($C222,$Q$3:$Q$16,$R$3:$R$16)))*$B222,-5)</f>
        <v>33100000</v>
      </c>
      <c r="F222" s="16">
        <f t="shared" si="663"/>
        <v>56800000</v>
      </c>
      <c r="G222" s="16">
        <f t="shared" si="663"/>
        <v>61700000</v>
      </c>
      <c r="H222" s="17">
        <f t="shared" ref="H222:J222" si="664">roundup((XLOOKUP($D222,$T$3:$T$10,$U$3:$U$10)*XLOOKUP(H$2,$AA$3:$AA$5,$AC$3:$AC$5)-ABS(XLOOKUP($C222,$Q$3:$Q$16,$R$3:$R$16)))*$B222,-5)</f>
        <v>27700000</v>
      </c>
      <c r="I222" s="17">
        <f t="shared" si="664"/>
        <v>69700000</v>
      </c>
      <c r="J222" s="17">
        <f t="shared" si="664"/>
        <v>75500000</v>
      </c>
      <c r="K222" s="17">
        <f t="shared" ref="K222:M222" si="665">roundup((XLOOKUP($D222,$T$3:$T$10,$U$3:$U$10)*XLOOKUP(K$2,$AA$3:$AA$5,$AD$3:$AD$5)-ABS(XLOOKUP($C222,$Q$3:$Q$16,$R$3:$R$16)))*$B222,-5)</f>
        <v>32300000</v>
      </c>
      <c r="L222" s="17">
        <f t="shared" si="665"/>
        <v>78500000</v>
      </c>
      <c r="M222" s="17">
        <f t="shared" si="665"/>
        <v>84800000</v>
      </c>
    </row>
    <row r="223">
      <c r="A223" s="14" t="s">
        <v>263</v>
      </c>
      <c r="B223" s="14">
        <v>411.0</v>
      </c>
      <c r="C223" s="15">
        <f t="shared" si="4"/>
        <v>14</v>
      </c>
      <c r="D223" s="14" t="s">
        <v>36</v>
      </c>
      <c r="E223" s="16">
        <f t="shared" ref="E223:G223" si="666">ROUNDUP((XLOOKUP($D223,$T$3:$T$10,$U$3:$U$10)*XLOOKUP(E$2,$AA$3:$AA$5,$AB$3:$AB$5)-ABS(XLOOKUP($C223,$Q$3:$Q$16,$R$3:$R$16)))*$B223,-5)</f>
        <v>95900000</v>
      </c>
      <c r="F223" s="16">
        <f t="shared" si="666"/>
        <v>173300000</v>
      </c>
      <c r="G223" s="16">
        <f t="shared" si="666"/>
        <v>189300000</v>
      </c>
      <c r="H223" s="17">
        <f t="shared" ref="H223:J223" si="667">roundup((XLOOKUP($D223,$T$3:$T$10,$U$3:$U$10)*XLOOKUP(H$2,$AA$3:$AA$5,$AC$3:$AC$5)-ABS(XLOOKUP($C223,$Q$3:$Q$16,$R$3:$R$16)))*$B223,-5)</f>
        <v>78300000</v>
      </c>
      <c r="I223" s="17">
        <f t="shared" si="667"/>
        <v>215500000</v>
      </c>
      <c r="J223" s="17">
        <f t="shared" si="667"/>
        <v>234200000</v>
      </c>
      <c r="K223" s="17">
        <f t="shared" ref="K223:M223" si="668">roundup((XLOOKUP($D223,$T$3:$T$10,$U$3:$U$10)*XLOOKUP(K$2,$AA$3:$AA$5,$AD$3:$AD$5)-ABS(XLOOKUP($C223,$Q$3:$Q$16,$R$3:$R$16)))*$B223,-5)</f>
        <v>93500000</v>
      </c>
      <c r="L223" s="17">
        <f t="shared" si="668"/>
        <v>244000000</v>
      </c>
      <c r="M223" s="17">
        <f t="shared" si="668"/>
        <v>264600000</v>
      </c>
    </row>
    <row r="224">
      <c r="A224" s="14" t="s">
        <v>264</v>
      </c>
      <c r="B224" s="14">
        <v>205.0</v>
      </c>
      <c r="C224" s="15">
        <f t="shared" si="4"/>
        <v>13</v>
      </c>
      <c r="D224" s="14" t="s">
        <v>36</v>
      </c>
      <c r="E224" s="16">
        <f t="shared" ref="E224:G224" si="669">ROUNDUP((XLOOKUP($D224,$T$3:$T$10,$U$3:$U$10)*XLOOKUP(E$2,$AA$3:$AA$5,$AB$3:$AB$5)-ABS(XLOOKUP($C224,$Q$3:$Q$16,$R$3:$R$16)))*$B224,-5)</f>
        <v>49700000</v>
      </c>
      <c r="F224" s="16">
        <f t="shared" si="669"/>
        <v>88300000</v>
      </c>
      <c r="G224" s="16">
        <f t="shared" si="669"/>
        <v>96300000</v>
      </c>
      <c r="H224" s="17">
        <f t="shared" ref="H224:J224" si="670">roundup((XLOOKUP($D224,$T$3:$T$10,$U$3:$U$10)*XLOOKUP(H$2,$AA$3:$AA$5,$AC$3:$AC$5)-ABS(XLOOKUP($C224,$Q$3:$Q$16,$R$3:$R$16)))*$B224,-5)</f>
        <v>40900000</v>
      </c>
      <c r="I224" s="17">
        <f t="shared" si="670"/>
        <v>109300000</v>
      </c>
      <c r="J224" s="17">
        <f t="shared" si="670"/>
        <v>118700000</v>
      </c>
      <c r="K224" s="17">
        <f t="shared" ref="K224:M224" si="671">roundup((XLOOKUP($D224,$T$3:$T$10,$U$3:$U$10)*XLOOKUP(K$2,$AA$3:$AA$5,$AD$3:$AD$5)-ABS(XLOOKUP($C224,$Q$3:$Q$16,$R$3:$R$16)))*$B224,-5)</f>
        <v>48500000</v>
      </c>
      <c r="L224" s="17">
        <f t="shared" si="671"/>
        <v>123600000</v>
      </c>
      <c r="M224" s="17">
        <f t="shared" si="671"/>
        <v>133800000</v>
      </c>
    </row>
    <row r="225">
      <c r="A225" s="14" t="s">
        <v>265</v>
      </c>
      <c r="B225" s="14">
        <v>197.0</v>
      </c>
      <c r="C225" s="15">
        <f t="shared" si="4"/>
        <v>13</v>
      </c>
      <c r="D225" s="14" t="s">
        <v>36</v>
      </c>
      <c r="E225" s="16">
        <f t="shared" ref="E225:G225" si="672">ROUNDUP((XLOOKUP($D225,$T$3:$T$10,$U$3:$U$10)*XLOOKUP(E$2,$AA$3:$AA$5,$AB$3:$AB$5)-ABS(XLOOKUP($C225,$Q$3:$Q$16,$R$3:$R$16)))*$B225,-5)</f>
        <v>47800000</v>
      </c>
      <c r="F225" s="16">
        <f t="shared" si="672"/>
        <v>84900000</v>
      </c>
      <c r="G225" s="16">
        <f t="shared" si="672"/>
        <v>92500000</v>
      </c>
      <c r="H225" s="17">
        <f t="shared" ref="H225:J225" si="673">roundup((XLOOKUP($D225,$T$3:$T$10,$U$3:$U$10)*XLOOKUP(H$2,$AA$3:$AA$5,$AC$3:$AC$5)-ABS(XLOOKUP($C225,$Q$3:$Q$16,$R$3:$R$16)))*$B225,-5)</f>
        <v>39300000</v>
      </c>
      <c r="I225" s="17">
        <f t="shared" si="673"/>
        <v>105100000</v>
      </c>
      <c r="J225" s="17">
        <f t="shared" si="673"/>
        <v>114000000</v>
      </c>
      <c r="K225" s="17">
        <f t="shared" ref="K225:M225" si="674">roundup((XLOOKUP($D225,$T$3:$T$10,$U$3:$U$10)*XLOOKUP(K$2,$AA$3:$AA$5,$AD$3:$AD$5)-ABS(XLOOKUP($C225,$Q$3:$Q$16,$R$3:$R$16)))*$B225,-5)</f>
        <v>46600000</v>
      </c>
      <c r="L225" s="17">
        <f t="shared" si="674"/>
        <v>118800000</v>
      </c>
      <c r="M225" s="17">
        <f t="shared" si="674"/>
        <v>128600000</v>
      </c>
    </row>
    <row r="226">
      <c r="A226" s="14" t="s">
        <v>266</v>
      </c>
      <c r="B226" s="14">
        <v>203.0</v>
      </c>
      <c r="C226" s="15">
        <f t="shared" si="4"/>
        <v>13</v>
      </c>
      <c r="D226" s="14" t="s">
        <v>36</v>
      </c>
      <c r="E226" s="16">
        <f t="shared" ref="E226:G226" si="675">ROUNDUP((XLOOKUP($D226,$T$3:$T$10,$U$3:$U$10)*XLOOKUP(E$2,$AA$3:$AA$5,$AB$3:$AB$5)-ABS(XLOOKUP($C226,$Q$3:$Q$16,$R$3:$R$16)))*$B226,-5)</f>
        <v>49200000</v>
      </c>
      <c r="F226" s="16">
        <f t="shared" si="675"/>
        <v>87400000</v>
      </c>
      <c r="G226" s="16">
        <f t="shared" si="675"/>
        <v>95400000</v>
      </c>
      <c r="H226" s="17">
        <f t="shared" ref="H226:J226" si="676">roundup((XLOOKUP($D226,$T$3:$T$10,$U$3:$U$10)*XLOOKUP(H$2,$AA$3:$AA$5,$AC$3:$AC$5)-ABS(XLOOKUP($C226,$Q$3:$Q$16,$R$3:$R$16)))*$B226,-5)</f>
        <v>40500000</v>
      </c>
      <c r="I226" s="17">
        <f t="shared" si="676"/>
        <v>108300000</v>
      </c>
      <c r="J226" s="17">
        <f t="shared" si="676"/>
        <v>117500000</v>
      </c>
      <c r="K226" s="17">
        <f t="shared" ref="K226:M226" si="677">roundup((XLOOKUP($D226,$T$3:$T$10,$U$3:$U$10)*XLOOKUP(K$2,$AA$3:$AA$5,$AD$3:$AD$5)-ABS(XLOOKUP($C226,$Q$3:$Q$16,$R$3:$R$16)))*$B226,-5)</f>
        <v>48000000</v>
      </c>
      <c r="L226" s="17">
        <f t="shared" si="677"/>
        <v>122400000</v>
      </c>
      <c r="M226" s="17">
        <f t="shared" si="677"/>
        <v>132500000</v>
      </c>
    </row>
    <row r="227">
      <c r="A227" s="14" t="s">
        <v>267</v>
      </c>
      <c r="B227" s="14">
        <v>182.0</v>
      </c>
      <c r="C227" s="15">
        <f t="shared" si="4"/>
        <v>13</v>
      </c>
      <c r="D227" s="14" t="s">
        <v>36</v>
      </c>
      <c r="E227" s="16">
        <f t="shared" ref="E227:G227" si="678">ROUNDUP((XLOOKUP($D227,$T$3:$T$10,$U$3:$U$10)*XLOOKUP(E$2,$AA$3:$AA$5,$AB$3:$AB$5)-ABS(XLOOKUP($C227,$Q$3:$Q$16,$R$3:$R$16)))*$B227,-5)</f>
        <v>44100000</v>
      </c>
      <c r="F227" s="16">
        <f t="shared" si="678"/>
        <v>78400000</v>
      </c>
      <c r="G227" s="16">
        <f t="shared" si="678"/>
        <v>85500000</v>
      </c>
      <c r="H227" s="17">
        <f t="shared" ref="H227:J227" si="679">roundup((XLOOKUP($D227,$T$3:$T$10,$U$3:$U$10)*XLOOKUP(H$2,$AA$3:$AA$5,$AC$3:$AC$5)-ABS(XLOOKUP($C227,$Q$3:$Q$16,$R$3:$R$16)))*$B227,-5)</f>
        <v>36300000</v>
      </c>
      <c r="I227" s="17">
        <f t="shared" si="679"/>
        <v>97100000</v>
      </c>
      <c r="J227" s="17">
        <f t="shared" si="679"/>
        <v>105400000</v>
      </c>
      <c r="K227" s="17">
        <f t="shared" ref="K227:M227" si="680">roundup((XLOOKUP($D227,$T$3:$T$10,$U$3:$U$10)*XLOOKUP(K$2,$AA$3:$AA$5,$AD$3:$AD$5)-ABS(XLOOKUP($C227,$Q$3:$Q$16,$R$3:$R$16)))*$B227,-5)</f>
        <v>43100000</v>
      </c>
      <c r="L227" s="17">
        <f t="shared" si="680"/>
        <v>109700000</v>
      </c>
      <c r="M227" s="17">
        <f t="shared" si="680"/>
        <v>118800000</v>
      </c>
    </row>
    <row r="228">
      <c r="A228" s="14" t="s">
        <v>268</v>
      </c>
      <c r="B228" s="14">
        <v>129.0</v>
      </c>
      <c r="C228" s="15">
        <f t="shared" si="4"/>
        <v>11</v>
      </c>
      <c r="D228" s="14" t="s">
        <v>36</v>
      </c>
      <c r="E228" s="16">
        <f t="shared" ref="E228:G228" si="681">ROUNDUP((XLOOKUP($D228,$T$3:$T$10,$U$3:$U$10)*XLOOKUP(E$2,$AA$3:$AA$5,$AB$3:$AB$5)-ABS(XLOOKUP($C228,$Q$3:$Q$16,$R$3:$R$16)))*$B228,-5)</f>
        <v>33900000</v>
      </c>
      <c r="F228" s="16">
        <f t="shared" si="681"/>
        <v>58200000</v>
      </c>
      <c r="G228" s="16">
        <f t="shared" si="681"/>
        <v>63200000</v>
      </c>
      <c r="H228" s="17">
        <f t="shared" ref="H228:J228" si="682">roundup((XLOOKUP($D228,$T$3:$T$10,$U$3:$U$10)*XLOOKUP(H$2,$AA$3:$AA$5,$AC$3:$AC$5)-ABS(XLOOKUP($C228,$Q$3:$Q$16,$R$3:$R$16)))*$B228,-5)</f>
        <v>28300000</v>
      </c>
      <c r="I228" s="17">
        <f t="shared" si="682"/>
        <v>71400000</v>
      </c>
      <c r="J228" s="17">
        <f t="shared" si="682"/>
        <v>77300000</v>
      </c>
      <c r="K228" s="17">
        <f t="shared" ref="K228:M228" si="683">roundup((XLOOKUP($D228,$T$3:$T$10,$U$3:$U$10)*XLOOKUP(K$2,$AA$3:$AA$5,$AD$3:$AD$5)-ABS(XLOOKUP($C228,$Q$3:$Q$16,$R$3:$R$16)))*$B228,-5)</f>
        <v>33100000</v>
      </c>
      <c r="L228" s="17">
        <f t="shared" si="683"/>
        <v>80400000</v>
      </c>
      <c r="M228" s="17">
        <f t="shared" si="683"/>
        <v>86800000</v>
      </c>
    </row>
    <row r="229">
      <c r="A229" s="14" t="s">
        <v>269</v>
      </c>
      <c r="B229" s="14">
        <v>174.0</v>
      </c>
      <c r="C229" s="15">
        <f t="shared" si="4"/>
        <v>12</v>
      </c>
      <c r="D229" s="14" t="s">
        <v>36</v>
      </c>
      <c r="E229" s="16">
        <f t="shared" ref="E229:G229" si="684">ROUNDUP((XLOOKUP($D229,$T$3:$T$10,$U$3:$U$10)*XLOOKUP(E$2,$AA$3:$AA$5,$AB$3:$AB$5)-ABS(XLOOKUP($C229,$Q$3:$Q$16,$R$3:$R$16)))*$B229,-5)</f>
        <v>44800000</v>
      </c>
      <c r="F229" s="16">
        <f t="shared" si="684"/>
        <v>77600000</v>
      </c>
      <c r="G229" s="16">
        <f t="shared" si="684"/>
        <v>84400000</v>
      </c>
      <c r="H229" s="17">
        <f t="shared" ref="H229:J229" si="685">roundup((XLOOKUP($D229,$T$3:$T$10,$U$3:$U$10)*XLOOKUP(H$2,$AA$3:$AA$5,$AC$3:$AC$5)-ABS(XLOOKUP($C229,$Q$3:$Q$16,$R$3:$R$16)))*$B229,-5)</f>
        <v>37300000</v>
      </c>
      <c r="I229" s="17">
        <f t="shared" si="685"/>
        <v>95400000</v>
      </c>
      <c r="J229" s="17">
        <f t="shared" si="685"/>
        <v>103300000</v>
      </c>
      <c r="K229" s="17">
        <f t="shared" ref="K229:M229" si="686">roundup((XLOOKUP($D229,$T$3:$T$10,$U$3:$U$10)*XLOOKUP(K$2,$AA$3:$AA$5,$AD$3:$AD$5)-ABS(XLOOKUP($C229,$Q$3:$Q$16,$R$3:$R$16)))*$B229,-5)</f>
        <v>43800000</v>
      </c>
      <c r="L229" s="17">
        <f t="shared" si="686"/>
        <v>107500000</v>
      </c>
      <c r="M229" s="17">
        <f t="shared" si="686"/>
        <v>116200000</v>
      </c>
    </row>
    <row r="230">
      <c r="A230" s="14" t="s">
        <v>270</v>
      </c>
      <c r="B230" s="14">
        <v>154.0</v>
      </c>
      <c r="C230" s="15">
        <f t="shared" si="4"/>
        <v>11</v>
      </c>
      <c r="D230" s="14" t="s">
        <v>36</v>
      </c>
      <c r="E230" s="16">
        <f t="shared" ref="E230:G230" si="687">ROUNDUP((XLOOKUP($D230,$T$3:$T$10,$U$3:$U$10)*XLOOKUP(E$2,$AA$3:$AA$5,$AB$3:$AB$5)-ABS(XLOOKUP($C230,$Q$3:$Q$16,$R$3:$R$16)))*$B230,-5)</f>
        <v>40400000</v>
      </c>
      <c r="F230" s="16">
        <f t="shared" si="687"/>
        <v>69400000</v>
      </c>
      <c r="G230" s="16">
        <f t="shared" si="687"/>
        <v>75400000</v>
      </c>
      <c r="H230" s="17">
        <f t="shared" ref="H230:J230" si="688">roundup((XLOOKUP($D230,$T$3:$T$10,$U$3:$U$10)*XLOOKUP(H$2,$AA$3:$AA$5,$AC$3:$AC$5)-ABS(XLOOKUP($C230,$Q$3:$Q$16,$R$3:$R$16)))*$B230,-5)</f>
        <v>33800000</v>
      </c>
      <c r="I230" s="17">
        <f t="shared" si="688"/>
        <v>85200000</v>
      </c>
      <c r="J230" s="17">
        <f t="shared" si="688"/>
        <v>92200000</v>
      </c>
      <c r="K230" s="17">
        <f t="shared" ref="K230:M230" si="689">roundup((XLOOKUP($D230,$T$3:$T$10,$U$3:$U$10)*XLOOKUP(K$2,$AA$3:$AA$5,$AD$3:$AD$5)-ABS(XLOOKUP($C230,$Q$3:$Q$16,$R$3:$R$16)))*$B230,-5)</f>
        <v>39500000</v>
      </c>
      <c r="L230" s="17">
        <f t="shared" si="689"/>
        <v>95900000</v>
      </c>
      <c r="M230" s="17">
        <f t="shared" si="689"/>
        <v>103600000</v>
      </c>
    </row>
    <row r="231">
      <c r="A231" s="14" t="s">
        <v>271</v>
      </c>
      <c r="B231" s="14">
        <v>189.0</v>
      </c>
      <c r="C231" s="15">
        <f t="shared" si="4"/>
        <v>13</v>
      </c>
      <c r="D231" s="14" t="s">
        <v>33</v>
      </c>
      <c r="E231" s="16">
        <f t="shared" ref="E231:G231" si="690">ROUNDUP((XLOOKUP($D231,$T$3:$T$10,$U$3:$U$10)*XLOOKUP(E$2,$AA$3:$AA$5,$AB$3:$AB$5)-ABS(XLOOKUP($C231,$Q$3:$Q$16,$R$3:$R$16)))*$B231,-5)</f>
        <v>37200000</v>
      </c>
      <c r="F231" s="16">
        <f t="shared" si="690"/>
        <v>69000000</v>
      </c>
      <c r="G231" s="16">
        <f t="shared" si="690"/>
        <v>75600000</v>
      </c>
      <c r="H231" s="17">
        <f t="shared" ref="H231:J231" si="691">roundup((XLOOKUP($D231,$T$3:$T$10,$U$3:$U$10)*XLOOKUP(H$2,$AA$3:$AA$5,$AC$3:$AC$5)-ABS(XLOOKUP($C231,$Q$3:$Q$16,$R$3:$R$16)))*$B231,-5)</f>
        <v>30000000</v>
      </c>
      <c r="I231" s="17">
        <f t="shared" si="691"/>
        <v>86300000</v>
      </c>
      <c r="J231" s="17">
        <f t="shared" si="691"/>
        <v>94000000</v>
      </c>
      <c r="K231" s="17">
        <f t="shared" ref="K231:M231" si="692">roundup((XLOOKUP($D231,$T$3:$T$10,$U$3:$U$10)*XLOOKUP(K$2,$AA$3:$AA$5,$AD$3:$AD$5)-ABS(XLOOKUP($C231,$Q$3:$Q$16,$R$3:$R$16)))*$B231,-5)</f>
        <v>36200000</v>
      </c>
      <c r="L231" s="17">
        <f t="shared" si="692"/>
        <v>98000000</v>
      </c>
      <c r="M231" s="17">
        <f t="shared" si="692"/>
        <v>106400000</v>
      </c>
    </row>
    <row r="232">
      <c r="A232" s="14" t="s">
        <v>272</v>
      </c>
      <c r="B232" s="14">
        <v>128.0</v>
      </c>
      <c r="C232" s="15">
        <f t="shared" si="4"/>
        <v>11</v>
      </c>
      <c r="D232" s="14" t="s">
        <v>33</v>
      </c>
      <c r="E232" s="16">
        <f t="shared" ref="E232:G232" si="693">ROUNDUP((XLOOKUP($D232,$T$3:$T$10,$U$3:$U$10)*XLOOKUP(E$2,$AA$3:$AA$5,$AB$3:$AB$5)-ABS(XLOOKUP($C232,$Q$3:$Q$16,$R$3:$R$16)))*$B232,-5)</f>
        <v>27800000</v>
      </c>
      <c r="F232" s="16">
        <f t="shared" si="693"/>
        <v>49300000</v>
      </c>
      <c r="G232" s="16">
        <f t="shared" si="693"/>
        <v>53700000</v>
      </c>
      <c r="H232" s="17">
        <f t="shared" ref="H232:J232" si="694">roundup((XLOOKUP($D232,$T$3:$T$10,$U$3:$U$10)*XLOOKUP(H$2,$AA$3:$AA$5,$AC$3:$AC$5)-ABS(XLOOKUP($C232,$Q$3:$Q$16,$R$3:$R$16)))*$B232,-5)</f>
        <v>22900000</v>
      </c>
      <c r="I232" s="17">
        <f t="shared" si="694"/>
        <v>61000000</v>
      </c>
      <c r="J232" s="17">
        <f t="shared" si="694"/>
        <v>66200000</v>
      </c>
      <c r="K232" s="17">
        <f t="shared" ref="K232:M232" si="695">roundup((XLOOKUP($D232,$T$3:$T$10,$U$3:$U$10)*XLOOKUP(K$2,$AA$3:$AA$5,$AD$3:$AD$5)-ABS(XLOOKUP($C232,$Q$3:$Q$16,$R$3:$R$16)))*$B232,-5)</f>
        <v>27100000</v>
      </c>
      <c r="L232" s="17">
        <f t="shared" si="695"/>
        <v>69000000</v>
      </c>
      <c r="M232" s="17">
        <f t="shared" si="695"/>
        <v>74700000</v>
      </c>
    </row>
    <row r="233">
      <c r="A233" s="14" t="s">
        <v>273</v>
      </c>
      <c r="B233" s="14">
        <v>159.0</v>
      </c>
      <c r="C233" s="15">
        <f t="shared" si="4"/>
        <v>11</v>
      </c>
      <c r="D233" s="14" t="s">
        <v>36</v>
      </c>
      <c r="E233" s="16">
        <f t="shared" ref="E233:G233" si="696">ROUNDUP((XLOOKUP($D233,$T$3:$T$10,$U$3:$U$10)*XLOOKUP(E$2,$AA$3:$AA$5,$AB$3:$AB$5)-ABS(XLOOKUP($C233,$Q$3:$Q$16,$R$3:$R$16)))*$B233,-5)</f>
        <v>41700000</v>
      </c>
      <c r="F233" s="16">
        <f t="shared" si="696"/>
        <v>71700000</v>
      </c>
      <c r="G233" s="16">
        <f t="shared" si="696"/>
        <v>77900000</v>
      </c>
      <c r="H233" s="17">
        <f t="shared" ref="H233:J233" si="697">roundup((XLOOKUP($D233,$T$3:$T$10,$U$3:$U$10)*XLOOKUP(H$2,$AA$3:$AA$5,$AC$3:$AC$5)-ABS(XLOOKUP($C233,$Q$3:$Q$16,$R$3:$R$16)))*$B233,-5)</f>
        <v>34900000</v>
      </c>
      <c r="I233" s="17">
        <f t="shared" si="697"/>
        <v>88000000</v>
      </c>
      <c r="J233" s="17">
        <f t="shared" si="697"/>
        <v>95200000</v>
      </c>
      <c r="K233" s="17">
        <f t="shared" ref="K233:M233" si="698">roundup((XLOOKUP($D233,$T$3:$T$10,$U$3:$U$10)*XLOOKUP(K$2,$AA$3:$AA$5,$AD$3:$AD$5)-ABS(XLOOKUP($C233,$Q$3:$Q$16,$R$3:$R$16)))*$B233,-5)</f>
        <v>40800000</v>
      </c>
      <c r="L233" s="17">
        <f t="shared" si="698"/>
        <v>99100000</v>
      </c>
      <c r="M233" s="17">
        <f t="shared" si="698"/>
        <v>107000000</v>
      </c>
    </row>
    <row r="234">
      <c r="A234" s="14" t="s">
        <v>274</v>
      </c>
      <c r="B234" s="14">
        <v>182.0</v>
      </c>
      <c r="C234" s="15">
        <f t="shared" si="4"/>
        <v>13</v>
      </c>
      <c r="D234" s="14" t="s">
        <v>33</v>
      </c>
      <c r="E234" s="16">
        <f t="shared" ref="E234:G234" si="699">ROUNDUP((XLOOKUP($D234,$T$3:$T$10,$U$3:$U$10)*XLOOKUP(E$2,$AA$3:$AA$5,$AB$3:$AB$5)-ABS(XLOOKUP($C234,$Q$3:$Q$16,$R$3:$R$16)))*$B234,-5)</f>
        <v>35800000</v>
      </c>
      <c r="F234" s="16">
        <f t="shared" si="699"/>
        <v>66400000</v>
      </c>
      <c r="G234" s="16">
        <f t="shared" si="699"/>
        <v>72800000</v>
      </c>
      <c r="H234" s="17">
        <f t="shared" ref="H234:J234" si="700">roundup((XLOOKUP($D234,$T$3:$T$10,$U$3:$U$10)*XLOOKUP(H$2,$AA$3:$AA$5,$AC$3:$AC$5)-ABS(XLOOKUP($C234,$Q$3:$Q$16,$R$3:$R$16)))*$B234,-5)</f>
        <v>28900000</v>
      </c>
      <c r="I234" s="17">
        <f t="shared" si="700"/>
        <v>83100000</v>
      </c>
      <c r="J234" s="17">
        <f t="shared" si="700"/>
        <v>90500000</v>
      </c>
      <c r="K234" s="17">
        <f t="shared" ref="K234:M234" si="701">roundup((XLOOKUP($D234,$T$3:$T$10,$U$3:$U$10)*XLOOKUP(K$2,$AA$3:$AA$5,$AD$3:$AD$5)-ABS(XLOOKUP($C234,$Q$3:$Q$16,$R$3:$R$16)))*$B234,-5)</f>
        <v>34900000</v>
      </c>
      <c r="L234" s="17">
        <f t="shared" si="701"/>
        <v>94400000</v>
      </c>
      <c r="M234" s="17">
        <f t="shared" si="701"/>
        <v>102500000</v>
      </c>
    </row>
    <row r="235">
      <c r="A235" s="14" t="s">
        <v>275</v>
      </c>
      <c r="B235" s="14">
        <v>139.0</v>
      </c>
      <c r="C235" s="15">
        <f t="shared" si="4"/>
        <v>11</v>
      </c>
      <c r="D235" s="14" t="s">
        <v>36</v>
      </c>
      <c r="E235" s="16">
        <f t="shared" ref="E235:G235" si="702">ROUNDUP((XLOOKUP($D235,$T$3:$T$10,$U$3:$U$10)*XLOOKUP(E$2,$AA$3:$AA$5,$AB$3:$AB$5)-ABS(XLOOKUP($C235,$Q$3:$Q$16,$R$3:$R$16)))*$B235,-5)</f>
        <v>36500000</v>
      </c>
      <c r="F235" s="16">
        <f t="shared" si="702"/>
        <v>62700000</v>
      </c>
      <c r="G235" s="16">
        <f t="shared" si="702"/>
        <v>68100000</v>
      </c>
      <c r="H235" s="17">
        <f t="shared" ref="H235:J235" si="703">roundup((XLOOKUP($D235,$T$3:$T$10,$U$3:$U$10)*XLOOKUP(H$2,$AA$3:$AA$5,$AC$3:$AC$5)-ABS(XLOOKUP($C235,$Q$3:$Q$16,$R$3:$R$16)))*$B235,-5)</f>
        <v>30500000</v>
      </c>
      <c r="I235" s="17">
        <f t="shared" si="703"/>
        <v>76900000</v>
      </c>
      <c r="J235" s="17">
        <f t="shared" si="703"/>
        <v>83300000</v>
      </c>
      <c r="K235" s="17">
        <f t="shared" ref="K235:M235" si="704">roundup((XLOOKUP($D235,$T$3:$T$10,$U$3:$U$10)*XLOOKUP(K$2,$AA$3:$AA$5,$AD$3:$AD$5)-ABS(XLOOKUP($C235,$Q$3:$Q$16,$R$3:$R$16)))*$B235,-5)</f>
        <v>35700000</v>
      </c>
      <c r="L235" s="17">
        <f t="shared" si="704"/>
        <v>86600000</v>
      </c>
      <c r="M235" s="17">
        <f t="shared" si="704"/>
        <v>93500000</v>
      </c>
    </row>
    <row r="236">
      <c r="A236" s="14" t="s">
        <v>276</v>
      </c>
      <c r="B236" s="14">
        <v>146.0</v>
      </c>
      <c r="C236" s="15">
        <f t="shared" si="4"/>
        <v>11</v>
      </c>
      <c r="D236" s="14" t="s">
        <v>33</v>
      </c>
      <c r="E236" s="16">
        <f t="shared" ref="E236:G236" si="705">ROUNDUP((XLOOKUP($D236,$T$3:$T$10,$U$3:$U$10)*XLOOKUP(E$2,$AA$3:$AA$5,$AB$3:$AB$5)-ABS(XLOOKUP($C236,$Q$3:$Q$16,$R$3:$R$16)))*$B236,-5)</f>
        <v>31700000</v>
      </c>
      <c r="F236" s="16">
        <f t="shared" si="705"/>
        <v>56200000</v>
      </c>
      <c r="G236" s="16">
        <f t="shared" si="705"/>
        <v>61300000</v>
      </c>
      <c r="H236" s="17">
        <f t="shared" ref="H236:J236" si="706">roundup((XLOOKUP($D236,$T$3:$T$10,$U$3:$U$10)*XLOOKUP(H$2,$AA$3:$AA$5,$AC$3:$AC$5)-ABS(XLOOKUP($C236,$Q$3:$Q$16,$R$3:$R$16)))*$B236,-5)</f>
        <v>26100000</v>
      </c>
      <c r="I236" s="17">
        <f t="shared" si="706"/>
        <v>69600000</v>
      </c>
      <c r="J236" s="17">
        <f t="shared" si="706"/>
        <v>75500000</v>
      </c>
      <c r="K236" s="17">
        <f t="shared" ref="K236:M236" si="707">roundup((XLOOKUP($D236,$T$3:$T$10,$U$3:$U$10)*XLOOKUP(K$2,$AA$3:$AA$5,$AD$3:$AD$5)-ABS(XLOOKUP($C236,$Q$3:$Q$16,$R$3:$R$16)))*$B236,-5)</f>
        <v>30900000</v>
      </c>
      <c r="L236" s="17">
        <f t="shared" si="707"/>
        <v>78600000</v>
      </c>
      <c r="M236" s="17">
        <f t="shared" si="707"/>
        <v>85200000</v>
      </c>
    </row>
    <row r="237">
      <c r="A237" s="14" t="s">
        <v>277</v>
      </c>
      <c r="B237" s="14">
        <v>126.0</v>
      </c>
      <c r="C237" s="15">
        <f t="shared" si="4"/>
        <v>11</v>
      </c>
      <c r="D237" s="14" t="s">
        <v>36</v>
      </c>
      <c r="E237" s="16">
        <f t="shared" ref="E237:G237" si="708">ROUNDUP((XLOOKUP($D237,$T$3:$T$10,$U$3:$U$10)*XLOOKUP(E$2,$AA$3:$AA$5,$AB$3:$AB$5)-ABS(XLOOKUP($C237,$Q$3:$Q$16,$R$3:$R$16)))*$B237,-5)</f>
        <v>33100000</v>
      </c>
      <c r="F237" s="16">
        <f t="shared" si="708"/>
        <v>56800000</v>
      </c>
      <c r="G237" s="16">
        <f t="shared" si="708"/>
        <v>61700000</v>
      </c>
      <c r="H237" s="17">
        <f t="shared" ref="H237:J237" si="709">roundup((XLOOKUP($D237,$T$3:$T$10,$U$3:$U$10)*XLOOKUP(H$2,$AA$3:$AA$5,$AC$3:$AC$5)-ABS(XLOOKUP($C237,$Q$3:$Q$16,$R$3:$R$16)))*$B237,-5)</f>
        <v>27700000</v>
      </c>
      <c r="I237" s="17">
        <f t="shared" si="709"/>
        <v>69700000</v>
      </c>
      <c r="J237" s="17">
        <f t="shared" si="709"/>
        <v>75500000</v>
      </c>
      <c r="K237" s="17">
        <f t="shared" ref="K237:M237" si="710">roundup((XLOOKUP($D237,$T$3:$T$10,$U$3:$U$10)*XLOOKUP(K$2,$AA$3:$AA$5,$AD$3:$AD$5)-ABS(XLOOKUP($C237,$Q$3:$Q$16,$R$3:$R$16)))*$B237,-5)</f>
        <v>32300000</v>
      </c>
      <c r="L237" s="17">
        <f t="shared" si="710"/>
        <v>78500000</v>
      </c>
      <c r="M237" s="17">
        <f t="shared" si="710"/>
        <v>84800000</v>
      </c>
    </row>
    <row r="238">
      <c r="A238" s="14" t="s">
        <v>278</v>
      </c>
      <c r="B238" s="14">
        <v>146.0</v>
      </c>
      <c r="C238" s="15">
        <f t="shared" si="4"/>
        <v>11</v>
      </c>
      <c r="D238" s="14" t="s">
        <v>33</v>
      </c>
      <c r="E238" s="16">
        <f t="shared" ref="E238:G238" si="711">ROUNDUP((XLOOKUP($D238,$T$3:$T$10,$U$3:$U$10)*XLOOKUP(E$2,$AA$3:$AA$5,$AB$3:$AB$5)-ABS(XLOOKUP($C238,$Q$3:$Q$16,$R$3:$R$16)))*$B238,-5)</f>
        <v>31700000</v>
      </c>
      <c r="F238" s="16">
        <f t="shared" si="711"/>
        <v>56200000</v>
      </c>
      <c r="G238" s="16">
        <f t="shared" si="711"/>
        <v>61300000</v>
      </c>
      <c r="H238" s="17">
        <f t="shared" ref="H238:J238" si="712">roundup((XLOOKUP($D238,$T$3:$T$10,$U$3:$U$10)*XLOOKUP(H$2,$AA$3:$AA$5,$AC$3:$AC$5)-ABS(XLOOKUP($C238,$Q$3:$Q$16,$R$3:$R$16)))*$B238,-5)</f>
        <v>26100000</v>
      </c>
      <c r="I238" s="17">
        <f t="shared" si="712"/>
        <v>69600000</v>
      </c>
      <c r="J238" s="17">
        <f t="shared" si="712"/>
        <v>75500000</v>
      </c>
      <c r="K238" s="17">
        <f t="shared" ref="K238:M238" si="713">roundup((XLOOKUP($D238,$T$3:$T$10,$U$3:$U$10)*XLOOKUP(K$2,$AA$3:$AA$5,$AD$3:$AD$5)-ABS(XLOOKUP($C238,$Q$3:$Q$16,$R$3:$R$16)))*$B238,-5)</f>
        <v>30900000</v>
      </c>
      <c r="L238" s="17">
        <f t="shared" si="713"/>
        <v>78600000</v>
      </c>
      <c r="M238" s="17">
        <f t="shared" si="713"/>
        <v>85200000</v>
      </c>
    </row>
    <row r="239">
      <c r="A239" s="14" t="s">
        <v>279</v>
      </c>
      <c r="B239" s="14">
        <v>130.0</v>
      </c>
      <c r="C239" s="15">
        <f t="shared" si="4"/>
        <v>11</v>
      </c>
      <c r="D239" s="14" t="s">
        <v>36</v>
      </c>
      <c r="E239" s="16">
        <f t="shared" ref="E239:G239" si="714">ROUNDUP((XLOOKUP($D239,$T$3:$T$10,$U$3:$U$10)*XLOOKUP(E$2,$AA$3:$AA$5,$AB$3:$AB$5)-ABS(XLOOKUP($C239,$Q$3:$Q$16,$R$3:$R$16)))*$B239,-5)</f>
        <v>34100000</v>
      </c>
      <c r="F239" s="16">
        <f t="shared" si="714"/>
        <v>58600000</v>
      </c>
      <c r="G239" s="16">
        <f t="shared" si="714"/>
        <v>63700000</v>
      </c>
      <c r="H239" s="17">
        <f t="shared" ref="H239:J239" si="715">roundup((XLOOKUP($D239,$T$3:$T$10,$U$3:$U$10)*XLOOKUP(H$2,$AA$3:$AA$5,$AC$3:$AC$5)-ABS(XLOOKUP($C239,$Q$3:$Q$16,$R$3:$R$16)))*$B239,-5)</f>
        <v>28600000</v>
      </c>
      <c r="I239" s="17">
        <f t="shared" si="715"/>
        <v>72000000</v>
      </c>
      <c r="J239" s="17">
        <f t="shared" si="715"/>
        <v>77900000</v>
      </c>
      <c r="K239" s="17">
        <f t="shared" ref="K239:M239" si="716">roundup((XLOOKUP($D239,$T$3:$T$10,$U$3:$U$10)*XLOOKUP(K$2,$AA$3:$AA$5,$AD$3:$AD$5)-ABS(XLOOKUP($C239,$Q$3:$Q$16,$R$3:$R$16)))*$B239,-5)</f>
        <v>33400000</v>
      </c>
      <c r="L239" s="17">
        <f t="shared" si="716"/>
        <v>81000000</v>
      </c>
      <c r="M239" s="17">
        <f t="shared" si="716"/>
        <v>87500000</v>
      </c>
    </row>
    <row r="240">
      <c r="A240" s="14" t="s">
        <v>280</v>
      </c>
      <c r="B240" s="14">
        <v>160.0</v>
      </c>
      <c r="C240" s="15">
        <f t="shared" si="4"/>
        <v>11</v>
      </c>
      <c r="D240" s="14" t="s">
        <v>36</v>
      </c>
      <c r="E240" s="16">
        <f t="shared" ref="E240:G240" si="717">ROUNDUP((XLOOKUP($D240,$T$3:$T$10,$U$3:$U$10)*XLOOKUP(E$2,$AA$3:$AA$5,$AB$3:$AB$5)-ABS(XLOOKUP($C240,$Q$3:$Q$16,$R$3:$R$16)))*$B240,-5)</f>
        <v>42000000</v>
      </c>
      <c r="F240" s="16">
        <f t="shared" si="717"/>
        <v>72100000</v>
      </c>
      <c r="G240" s="16">
        <f t="shared" si="717"/>
        <v>78400000</v>
      </c>
      <c r="H240" s="17">
        <f t="shared" ref="H240:J240" si="718">roundup((XLOOKUP($D240,$T$3:$T$10,$U$3:$U$10)*XLOOKUP(H$2,$AA$3:$AA$5,$AC$3:$AC$5)-ABS(XLOOKUP($C240,$Q$3:$Q$16,$R$3:$R$16)))*$B240,-5)</f>
        <v>35100000</v>
      </c>
      <c r="I240" s="17">
        <f t="shared" si="718"/>
        <v>88600000</v>
      </c>
      <c r="J240" s="17">
        <f t="shared" si="718"/>
        <v>95800000</v>
      </c>
      <c r="K240" s="17">
        <f t="shared" ref="K240:M240" si="719">roundup((XLOOKUP($D240,$T$3:$T$10,$U$3:$U$10)*XLOOKUP(K$2,$AA$3:$AA$5,$AD$3:$AD$5)-ABS(XLOOKUP($C240,$Q$3:$Q$16,$R$3:$R$16)))*$B240,-5)</f>
        <v>41100000</v>
      </c>
      <c r="L240" s="17">
        <f t="shared" si="719"/>
        <v>99700000</v>
      </c>
      <c r="M240" s="17">
        <f t="shared" si="719"/>
        <v>107700000</v>
      </c>
    </row>
    <row r="241">
      <c r="A241" s="14" t="s">
        <v>281</v>
      </c>
      <c r="B241" s="14">
        <v>144.0</v>
      </c>
      <c r="C241" s="15">
        <f t="shared" si="4"/>
        <v>11</v>
      </c>
      <c r="D241" s="14" t="s">
        <v>33</v>
      </c>
      <c r="E241" s="16">
        <f t="shared" ref="E241:G241" si="720">ROUNDUP((XLOOKUP($D241,$T$3:$T$10,$U$3:$U$10)*XLOOKUP(E$2,$AA$3:$AA$5,$AB$3:$AB$5)-ABS(XLOOKUP($C241,$Q$3:$Q$16,$R$3:$R$16)))*$B241,-5)</f>
        <v>31300000</v>
      </c>
      <c r="F241" s="16">
        <f t="shared" si="720"/>
        <v>55500000</v>
      </c>
      <c r="G241" s="16">
        <f t="shared" si="720"/>
        <v>60500000</v>
      </c>
      <c r="H241" s="17">
        <f t="shared" ref="H241:J241" si="721">roundup((XLOOKUP($D241,$T$3:$T$10,$U$3:$U$10)*XLOOKUP(H$2,$AA$3:$AA$5,$AC$3:$AC$5)-ABS(XLOOKUP($C241,$Q$3:$Q$16,$R$3:$R$16)))*$B241,-5)</f>
        <v>25700000</v>
      </c>
      <c r="I241" s="17">
        <f t="shared" si="721"/>
        <v>68600000</v>
      </c>
      <c r="J241" s="17">
        <f t="shared" si="721"/>
        <v>74500000</v>
      </c>
      <c r="K241" s="17">
        <f t="shared" ref="K241:M241" si="722">roundup((XLOOKUP($D241,$T$3:$T$10,$U$3:$U$10)*XLOOKUP(K$2,$AA$3:$AA$5,$AD$3:$AD$5)-ABS(XLOOKUP($C241,$Q$3:$Q$16,$R$3:$R$16)))*$B241,-5)</f>
        <v>30500000</v>
      </c>
      <c r="L241" s="17">
        <f t="shared" si="722"/>
        <v>77600000</v>
      </c>
      <c r="M241" s="17">
        <f t="shared" si="722"/>
        <v>84000000</v>
      </c>
    </row>
    <row r="242">
      <c r="A242" s="14" t="s">
        <v>282</v>
      </c>
      <c r="B242" s="14">
        <v>144.0</v>
      </c>
      <c r="C242" s="15">
        <f t="shared" si="4"/>
        <v>11</v>
      </c>
      <c r="D242" s="14" t="s">
        <v>36</v>
      </c>
      <c r="E242" s="16">
        <f t="shared" ref="E242:G242" si="723">ROUNDUP((XLOOKUP($D242,$T$3:$T$10,$U$3:$U$10)*XLOOKUP(E$2,$AA$3:$AA$5,$AB$3:$AB$5)-ABS(XLOOKUP($C242,$Q$3:$Q$16,$R$3:$R$16)))*$B242,-5)</f>
        <v>37800000</v>
      </c>
      <c r="F242" s="16">
        <f t="shared" si="723"/>
        <v>64900000</v>
      </c>
      <c r="G242" s="16">
        <f t="shared" si="723"/>
        <v>70500000</v>
      </c>
      <c r="H242" s="17">
        <f t="shared" ref="H242:J242" si="724">roundup((XLOOKUP($D242,$T$3:$T$10,$U$3:$U$10)*XLOOKUP(H$2,$AA$3:$AA$5,$AC$3:$AC$5)-ABS(XLOOKUP($C242,$Q$3:$Q$16,$R$3:$R$16)))*$B242,-5)</f>
        <v>31600000</v>
      </c>
      <c r="I242" s="17">
        <f t="shared" si="724"/>
        <v>79700000</v>
      </c>
      <c r="J242" s="17">
        <f t="shared" si="724"/>
        <v>86300000</v>
      </c>
      <c r="K242" s="17">
        <f t="shared" ref="K242:M242" si="725">roundup((XLOOKUP($D242,$T$3:$T$10,$U$3:$U$10)*XLOOKUP(K$2,$AA$3:$AA$5,$AD$3:$AD$5)-ABS(XLOOKUP($C242,$Q$3:$Q$16,$R$3:$R$16)))*$B242,-5)</f>
        <v>37000000</v>
      </c>
      <c r="L242" s="17">
        <f t="shared" si="725"/>
        <v>89700000</v>
      </c>
      <c r="M242" s="17">
        <f t="shared" si="725"/>
        <v>96900000</v>
      </c>
    </row>
    <row r="243">
      <c r="A243" s="14" t="s">
        <v>283</v>
      </c>
      <c r="B243" s="14">
        <v>174.0</v>
      </c>
      <c r="C243" s="15">
        <f t="shared" si="4"/>
        <v>12</v>
      </c>
      <c r="D243" s="14" t="s">
        <v>36</v>
      </c>
      <c r="E243" s="16">
        <f t="shared" ref="E243:G243" si="726">ROUNDUP((XLOOKUP($D243,$T$3:$T$10,$U$3:$U$10)*XLOOKUP(E$2,$AA$3:$AA$5,$AB$3:$AB$5)-ABS(XLOOKUP($C243,$Q$3:$Q$16,$R$3:$R$16)))*$B243,-5)</f>
        <v>44800000</v>
      </c>
      <c r="F243" s="16">
        <f t="shared" si="726"/>
        <v>77600000</v>
      </c>
      <c r="G243" s="16">
        <f t="shared" si="726"/>
        <v>84400000</v>
      </c>
      <c r="H243" s="17">
        <f t="shared" ref="H243:J243" si="727">roundup((XLOOKUP($D243,$T$3:$T$10,$U$3:$U$10)*XLOOKUP(H$2,$AA$3:$AA$5,$AC$3:$AC$5)-ABS(XLOOKUP($C243,$Q$3:$Q$16,$R$3:$R$16)))*$B243,-5)</f>
        <v>37300000</v>
      </c>
      <c r="I243" s="17">
        <f t="shared" si="727"/>
        <v>95400000</v>
      </c>
      <c r="J243" s="17">
        <f t="shared" si="727"/>
        <v>103300000</v>
      </c>
      <c r="K243" s="17">
        <f t="shared" ref="K243:M243" si="728">roundup((XLOOKUP($D243,$T$3:$T$10,$U$3:$U$10)*XLOOKUP(K$2,$AA$3:$AA$5,$AD$3:$AD$5)-ABS(XLOOKUP($C243,$Q$3:$Q$16,$R$3:$R$16)))*$B243,-5)</f>
        <v>43800000</v>
      </c>
      <c r="L243" s="17">
        <f t="shared" si="728"/>
        <v>107500000</v>
      </c>
      <c r="M243" s="17">
        <f t="shared" si="728"/>
        <v>116200000</v>
      </c>
    </row>
    <row r="244">
      <c r="A244" s="14" t="s">
        <v>284</v>
      </c>
      <c r="B244" s="14">
        <v>111.0</v>
      </c>
      <c r="C244" s="15">
        <f t="shared" si="4"/>
        <v>11</v>
      </c>
      <c r="D244" s="14" t="s">
        <v>33</v>
      </c>
      <c r="E244" s="16">
        <f t="shared" ref="E244:G244" si="729">ROUNDUP((XLOOKUP($D244,$T$3:$T$10,$U$3:$U$10)*XLOOKUP(E$2,$AA$3:$AA$5,$AB$3:$AB$5)-ABS(XLOOKUP($C244,$Q$3:$Q$16,$R$3:$R$16)))*$B244,-5)</f>
        <v>24100000</v>
      </c>
      <c r="F244" s="16">
        <f t="shared" si="729"/>
        <v>42800000</v>
      </c>
      <c r="G244" s="16">
        <f t="shared" si="729"/>
        <v>46600000</v>
      </c>
      <c r="H244" s="17">
        <f t="shared" ref="H244:J244" si="730">roundup((XLOOKUP($D244,$T$3:$T$10,$U$3:$U$10)*XLOOKUP(H$2,$AA$3:$AA$5,$AC$3:$AC$5)-ABS(XLOOKUP($C244,$Q$3:$Q$16,$R$3:$R$16)))*$B244,-5)</f>
        <v>19900000</v>
      </c>
      <c r="I244" s="17">
        <f t="shared" si="730"/>
        <v>52900000</v>
      </c>
      <c r="J244" s="17">
        <f t="shared" si="730"/>
        <v>57400000</v>
      </c>
      <c r="K244" s="17">
        <f t="shared" ref="K244:M244" si="731">roundup((XLOOKUP($D244,$T$3:$T$10,$U$3:$U$10)*XLOOKUP(K$2,$AA$3:$AA$5,$AD$3:$AD$5)-ABS(XLOOKUP($C244,$Q$3:$Q$16,$R$3:$R$16)))*$B244,-5)</f>
        <v>23500000</v>
      </c>
      <c r="L244" s="17">
        <f t="shared" si="731"/>
        <v>59800000</v>
      </c>
      <c r="M244" s="17">
        <f t="shared" si="731"/>
        <v>64800000</v>
      </c>
    </row>
    <row r="245">
      <c r="A245" s="14" t="s">
        <v>285</v>
      </c>
      <c r="B245" s="14">
        <v>218.0</v>
      </c>
      <c r="C245" s="15">
        <f t="shared" si="4"/>
        <v>13</v>
      </c>
      <c r="D245" s="14" t="s">
        <v>36</v>
      </c>
      <c r="E245" s="16">
        <f t="shared" ref="E245:G245" si="732">ROUNDUP((XLOOKUP($D245,$T$3:$T$10,$U$3:$U$10)*XLOOKUP(E$2,$AA$3:$AA$5,$AB$3:$AB$5)-ABS(XLOOKUP($C245,$Q$3:$Q$16,$R$3:$R$16)))*$B245,-5)</f>
        <v>52800000</v>
      </c>
      <c r="F245" s="16">
        <f t="shared" si="732"/>
        <v>93900000</v>
      </c>
      <c r="G245" s="16">
        <f t="shared" si="732"/>
        <v>102400000</v>
      </c>
      <c r="H245" s="17">
        <f t="shared" ref="H245:J245" si="733">roundup((XLOOKUP($D245,$T$3:$T$10,$U$3:$U$10)*XLOOKUP(H$2,$AA$3:$AA$5,$AC$3:$AC$5)-ABS(XLOOKUP($C245,$Q$3:$Q$16,$R$3:$R$16)))*$B245,-5)</f>
        <v>43500000</v>
      </c>
      <c r="I245" s="17">
        <f t="shared" si="733"/>
        <v>116300000</v>
      </c>
      <c r="J245" s="17">
        <f t="shared" si="733"/>
        <v>126200000</v>
      </c>
      <c r="K245" s="17">
        <f t="shared" ref="K245:M245" si="734">roundup((XLOOKUP($D245,$T$3:$T$10,$U$3:$U$10)*XLOOKUP(K$2,$AA$3:$AA$5,$AD$3:$AD$5)-ABS(XLOOKUP($C245,$Q$3:$Q$16,$R$3:$R$16)))*$B245,-5)</f>
        <v>51600000</v>
      </c>
      <c r="L245" s="17">
        <f t="shared" si="734"/>
        <v>131400000</v>
      </c>
      <c r="M245" s="17">
        <f t="shared" si="734"/>
        <v>142300000</v>
      </c>
    </row>
    <row r="246">
      <c r="A246" s="14" t="s">
        <v>286</v>
      </c>
      <c r="B246" s="14">
        <v>149.0</v>
      </c>
      <c r="C246" s="15">
        <f t="shared" si="4"/>
        <v>11</v>
      </c>
      <c r="D246" s="14" t="s">
        <v>36</v>
      </c>
      <c r="E246" s="16">
        <f t="shared" ref="E246:G246" si="735">ROUNDUP((XLOOKUP($D246,$T$3:$T$10,$U$3:$U$10)*XLOOKUP(E$2,$AA$3:$AA$5,$AB$3:$AB$5)-ABS(XLOOKUP($C246,$Q$3:$Q$16,$R$3:$R$16)))*$B246,-5)</f>
        <v>39100000</v>
      </c>
      <c r="F246" s="16">
        <f t="shared" si="735"/>
        <v>67200000</v>
      </c>
      <c r="G246" s="16">
        <f t="shared" si="735"/>
        <v>73000000</v>
      </c>
      <c r="H246" s="17">
        <f t="shared" ref="H246:J246" si="736">roundup((XLOOKUP($D246,$T$3:$T$10,$U$3:$U$10)*XLOOKUP(H$2,$AA$3:$AA$5,$AC$3:$AC$5)-ABS(XLOOKUP($C246,$Q$3:$Q$16,$R$3:$R$16)))*$B246,-5)</f>
        <v>32700000</v>
      </c>
      <c r="I246" s="17">
        <f t="shared" si="736"/>
        <v>82500000</v>
      </c>
      <c r="J246" s="17">
        <f t="shared" si="736"/>
        <v>89200000</v>
      </c>
      <c r="K246" s="17">
        <f t="shared" ref="K246:M246" si="737">roundup((XLOOKUP($D246,$T$3:$T$10,$U$3:$U$10)*XLOOKUP(K$2,$AA$3:$AA$5,$AD$3:$AD$5)-ABS(XLOOKUP($C246,$Q$3:$Q$16,$R$3:$R$16)))*$B246,-5)</f>
        <v>38200000</v>
      </c>
      <c r="L246" s="17">
        <f t="shared" si="737"/>
        <v>92800000</v>
      </c>
      <c r="M246" s="17">
        <f t="shared" si="737"/>
        <v>100300000</v>
      </c>
    </row>
    <row r="247">
      <c r="A247" s="14" t="s">
        <v>287</v>
      </c>
      <c r="B247" s="14">
        <v>124.0</v>
      </c>
      <c r="C247" s="15">
        <f t="shared" si="4"/>
        <v>11</v>
      </c>
      <c r="D247" s="14" t="s">
        <v>36</v>
      </c>
      <c r="E247" s="16">
        <f t="shared" ref="E247:G247" si="738">ROUNDUP((XLOOKUP($D247,$T$3:$T$10,$U$3:$U$10)*XLOOKUP(E$2,$AA$3:$AA$5,$AB$3:$AB$5)-ABS(XLOOKUP($C247,$Q$3:$Q$16,$R$3:$R$16)))*$B247,-5)</f>
        <v>32600000</v>
      </c>
      <c r="F247" s="16">
        <f t="shared" si="738"/>
        <v>55900000</v>
      </c>
      <c r="G247" s="16">
        <f t="shared" si="738"/>
        <v>60700000</v>
      </c>
      <c r="H247" s="17">
        <f t="shared" ref="H247:J247" si="739">roundup((XLOOKUP($D247,$T$3:$T$10,$U$3:$U$10)*XLOOKUP(H$2,$AA$3:$AA$5,$AC$3:$AC$5)-ABS(XLOOKUP($C247,$Q$3:$Q$16,$R$3:$R$16)))*$B247,-5)</f>
        <v>27200000</v>
      </c>
      <c r="I247" s="17">
        <f t="shared" si="739"/>
        <v>68600000</v>
      </c>
      <c r="J247" s="17">
        <f t="shared" si="739"/>
        <v>74300000</v>
      </c>
      <c r="K247" s="17">
        <f t="shared" ref="K247:M247" si="740">roundup((XLOOKUP($D247,$T$3:$T$10,$U$3:$U$10)*XLOOKUP(K$2,$AA$3:$AA$5,$AD$3:$AD$5)-ABS(XLOOKUP($C247,$Q$3:$Q$16,$R$3:$R$16)))*$B247,-5)</f>
        <v>31800000</v>
      </c>
      <c r="L247" s="17">
        <f t="shared" si="740"/>
        <v>77300000</v>
      </c>
      <c r="M247" s="17">
        <f t="shared" si="740"/>
        <v>83500000</v>
      </c>
    </row>
    <row r="248">
      <c r="A248" s="14" t="s">
        <v>288</v>
      </c>
      <c r="B248" s="14">
        <v>123.0</v>
      </c>
      <c r="C248" s="15">
        <f t="shared" si="4"/>
        <v>11</v>
      </c>
      <c r="D248" s="14" t="s">
        <v>36</v>
      </c>
      <c r="E248" s="16">
        <f t="shared" ref="E248:G248" si="741">ROUNDUP((XLOOKUP($D248,$T$3:$T$10,$U$3:$U$10)*XLOOKUP(E$2,$AA$3:$AA$5,$AB$3:$AB$5)-ABS(XLOOKUP($C248,$Q$3:$Q$16,$R$3:$R$16)))*$B248,-5)</f>
        <v>32300000</v>
      </c>
      <c r="F248" s="16">
        <f t="shared" si="741"/>
        <v>55500000</v>
      </c>
      <c r="G248" s="16">
        <f t="shared" si="741"/>
        <v>60300000</v>
      </c>
      <c r="H248" s="17">
        <f t="shared" ref="H248:J248" si="742">roundup((XLOOKUP($D248,$T$3:$T$10,$U$3:$U$10)*XLOOKUP(H$2,$AA$3:$AA$5,$AC$3:$AC$5)-ABS(XLOOKUP($C248,$Q$3:$Q$16,$R$3:$R$16)))*$B248,-5)</f>
        <v>27000000</v>
      </c>
      <c r="I248" s="17">
        <f t="shared" si="742"/>
        <v>68100000</v>
      </c>
      <c r="J248" s="17">
        <f t="shared" si="742"/>
        <v>73700000</v>
      </c>
      <c r="K248" s="17">
        <f t="shared" ref="K248:M248" si="743">roundup((XLOOKUP($D248,$T$3:$T$10,$U$3:$U$10)*XLOOKUP(K$2,$AA$3:$AA$5,$AD$3:$AD$5)-ABS(XLOOKUP($C248,$Q$3:$Q$16,$R$3:$R$16)))*$B248,-5)</f>
        <v>31600000</v>
      </c>
      <c r="L248" s="17">
        <f t="shared" si="743"/>
        <v>76600000</v>
      </c>
      <c r="M248" s="17">
        <f t="shared" si="743"/>
        <v>82800000</v>
      </c>
    </row>
    <row r="249">
      <c r="A249" s="14" t="s">
        <v>289</v>
      </c>
      <c r="B249" s="14">
        <v>160.0</v>
      </c>
      <c r="C249" s="15">
        <f t="shared" si="4"/>
        <v>11</v>
      </c>
      <c r="D249" s="14" t="s">
        <v>36</v>
      </c>
      <c r="E249" s="16">
        <f t="shared" ref="E249:G249" si="744">ROUNDUP((XLOOKUP($D249,$T$3:$T$10,$U$3:$U$10)*XLOOKUP(E$2,$AA$3:$AA$5,$AB$3:$AB$5)-ABS(XLOOKUP($C249,$Q$3:$Q$16,$R$3:$R$16)))*$B249,-5)</f>
        <v>42000000</v>
      </c>
      <c r="F249" s="16">
        <f t="shared" si="744"/>
        <v>72100000</v>
      </c>
      <c r="G249" s="16">
        <f t="shared" si="744"/>
        <v>78400000</v>
      </c>
      <c r="H249" s="17">
        <f t="shared" ref="H249:J249" si="745">roundup((XLOOKUP($D249,$T$3:$T$10,$U$3:$U$10)*XLOOKUP(H$2,$AA$3:$AA$5,$AC$3:$AC$5)-ABS(XLOOKUP($C249,$Q$3:$Q$16,$R$3:$R$16)))*$B249,-5)</f>
        <v>35100000</v>
      </c>
      <c r="I249" s="17">
        <f t="shared" si="745"/>
        <v>88600000</v>
      </c>
      <c r="J249" s="17">
        <f t="shared" si="745"/>
        <v>95800000</v>
      </c>
      <c r="K249" s="17">
        <f t="shared" ref="K249:M249" si="746">roundup((XLOOKUP($D249,$T$3:$T$10,$U$3:$U$10)*XLOOKUP(K$2,$AA$3:$AA$5,$AD$3:$AD$5)-ABS(XLOOKUP($C249,$Q$3:$Q$16,$R$3:$R$16)))*$B249,-5)</f>
        <v>41100000</v>
      </c>
      <c r="L249" s="17">
        <f t="shared" si="746"/>
        <v>99700000</v>
      </c>
      <c r="M249" s="17">
        <f t="shared" si="746"/>
        <v>107700000</v>
      </c>
    </row>
    <row r="250">
      <c r="A250" s="14" t="s">
        <v>290</v>
      </c>
      <c r="B250" s="14">
        <v>166.0</v>
      </c>
      <c r="C250" s="15">
        <f t="shared" si="4"/>
        <v>12</v>
      </c>
      <c r="D250" s="14" t="s">
        <v>36</v>
      </c>
      <c r="E250" s="16">
        <f t="shared" ref="E250:G250" si="747">ROUNDUP((XLOOKUP($D250,$T$3:$T$10,$U$3:$U$10)*XLOOKUP(E$2,$AA$3:$AA$5,$AB$3:$AB$5)-ABS(XLOOKUP($C250,$Q$3:$Q$16,$R$3:$R$16)))*$B250,-5)</f>
        <v>42700000</v>
      </c>
      <c r="F250" s="16">
        <f t="shared" si="747"/>
        <v>74000000</v>
      </c>
      <c r="G250" s="16">
        <f t="shared" si="747"/>
        <v>80500000</v>
      </c>
      <c r="H250" s="17">
        <f t="shared" ref="H250:J250" si="748">roundup((XLOOKUP($D250,$T$3:$T$10,$U$3:$U$10)*XLOOKUP(H$2,$AA$3:$AA$5,$AC$3:$AC$5)-ABS(XLOOKUP($C250,$Q$3:$Q$16,$R$3:$R$16)))*$B250,-5)</f>
        <v>35600000</v>
      </c>
      <c r="I250" s="17">
        <f t="shared" si="748"/>
        <v>91000000</v>
      </c>
      <c r="J250" s="17">
        <f t="shared" si="748"/>
        <v>98600000</v>
      </c>
      <c r="K250" s="17">
        <f t="shared" ref="K250:M250" si="749">roundup((XLOOKUP($D250,$T$3:$T$10,$U$3:$U$10)*XLOOKUP(K$2,$AA$3:$AA$5,$AD$3:$AD$5)-ABS(XLOOKUP($C250,$Q$3:$Q$16,$R$3:$R$16)))*$B250,-5)</f>
        <v>41800000</v>
      </c>
      <c r="L250" s="17">
        <f t="shared" si="749"/>
        <v>102600000</v>
      </c>
      <c r="M250" s="17">
        <f t="shared" si="749"/>
        <v>110900000</v>
      </c>
    </row>
    <row r="251">
      <c r="A251" s="14" t="s">
        <v>291</v>
      </c>
      <c r="B251" s="14">
        <v>150.0</v>
      </c>
      <c r="C251" s="15">
        <f t="shared" si="4"/>
        <v>11</v>
      </c>
      <c r="D251" s="14" t="s">
        <v>33</v>
      </c>
      <c r="E251" s="16">
        <f t="shared" ref="E251:G251" si="750">ROUNDUP((XLOOKUP($D251,$T$3:$T$10,$U$3:$U$10)*XLOOKUP(E$2,$AA$3:$AA$5,$AB$3:$AB$5)-ABS(XLOOKUP($C251,$Q$3:$Q$16,$R$3:$R$16)))*$B251,-5)</f>
        <v>32600000</v>
      </c>
      <c r="F251" s="16">
        <f t="shared" si="750"/>
        <v>57800000</v>
      </c>
      <c r="G251" s="16">
        <f t="shared" si="750"/>
        <v>63000000</v>
      </c>
      <c r="H251" s="17">
        <f t="shared" ref="H251:J251" si="751">roundup((XLOOKUP($D251,$T$3:$T$10,$U$3:$U$10)*XLOOKUP(H$2,$AA$3:$AA$5,$AC$3:$AC$5)-ABS(XLOOKUP($C251,$Q$3:$Q$16,$R$3:$R$16)))*$B251,-5)</f>
        <v>26800000</v>
      </c>
      <c r="I251" s="17">
        <f t="shared" si="751"/>
        <v>71500000</v>
      </c>
      <c r="J251" s="17">
        <f t="shared" si="751"/>
        <v>77600000</v>
      </c>
      <c r="K251" s="17">
        <f t="shared" ref="K251:M251" si="752">roundup((XLOOKUP($D251,$T$3:$T$10,$U$3:$U$10)*XLOOKUP(K$2,$AA$3:$AA$5,$AD$3:$AD$5)-ABS(XLOOKUP($C251,$Q$3:$Q$16,$R$3:$R$16)))*$B251,-5)</f>
        <v>31800000</v>
      </c>
      <c r="L251" s="17">
        <f t="shared" si="752"/>
        <v>80800000</v>
      </c>
      <c r="M251" s="17">
        <f t="shared" si="752"/>
        <v>87500000</v>
      </c>
    </row>
    <row r="252">
      <c r="A252" s="14" t="s">
        <v>292</v>
      </c>
      <c r="B252" s="14">
        <v>253.0</v>
      </c>
      <c r="C252" s="15">
        <f t="shared" si="4"/>
        <v>14</v>
      </c>
      <c r="D252" s="14" t="s">
        <v>33</v>
      </c>
      <c r="E252" s="16">
        <f t="shared" ref="E252:G252" si="753">ROUNDUP((XLOOKUP($D252,$T$3:$T$10,$U$3:$U$10)*XLOOKUP(E$2,$AA$3:$AA$5,$AB$3:$AB$5)-ABS(XLOOKUP($C252,$Q$3:$Q$16,$R$3:$R$16)))*$B252,-5)</f>
        <v>47500000</v>
      </c>
      <c r="F252" s="16">
        <f t="shared" si="753"/>
        <v>90000000</v>
      </c>
      <c r="G252" s="16">
        <f t="shared" si="753"/>
        <v>98800000</v>
      </c>
      <c r="H252" s="17">
        <f t="shared" ref="H252:J252" si="754">roundup((XLOOKUP($D252,$T$3:$T$10,$U$3:$U$10)*XLOOKUP(H$2,$AA$3:$AA$5,$AC$3:$AC$5)-ABS(XLOOKUP($C252,$Q$3:$Q$16,$R$3:$R$16)))*$B252,-5)</f>
        <v>37900000</v>
      </c>
      <c r="I252" s="17">
        <f t="shared" si="754"/>
        <v>113200000</v>
      </c>
      <c r="J252" s="17">
        <f t="shared" si="754"/>
        <v>123500000</v>
      </c>
      <c r="K252" s="17">
        <f t="shared" ref="K252:M252" si="755">roundup((XLOOKUP($D252,$T$3:$T$10,$U$3:$U$10)*XLOOKUP(K$2,$AA$3:$AA$5,$AD$3:$AD$5)-ABS(XLOOKUP($C252,$Q$3:$Q$16,$R$3:$R$16)))*$B252,-5)</f>
        <v>46200000</v>
      </c>
      <c r="L252" s="17">
        <f t="shared" si="755"/>
        <v>128900000</v>
      </c>
      <c r="M252" s="17">
        <f t="shared" si="755"/>
        <v>140200000</v>
      </c>
    </row>
    <row r="253">
      <c r="A253" s="14" t="s">
        <v>293</v>
      </c>
      <c r="B253" s="14">
        <v>91.0</v>
      </c>
      <c r="C253" s="15">
        <f t="shared" si="4"/>
        <v>11</v>
      </c>
      <c r="D253" s="14" t="s">
        <v>33</v>
      </c>
      <c r="E253" s="16">
        <f t="shared" ref="E253:G253" si="756">ROUNDUP((XLOOKUP($D253,$T$3:$T$10,$U$3:$U$10)*XLOOKUP(E$2,$AA$3:$AA$5,$AB$3:$AB$5)-ABS(XLOOKUP($C253,$Q$3:$Q$16,$R$3:$R$16)))*$B253,-5)</f>
        <v>19800000</v>
      </c>
      <c r="F253" s="16">
        <f t="shared" si="756"/>
        <v>35100000</v>
      </c>
      <c r="G253" s="16">
        <f t="shared" si="756"/>
        <v>38200000</v>
      </c>
      <c r="H253" s="17">
        <f t="shared" ref="H253:J253" si="757">roundup((XLOOKUP($D253,$T$3:$T$10,$U$3:$U$10)*XLOOKUP(H$2,$AA$3:$AA$5,$AC$3:$AC$5)-ABS(XLOOKUP($C253,$Q$3:$Q$16,$R$3:$R$16)))*$B253,-5)</f>
        <v>16300000</v>
      </c>
      <c r="I253" s="17">
        <f t="shared" si="757"/>
        <v>43400000</v>
      </c>
      <c r="J253" s="17">
        <f t="shared" si="757"/>
        <v>47100000</v>
      </c>
      <c r="K253" s="17">
        <f t="shared" ref="K253:M253" si="758">roundup((XLOOKUP($D253,$T$3:$T$10,$U$3:$U$10)*XLOOKUP(K$2,$AA$3:$AA$5,$AD$3:$AD$5)-ABS(XLOOKUP($C253,$Q$3:$Q$16,$R$3:$R$16)))*$B253,-5)</f>
        <v>19300000</v>
      </c>
      <c r="L253" s="17">
        <f t="shared" si="758"/>
        <v>49000000</v>
      </c>
      <c r="M253" s="17">
        <f t="shared" si="758"/>
        <v>53100000</v>
      </c>
    </row>
    <row r="254">
      <c r="A254" s="14" t="s">
        <v>294</v>
      </c>
      <c r="B254" s="14">
        <v>105.0</v>
      </c>
      <c r="C254" s="15">
        <f t="shared" si="4"/>
        <v>11</v>
      </c>
      <c r="D254" s="14" t="s">
        <v>33</v>
      </c>
      <c r="E254" s="16">
        <f t="shared" ref="E254:G254" si="759">ROUNDUP((XLOOKUP($D254,$T$3:$T$10,$U$3:$U$10)*XLOOKUP(E$2,$AA$3:$AA$5,$AB$3:$AB$5)-ABS(XLOOKUP($C254,$Q$3:$Q$16,$R$3:$R$16)))*$B254,-5)</f>
        <v>22800000</v>
      </c>
      <c r="F254" s="16">
        <f t="shared" si="759"/>
        <v>40400000</v>
      </c>
      <c r="G254" s="16">
        <f t="shared" si="759"/>
        <v>44100000</v>
      </c>
      <c r="H254" s="17">
        <f t="shared" ref="H254:J254" si="760">roundup((XLOOKUP($D254,$T$3:$T$10,$U$3:$U$10)*XLOOKUP(H$2,$AA$3:$AA$5,$AC$3:$AC$5)-ABS(XLOOKUP($C254,$Q$3:$Q$16,$R$3:$R$16)))*$B254,-5)</f>
        <v>18800000</v>
      </c>
      <c r="I254" s="17">
        <f t="shared" si="760"/>
        <v>50100000</v>
      </c>
      <c r="J254" s="17">
        <f t="shared" si="760"/>
        <v>54300000</v>
      </c>
      <c r="K254" s="17">
        <f t="shared" ref="K254:M254" si="761">roundup((XLOOKUP($D254,$T$3:$T$10,$U$3:$U$10)*XLOOKUP(K$2,$AA$3:$AA$5,$AD$3:$AD$5)-ABS(XLOOKUP($C254,$Q$3:$Q$16,$R$3:$R$16)))*$B254,-5)</f>
        <v>22300000</v>
      </c>
      <c r="L254" s="17">
        <f t="shared" si="761"/>
        <v>56600000</v>
      </c>
      <c r="M254" s="17">
        <f t="shared" si="761"/>
        <v>61300000</v>
      </c>
    </row>
    <row r="255">
      <c r="A255" s="14" t="s">
        <v>295</v>
      </c>
      <c r="B255" s="14">
        <v>109.0</v>
      </c>
      <c r="C255" s="15">
        <f t="shared" si="4"/>
        <v>11</v>
      </c>
      <c r="D255" s="14" t="s">
        <v>36</v>
      </c>
      <c r="E255" s="16">
        <f t="shared" ref="E255:G255" si="762">ROUNDUP((XLOOKUP($D255,$T$3:$T$10,$U$3:$U$10)*XLOOKUP(E$2,$AA$3:$AA$5,$AB$3:$AB$5)-ABS(XLOOKUP($C255,$Q$3:$Q$16,$R$3:$R$16)))*$B255,-5)</f>
        <v>28600000</v>
      </c>
      <c r="F255" s="16">
        <f t="shared" si="762"/>
        <v>49200000</v>
      </c>
      <c r="G255" s="16">
        <f t="shared" si="762"/>
        <v>53400000</v>
      </c>
      <c r="H255" s="17">
        <f t="shared" ref="H255:J255" si="763">roundup((XLOOKUP($D255,$T$3:$T$10,$U$3:$U$10)*XLOOKUP(H$2,$AA$3:$AA$5,$AC$3:$AC$5)-ABS(XLOOKUP($C255,$Q$3:$Q$16,$R$3:$R$16)))*$B255,-5)</f>
        <v>24000000</v>
      </c>
      <c r="I255" s="17">
        <f t="shared" si="763"/>
        <v>60300000</v>
      </c>
      <c r="J255" s="17">
        <f t="shared" si="763"/>
        <v>65300000</v>
      </c>
      <c r="K255" s="17">
        <f t="shared" ref="K255:M255" si="764">roundup((XLOOKUP($D255,$T$3:$T$10,$U$3:$U$10)*XLOOKUP(K$2,$AA$3:$AA$5,$AD$3:$AD$5)-ABS(XLOOKUP($C255,$Q$3:$Q$16,$R$3:$R$16)))*$B255,-5)</f>
        <v>28000000</v>
      </c>
      <c r="L255" s="17">
        <f t="shared" si="764"/>
        <v>67900000</v>
      </c>
      <c r="M255" s="17">
        <f t="shared" si="764"/>
        <v>73400000</v>
      </c>
    </row>
    <row r="256">
      <c r="A256" s="14" t="s">
        <v>296</v>
      </c>
      <c r="B256" s="14">
        <v>136.0</v>
      </c>
      <c r="C256" s="15">
        <f t="shared" si="4"/>
        <v>11</v>
      </c>
      <c r="D256" s="14" t="s">
        <v>36</v>
      </c>
      <c r="E256" s="16">
        <f t="shared" ref="E256:G256" si="765">ROUNDUP((XLOOKUP($D256,$T$3:$T$10,$U$3:$U$10)*XLOOKUP(E$2,$AA$3:$AA$5,$AB$3:$AB$5)-ABS(XLOOKUP($C256,$Q$3:$Q$16,$R$3:$R$16)))*$B256,-5)</f>
        <v>35700000</v>
      </c>
      <c r="F256" s="16">
        <f t="shared" si="765"/>
        <v>61300000</v>
      </c>
      <c r="G256" s="16">
        <f t="shared" si="765"/>
        <v>66600000</v>
      </c>
      <c r="H256" s="17">
        <f t="shared" ref="H256:J256" si="766">roundup((XLOOKUP($D256,$T$3:$T$10,$U$3:$U$10)*XLOOKUP(H$2,$AA$3:$AA$5,$AC$3:$AC$5)-ABS(XLOOKUP($C256,$Q$3:$Q$16,$R$3:$R$16)))*$B256,-5)</f>
        <v>29900000</v>
      </c>
      <c r="I256" s="17">
        <f t="shared" si="766"/>
        <v>75300000</v>
      </c>
      <c r="J256" s="17">
        <f t="shared" si="766"/>
        <v>81500000</v>
      </c>
      <c r="K256" s="17">
        <f t="shared" ref="K256:M256" si="767">roundup((XLOOKUP($D256,$T$3:$T$10,$U$3:$U$10)*XLOOKUP(K$2,$AA$3:$AA$5,$AD$3:$AD$5)-ABS(XLOOKUP($C256,$Q$3:$Q$16,$R$3:$R$16)))*$B256,-5)</f>
        <v>34900000</v>
      </c>
      <c r="L256" s="17">
        <f t="shared" si="767"/>
        <v>84700000</v>
      </c>
      <c r="M256" s="17">
        <f t="shared" si="767"/>
        <v>91500000</v>
      </c>
    </row>
    <row r="257">
      <c r="A257" s="14" t="s">
        <v>297</v>
      </c>
      <c r="B257" s="14">
        <v>139.0</v>
      </c>
      <c r="C257" s="15">
        <f t="shared" si="4"/>
        <v>11</v>
      </c>
      <c r="D257" s="14" t="s">
        <v>36</v>
      </c>
      <c r="E257" s="16">
        <f t="shared" ref="E257:G257" si="768">ROUNDUP((XLOOKUP($D257,$T$3:$T$10,$U$3:$U$10)*XLOOKUP(E$2,$AA$3:$AA$5,$AB$3:$AB$5)-ABS(XLOOKUP($C257,$Q$3:$Q$16,$R$3:$R$16)))*$B257,-5)</f>
        <v>36500000</v>
      </c>
      <c r="F257" s="16">
        <f t="shared" si="768"/>
        <v>62700000</v>
      </c>
      <c r="G257" s="16">
        <f t="shared" si="768"/>
        <v>68100000</v>
      </c>
      <c r="H257" s="17">
        <f t="shared" ref="H257:J257" si="769">roundup((XLOOKUP($D257,$T$3:$T$10,$U$3:$U$10)*XLOOKUP(H$2,$AA$3:$AA$5,$AC$3:$AC$5)-ABS(XLOOKUP($C257,$Q$3:$Q$16,$R$3:$R$16)))*$B257,-5)</f>
        <v>30500000</v>
      </c>
      <c r="I257" s="17">
        <f t="shared" si="769"/>
        <v>76900000</v>
      </c>
      <c r="J257" s="17">
        <f t="shared" si="769"/>
        <v>83300000</v>
      </c>
      <c r="K257" s="17">
        <f t="shared" ref="K257:M257" si="770">roundup((XLOOKUP($D257,$T$3:$T$10,$U$3:$U$10)*XLOOKUP(K$2,$AA$3:$AA$5,$AD$3:$AD$5)-ABS(XLOOKUP($C257,$Q$3:$Q$16,$R$3:$R$16)))*$B257,-5)</f>
        <v>35700000</v>
      </c>
      <c r="L257" s="17">
        <f t="shared" si="770"/>
        <v>86600000</v>
      </c>
      <c r="M257" s="17">
        <f t="shared" si="770"/>
        <v>93500000</v>
      </c>
    </row>
    <row r="258">
      <c r="A258" s="14" t="s">
        <v>298</v>
      </c>
      <c r="B258" s="14">
        <v>127.0</v>
      </c>
      <c r="C258" s="15">
        <f t="shared" si="4"/>
        <v>11</v>
      </c>
      <c r="D258" s="14" t="s">
        <v>36</v>
      </c>
      <c r="E258" s="16">
        <f t="shared" ref="E258:G258" si="771">ROUNDUP((XLOOKUP($D258,$T$3:$T$10,$U$3:$U$10)*XLOOKUP(E$2,$AA$3:$AA$5,$AB$3:$AB$5)-ABS(XLOOKUP($C258,$Q$3:$Q$16,$R$3:$R$16)))*$B258,-5)</f>
        <v>33300000</v>
      </c>
      <c r="F258" s="16">
        <f t="shared" si="771"/>
        <v>57300000</v>
      </c>
      <c r="G258" s="16">
        <f t="shared" si="771"/>
        <v>62200000</v>
      </c>
      <c r="H258" s="17">
        <f t="shared" ref="H258:J258" si="772">roundup((XLOOKUP($D258,$T$3:$T$10,$U$3:$U$10)*XLOOKUP(H$2,$AA$3:$AA$5,$AC$3:$AC$5)-ABS(XLOOKUP($C258,$Q$3:$Q$16,$R$3:$R$16)))*$B258,-5)</f>
        <v>27900000</v>
      </c>
      <c r="I258" s="17">
        <f t="shared" si="772"/>
        <v>70300000</v>
      </c>
      <c r="J258" s="17">
        <f t="shared" si="772"/>
        <v>76100000</v>
      </c>
      <c r="K258" s="17">
        <f t="shared" ref="K258:M258" si="773">roundup((XLOOKUP($D258,$T$3:$T$10,$U$3:$U$10)*XLOOKUP(K$2,$AA$3:$AA$5,$AD$3:$AD$5)-ABS(XLOOKUP($C258,$Q$3:$Q$16,$R$3:$R$16)))*$B258,-5)</f>
        <v>32600000</v>
      </c>
      <c r="L258" s="17">
        <f t="shared" si="773"/>
        <v>79100000</v>
      </c>
      <c r="M258" s="17">
        <f t="shared" si="773"/>
        <v>85500000</v>
      </c>
    </row>
    <row r="259">
      <c r="A259" s="14" t="s">
        <v>299</v>
      </c>
      <c r="B259" s="14">
        <v>92.0</v>
      </c>
      <c r="C259" s="15">
        <f t="shared" si="4"/>
        <v>11</v>
      </c>
      <c r="D259" s="14" t="s">
        <v>36</v>
      </c>
      <c r="E259" s="16">
        <f t="shared" ref="E259:G259" si="774">ROUNDUP((XLOOKUP($D259,$T$3:$T$10,$U$3:$U$10)*XLOOKUP(E$2,$AA$3:$AA$5,$AB$3:$AB$5)-ABS(XLOOKUP($C259,$Q$3:$Q$16,$R$3:$R$16)))*$B259,-5)</f>
        <v>24200000</v>
      </c>
      <c r="F259" s="16">
        <f t="shared" si="774"/>
        <v>41500000</v>
      </c>
      <c r="G259" s="16">
        <f t="shared" si="774"/>
        <v>45100000</v>
      </c>
      <c r="H259" s="17">
        <f t="shared" ref="H259:J259" si="775">roundup((XLOOKUP($D259,$T$3:$T$10,$U$3:$U$10)*XLOOKUP(H$2,$AA$3:$AA$5,$AC$3:$AC$5)-ABS(XLOOKUP($C259,$Q$3:$Q$16,$R$3:$R$16)))*$B259,-5)</f>
        <v>20200000</v>
      </c>
      <c r="I259" s="17">
        <f t="shared" si="775"/>
        <v>50900000</v>
      </c>
      <c r="J259" s="17">
        <f t="shared" si="775"/>
        <v>55100000</v>
      </c>
      <c r="K259" s="17">
        <f t="shared" ref="K259:M259" si="776">roundup((XLOOKUP($D259,$T$3:$T$10,$U$3:$U$10)*XLOOKUP(K$2,$AA$3:$AA$5,$AD$3:$AD$5)-ABS(XLOOKUP($C259,$Q$3:$Q$16,$R$3:$R$16)))*$B259,-5)</f>
        <v>23600000</v>
      </c>
      <c r="L259" s="17">
        <f t="shared" si="776"/>
        <v>57300000</v>
      </c>
      <c r="M259" s="17">
        <f t="shared" si="776"/>
        <v>61900000</v>
      </c>
    </row>
    <row r="260">
      <c r="A260" s="14" t="s">
        <v>300</v>
      </c>
      <c r="B260" s="14">
        <v>216.0</v>
      </c>
      <c r="C260" s="15">
        <f t="shared" si="4"/>
        <v>13</v>
      </c>
      <c r="D260" s="14" t="s">
        <v>36</v>
      </c>
      <c r="E260" s="16">
        <f t="shared" ref="E260:G260" si="777">ROUNDUP((XLOOKUP($D260,$T$3:$T$10,$U$3:$U$10)*XLOOKUP(E$2,$AA$3:$AA$5,$AB$3:$AB$5)-ABS(XLOOKUP($C260,$Q$3:$Q$16,$R$3:$R$16)))*$B260,-5)</f>
        <v>52400000</v>
      </c>
      <c r="F260" s="16">
        <f t="shared" si="777"/>
        <v>93000000</v>
      </c>
      <c r="G260" s="16">
        <f t="shared" si="777"/>
        <v>101500000</v>
      </c>
      <c r="H260" s="17">
        <f t="shared" ref="H260:J260" si="778">roundup((XLOOKUP($D260,$T$3:$T$10,$U$3:$U$10)*XLOOKUP(H$2,$AA$3:$AA$5,$AC$3:$AC$5)-ABS(XLOOKUP($C260,$Q$3:$Q$16,$R$3:$R$16)))*$B260,-5)</f>
        <v>43100000</v>
      </c>
      <c r="I260" s="17">
        <f t="shared" si="778"/>
        <v>115200000</v>
      </c>
      <c r="J260" s="17">
        <f t="shared" si="778"/>
        <v>125000000</v>
      </c>
      <c r="K260" s="17">
        <f t="shared" ref="K260:M260" si="779">roundup((XLOOKUP($D260,$T$3:$T$10,$U$3:$U$10)*XLOOKUP(K$2,$AA$3:$AA$5,$AD$3:$AD$5)-ABS(XLOOKUP($C260,$Q$3:$Q$16,$R$3:$R$16)))*$B260,-5)</f>
        <v>51100000</v>
      </c>
      <c r="L260" s="17">
        <f t="shared" si="779"/>
        <v>130200000</v>
      </c>
      <c r="M260" s="17">
        <f t="shared" si="779"/>
        <v>141000000</v>
      </c>
    </row>
    <row r="261">
      <c r="A261" s="14" t="s">
        <v>301</v>
      </c>
      <c r="B261" s="14">
        <v>277.0</v>
      </c>
      <c r="C261" s="15">
        <f t="shared" si="4"/>
        <v>14</v>
      </c>
      <c r="D261" s="14" t="s">
        <v>36</v>
      </c>
      <c r="E261" s="16">
        <f t="shared" ref="E261:G261" si="780">ROUNDUP((XLOOKUP($D261,$T$3:$T$10,$U$3:$U$10)*XLOOKUP(E$2,$AA$3:$AA$5,$AB$3:$AB$5)-ABS(XLOOKUP($C261,$Q$3:$Q$16,$R$3:$R$16)))*$B261,-5)</f>
        <v>64600000</v>
      </c>
      <c r="F261" s="16">
        <f t="shared" si="780"/>
        <v>116800000</v>
      </c>
      <c r="G261" s="16">
        <f t="shared" si="780"/>
        <v>127600000</v>
      </c>
      <c r="H261" s="17">
        <f t="shared" ref="H261:J261" si="781">roundup((XLOOKUP($D261,$T$3:$T$10,$U$3:$U$10)*XLOOKUP(H$2,$AA$3:$AA$5,$AC$3:$AC$5)-ABS(XLOOKUP($C261,$Q$3:$Q$16,$R$3:$R$16)))*$B261,-5)</f>
        <v>52800000</v>
      </c>
      <c r="I261" s="17">
        <f t="shared" si="781"/>
        <v>145200000</v>
      </c>
      <c r="J261" s="17">
        <f t="shared" si="781"/>
        <v>157800000</v>
      </c>
      <c r="K261" s="17">
        <f t="shared" ref="K261:M261" si="782">roundup((XLOOKUP($D261,$T$3:$T$10,$U$3:$U$10)*XLOOKUP(K$2,$AA$3:$AA$5,$AD$3:$AD$5)-ABS(XLOOKUP($C261,$Q$3:$Q$16,$R$3:$R$16)))*$B261,-5)</f>
        <v>63000000</v>
      </c>
      <c r="L261" s="17">
        <f t="shared" si="782"/>
        <v>164500000</v>
      </c>
      <c r="M261" s="17">
        <f t="shared" si="782"/>
        <v>178300000</v>
      </c>
    </row>
    <row r="262">
      <c r="A262" s="14" t="s">
        <v>302</v>
      </c>
      <c r="B262" s="14">
        <v>129.0</v>
      </c>
      <c r="C262" s="15">
        <f t="shared" si="4"/>
        <v>11</v>
      </c>
      <c r="D262" s="14" t="s">
        <v>33</v>
      </c>
      <c r="E262" s="16">
        <f t="shared" ref="E262:G262" si="783">ROUNDUP((XLOOKUP($D262,$T$3:$T$10,$U$3:$U$10)*XLOOKUP(E$2,$AA$3:$AA$5,$AB$3:$AB$5)-ABS(XLOOKUP($C262,$Q$3:$Q$16,$R$3:$R$16)))*$B262,-5)</f>
        <v>28000000</v>
      </c>
      <c r="F262" s="16">
        <f t="shared" si="783"/>
        <v>49700000</v>
      </c>
      <c r="G262" s="16">
        <f t="shared" si="783"/>
        <v>54200000</v>
      </c>
      <c r="H262" s="17">
        <f t="shared" ref="H262:J262" si="784">roundup((XLOOKUP($D262,$T$3:$T$10,$U$3:$U$10)*XLOOKUP(H$2,$AA$3:$AA$5,$AC$3:$AC$5)-ABS(XLOOKUP($C262,$Q$3:$Q$16,$R$3:$R$16)))*$B262,-5)</f>
        <v>23100000</v>
      </c>
      <c r="I262" s="17">
        <f t="shared" si="784"/>
        <v>61500000</v>
      </c>
      <c r="J262" s="17">
        <f t="shared" si="784"/>
        <v>66700000</v>
      </c>
      <c r="K262" s="17">
        <f t="shared" ref="K262:M262" si="785">roundup((XLOOKUP($D262,$T$3:$T$10,$U$3:$U$10)*XLOOKUP(K$2,$AA$3:$AA$5,$AD$3:$AD$5)-ABS(XLOOKUP($C262,$Q$3:$Q$16,$R$3:$R$16)))*$B262,-5)</f>
        <v>27300000</v>
      </c>
      <c r="L262" s="17">
        <f t="shared" si="785"/>
        <v>69500000</v>
      </c>
      <c r="M262" s="17">
        <f t="shared" si="785"/>
        <v>75200000</v>
      </c>
    </row>
    <row r="263">
      <c r="A263" s="14" t="s">
        <v>303</v>
      </c>
      <c r="B263" s="14">
        <v>185.0</v>
      </c>
      <c r="C263" s="15">
        <f t="shared" si="4"/>
        <v>13</v>
      </c>
      <c r="D263" s="14" t="s">
        <v>36</v>
      </c>
      <c r="E263" s="16">
        <f t="shared" ref="E263:G263" si="786">ROUNDUP((XLOOKUP($D263,$T$3:$T$10,$U$3:$U$10)*XLOOKUP(E$2,$AA$3:$AA$5,$AB$3:$AB$5)-ABS(XLOOKUP($C263,$Q$3:$Q$16,$R$3:$R$16)))*$B263,-5)</f>
        <v>44900000</v>
      </c>
      <c r="F263" s="16">
        <f t="shared" si="786"/>
        <v>79700000</v>
      </c>
      <c r="G263" s="16">
        <f t="shared" si="786"/>
        <v>86900000</v>
      </c>
      <c r="H263" s="17">
        <f t="shared" ref="H263:J263" si="787">roundup((XLOOKUP($D263,$T$3:$T$10,$U$3:$U$10)*XLOOKUP(H$2,$AA$3:$AA$5,$AC$3:$AC$5)-ABS(XLOOKUP($C263,$Q$3:$Q$16,$R$3:$R$16)))*$B263,-5)</f>
        <v>36900000</v>
      </c>
      <c r="I263" s="17">
        <f t="shared" si="787"/>
        <v>98700000</v>
      </c>
      <c r="J263" s="17">
        <f t="shared" si="787"/>
        <v>107100000</v>
      </c>
      <c r="K263" s="17">
        <f t="shared" ref="K263:M263" si="788">roundup((XLOOKUP($D263,$T$3:$T$10,$U$3:$U$10)*XLOOKUP(K$2,$AA$3:$AA$5,$AD$3:$AD$5)-ABS(XLOOKUP($C263,$Q$3:$Q$16,$R$3:$R$16)))*$B263,-5)</f>
        <v>43800000</v>
      </c>
      <c r="L263" s="17">
        <f t="shared" si="788"/>
        <v>111500000</v>
      </c>
      <c r="M263" s="17">
        <f t="shared" si="788"/>
        <v>120800000</v>
      </c>
    </row>
    <row r="264">
      <c r="A264" s="14" t="s">
        <v>304</v>
      </c>
      <c r="B264" s="14">
        <v>100.0</v>
      </c>
      <c r="C264" s="15">
        <f t="shared" si="4"/>
        <v>11</v>
      </c>
      <c r="D264" s="14" t="s">
        <v>33</v>
      </c>
      <c r="E264" s="16">
        <f t="shared" ref="E264:G264" si="789">ROUNDUP((XLOOKUP($D264,$T$3:$T$10,$U$3:$U$10)*XLOOKUP(E$2,$AA$3:$AA$5,$AB$3:$AB$5)-ABS(XLOOKUP($C264,$Q$3:$Q$16,$R$3:$R$16)))*$B264,-5)</f>
        <v>21700000</v>
      </c>
      <c r="F264" s="16">
        <f t="shared" si="789"/>
        <v>38500000</v>
      </c>
      <c r="G264" s="16">
        <f t="shared" si="789"/>
        <v>42000000</v>
      </c>
      <c r="H264" s="17">
        <f t="shared" ref="H264:J264" si="790">roundup((XLOOKUP($D264,$T$3:$T$10,$U$3:$U$10)*XLOOKUP(H$2,$AA$3:$AA$5,$AC$3:$AC$5)-ABS(XLOOKUP($C264,$Q$3:$Q$16,$R$3:$R$16)))*$B264,-5)</f>
        <v>17900000</v>
      </c>
      <c r="I264" s="17">
        <f t="shared" si="790"/>
        <v>47700000</v>
      </c>
      <c r="J264" s="17">
        <f t="shared" si="790"/>
        <v>51700000</v>
      </c>
      <c r="K264" s="17">
        <f t="shared" ref="K264:M264" si="791">roundup((XLOOKUP($D264,$T$3:$T$10,$U$3:$U$10)*XLOOKUP(K$2,$AA$3:$AA$5,$AD$3:$AD$5)-ABS(XLOOKUP($C264,$Q$3:$Q$16,$R$3:$R$16)))*$B264,-5)</f>
        <v>21200000</v>
      </c>
      <c r="L264" s="17">
        <f t="shared" si="791"/>
        <v>53900000</v>
      </c>
      <c r="M264" s="17">
        <f t="shared" si="791"/>
        <v>58300000</v>
      </c>
    </row>
    <row r="265">
      <c r="A265" s="14" t="s">
        <v>305</v>
      </c>
      <c r="B265" s="14">
        <v>85.0</v>
      </c>
      <c r="C265" s="15">
        <f t="shared" si="4"/>
        <v>11</v>
      </c>
      <c r="D265" s="14" t="s">
        <v>36</v>
      </c>
      <c r="E265" s="16">
        <f t="shared" ref="E265:G265" si="792">ROUNDUP((XLOOKUP($D265,$T$3:$T$10,$U$3:$U$10)*XLOOKUP(E$2,$AA$3:$AA$5,$AB$3:$AB$5)-ABS(XLOOKUP($C265,$Q$3:$Q$16,$R$3:$R$16)))*$B265,-5)</f>
        <v>22300000</v>
      </c>
      <c r="F265" s="16">
        <f t="shared" si="792"/>
        <v>38300000</v>
      </c>
      <c r="G265" s="16">
        <f t="shared" si="792"/>
        <v>41700000</v>
      </c>
      <c r="H265" s="17">
        <f t="shared" ref="H265:J265" si="793">roundup((XLOOKUP($D265,$T$3:$T$10,$U$3:$U$10)*XLOOKUP(H$2,$AA$3:$AA$5,$AC$3:$AC$5)-ABS(XLOOKUP($C265,$Q$3:$Q$16,$R$3:$R$16)))*$B265,-5)</f>
        <v>18700000</v>
      </c>
      <c r="I265" s="17">
        <f t="shared" si="793"/>
        <v>47100000</v>
      </c>
      <c r="J265" s="17">
        <f t="shared" si="793"/>
        <v>50900000</v>
      </c>
      <c r="K265" s="17">
        <f t="shared" ref="K265:M265" si="794">roundup((XLOOKUP($D265,$T$3:$T$10,$U$3:$U$10)*XLOOKUP(K$2,$AA$3:$AA$5,$AD$3:$AD$5)-ABS(XLOOKUP($C265,$Q$3:$Q$16,$R$3:$R$16)))*$B265,-5)</f>
        <v>21800000</v>
      </c>
      <c r="L265" s="17">
        <f t="shared" si="794"/>
        <v>53000000</v>
      </c>
      <c r="M265" s="17">
        <f t="shared" si="794"/>
        <v>57200000</v>
      </c>
    </row>
    <row r="266">
      <c r="A266" s="14" t="s">
        <v>306</v>
      </c>
      <c r="B266" s="14">
        <v>221.0</v>
      </c>
      <c r="C266" s="15">
        <f t="shared" si="4"/>
        <v>14</v>
      </c>
      <c r="D266" s="14" t="s">
        <v>36</v>
      </c>
      <c r="E266" s="16">
        <f t="shared" ref="E266:G266" si="795">ROUNDUP((XLOOKUP($D266,$T$3:$T$10,$U$3:$U$10)*XLOOKUP(E$2,$AA$3:$AA$5,$AB$3:$AB$5)-ABS(XLOOKUP($C266,$Q$3:$Q$16,$R$3:$R$16)))*$B266,-5)</f>
        <v>51600000</v>
      </c>
      <c r="F266" s="16">
        <f t="shared" si="795"/>
        <v>93200000</v>
      </c>
      <c r="G266" s="16">
        <f t="shared" si="795"/>
        <v>101800000</v>
      </c>
      <c r="H266" s="17">
        <f t="shared" ref="H266:J266" si="796">roundup((XLOOKUP($D266,$T$3:$T$10,$U$3:$U$10)*XLOOKUP(H$2,$AA$3:$AA$5,$AC$3:$AC$5)-ABS(XLOOKUP($C266,$Q$3:$Q$16,$R$3:$R$16)))*$B266,-5)</f>
        <v>42100000</v>
      </c>
      <c r="I266" s="17">
        <f t="shared" si="796"/>
        <v>115900000</v>
      </c>
      <c r="J266" s="17">
        <f t="shared" si="796"/>
        <v>125900000</v>
      </c>
      <c r="K266" s="17">
        <f t="shared" ref="K266:M266" si="797">roundup((XLOOKUP($D266,$T$3:$T$10,$U$3:$U$10)*XLOOKUP(K$2,$AA$3:$AA$5,$AD$3:$AD$5)-ABS(XLOOKUP($C266,$Q$3:$Q$16,$R$3:$R$16)))*$B266,-5)</f>
        <v>50300000</v>
      </c>
      <c r="L266" s="17">
        <f t="shared" si="797"/>
        <v>131200000</v>
      </c>
      <c r="M266" s="17">
        <f t="shared" si="797"/>
        <v>142300000</v>
      </c>
    </row>
    <row r="267">
      <c r="A267" s="14" t="s">
        <v>307</v>
      </c>
      <c r="B267" s="14">
        <v>77.0</v>
      </c>
      <c r="C267" s="15">
        <f t="shared" si="4"/>
        <v>10</v>
      </c>
      <c r="D267" s="14" t="s">
        <v>33</v>
      </c>
      <c r="E267" s="16">
        <f t="shared" ref="E267:G267" si="798">ROUNDUP((XLOOKUP($D267,$T$3:$T$10,$U$3:$U$10)*XLOOKUP(E$2,$AA$3:$AA$5,$AB$3:$AB$5)-ABS(XLOOKUP($C267,$Q$3:$Q$16,$R$3:$R$16)))*$B267,-5)</f>
        <v>19000000</v>
      </c>
      <c r="F267" s="16">
        <f t="shared" si="798"/>
        <v>32000000</v>
      </c>
      <c r="G267" s="16">
        <f t="shared" si="798"/>
        <v>34700000</v>
      </c>
      <c r="H267" s="17">
        <f t="shared" ref="H267:J267" si="799">roundup((XLOOKUP($D267,$T$3:$T$10,$U$3:$U$10)*XLOOKUP(H$2,$AA$3:$AA$5,$AC$3:$AC$5)-ABS(XLOOKUP($C267,$Q$3:$Q$16,$R$3:$R$16)))*$B267,-5)</f>
        <v>16100000</v>
      </c>
      <c r="I267" s="17">
        <f t="shared" si="799"/>
        <v>39000000</v>
      </c>
      <c r="J267" s="17">
        <f t="shared" si="799"/>
        <v>42200000</v>
      </c>
      <c r="K267" s="17">
        <f t="shared" ref="K267:M267" si="800">roundup((XLOOKUP($D267,$T$3:$T$10,$U$3:$U$10)*XLOOKUP(K$2,$AA$3:$AA$5,$AD$3:$AD$5)-ABS(XLOOKUP($C267,$Q$3:$Q$16,$R$3:$R$16)))*$B267,-5)</f>
        <v>18600000</v>
      </c>
      <c r="L267" s="17">
        <f t="shared" si="800"/>
        <v>43800000</v>
      </c>
      <c r="M267" s="17">
        <f t="shared" si="800"/>
        <v>47200000</v>
      </c>
    </row>
    <row r="268">
      <c r="A268" s="14" t="s">
        <v>308</v>
      </c>
      <c r="B268" s="14">
        <v>72.0</v>
      </c>
      <c r="C268" s="15">
        <f t="shared" si="4"/>
        <v>9</v>
      </c>
      <c r="D268" s="14" t="s">
        <v>36</v>
      </c>
      <c r="E268" s="16">
        <f t="shared" ref="E268:G268" si="801">ROUNDUP((XLOOKUP($D268,$T$3:$T$10,$U$3:$U$10)*XLOOKUP(E$2,$AA$3:$AA$5,$AB$3:$AB$5)-ABS(XLOOKUP($C268,$Q$3:$Q$16,$R$3:$R$16)))*$B268,-5)</f>
        <v>25500000</v>
      </c>
      <c r="F268" s="16">
        <f t="shared" si="801"/>
        <v>39000000</v>
      </c>
      <c r="G268" s="16">
        <f t="shared" si="801"/>
        <v>41800000</v>
      </c>
      <c r="H268" s="17">
        <f t="shared" ref="H268:J268" si="802">roundup((XLOOKUP($D268,$T$3:$T$10,$U$3:$U$10)*XLOOKUP(H$2,$AA$3:$AA$5,$AC$3:$AC$5)-ABS(XLOOKUP($C268,$Q$3:$Q$16,$R$3:$R$16)))*$B268,-5)</f>
        <v>22400000</v>
      </c>
      <c r="I268" s="17">
        <f t="shared" si="802"/>
        <v>46400000</v>
      </c>
      <c r="J268" s="17">
        <f t="shared" si="802"/>
        <v>49700000</v>
      </c>
      <c r="K268" s="17">
        <f t="shared" ref="K268:M268" si="803">roundup((XLOOKUP($D268,$T$3:$T$10,$U$3:$U$10)*XLOOKUP(K$2,$AA$3:$AA$5,$AD$3:$AD$5)-ABS(XLOOKUP($C268,$Q$3:$Q$16,$R$3:$R$16)))*$B268,-5)</f>
        <v>25100000</v>
      </c>
      <c r="L268" s="17">
        <f t="shared" si="803"/>
        <v>51400000</v>
      </c>
      <c r="M268" s="17">
        <f t="shared" si="803"/>
        <v>55000000</v>
      </c>
    </row>
    <row r="269">
      <c r="A269" s="14" t="s">
        <v>309</v>
      </c>
      <c r="B269" s="14">
        <v>150.0</v>
      </c>
      <c r="C269" s="15">
        <f t="shared" si="4"/>
        <v>11</v>
      </c>
      <c r="D269" s="14" t="s">
        <v>33</v>
      </c>
      <c r="E269" s="16">
        <f t="shared" ref="E269:G269" si="804">ROUNDUP((XLOOKUP($D269,$T$3:$T$10,$U$3:$U$10)*XLOOKUP(E$2,$AA$3:$AA$5,$AB$3:$AB$5)-ABS(XLOOKUP($C269,$Q$3:$Q$16,$R$3:$R$16)))*$B269,-5)</f>
        <v>32600000</v>
      </c>
      <c r="F269" s="16">
        <f t="shared" si="804"/>
        <v>57800000</v>
      </c>
      <c r="G269" s="16">
        <f t="shared" si="804"/>
        <v>63000000</v>
      </c>
      <c r="H269" s="17">
        <f t="shared" ref="H269:J269" si="805">roundup((XLOOKUP($D269,$T$3:$T$10,$U$3:$U$10)*XLOOKUP(H$2,$AA$3:$AA$5,$AC$3:$AC$5)-ABS(XLOOKUP($C269,$Q$3:$Q$16,$R$3:$R$16)))*$B269,-5)</f>
        <v>26800000</v>
      </c>
      <c r="I269" s="17">
        <f t="shared" si="805"/>
        <v>71500000</v>
      </c>
      <c r="J269" s="17">
        <f t="shared" si="805"/>
        <v>77600000</v>
      </c>
      <c r="K269" s="17">
        <f t="shared" ref="K269:M269" si="806">roundup((XLOOKUP($D269,$T$3:$T$10,$U$3:$U$10)*XLOOKUP(K$2,$AA$3:$AA$5,$AD$3:$AD$5)-ABS(XLOOKUP($C269,$Q$3:$Q$16,$R$3:$R$16)))*$B269,-5)</f>
        <v>31800000</v>
      </c>
      <c r="L269" s="17">
        <f t="shared" si="806"/>
        <v>80800000</v>
      </c>
      <c r="M269" s="17">
        <f t="shared" si="806"/>
        <v>87500000</v>
      </c>
    </row>
    <row r="270">
      <c r="A270" s="14" t="s">
        <v>310</v>
      </c>
      <c r="B270" s="14">
        <v>158.0</v>
      </c>
      <c r="C270" s="15">
        <f t="shared" si="4"/>
        <v>11</v>
      </c>
      <c r="D270" s="14" t="s">
        <v>36</v>
      </c>
      <c r="E270" s="16">
        <f t="shared" ref="E270:G270" si="807">ROUNDUP((XLOOKUP($D270,$T$3:$T$10,$U$3:$U$10)*XLOOKUP(E$2,$AA$3:$AA$5,$AB$3:$AB$5)-ABS(XLOOKUP($C270,$Q$3:$Q$16,$R$3:$R$16)))*$B270,-5)</f>
        <v>41500000</v>
      </c>
      <c r="F270" s="16">
        <f t="shared" si="807"/>
        <v>71200000</v>
      </c>
      <c r="G270" s="16">
        <f t="shared" si="807"/>
        <v>77400000</v>
      </c>
      <c r="H270" s="17">
        <f t="shared" ref="H270:J270" si="808">roundup((XLOOKUP($D270,$T$3:$T$10,$U$3:$U$10)*XLOOKUP(H$2,$AA$3:$AA$5,$AC$3:$AC$5)-ABS(XLOOKUP($C270,$Q$3:$Q$16,$R$3:$R$16)))*$B270,-5)</f>
        <v>34700000</v>
      </c>
      <c r="I270" s="17">
        <f t="shared" si="808"/>
        <v>87400000</v>
      </c>
      <c r="J270" s="17">
        <f t="shared" si="808"/>
        <v>94600000</v>
      </c>
      <c r="K270" s="17">
        <f t="shared" ref="K270:M270" si="809">roundup((XLOOKUP($D270,$T$3:$T$10,$U$3:$U$10)*XLOOKUP(K$2,$AA$3:$AA$5,$AD$3:$AD$5)-ABS(XLOOKUP($C270,$Q$3:$Q$16,$R$3:$R$16)))*$B270,-5)</f>
        <v>40600000</v>
      </c>
      <c r="L270" s="17">
        <f t="shared" si="809"/>
        <v>98400000</v>
      </c>
      <c r="M270" s="17">
        <f t="shared" si="809"/>
        <v>106300000</v>
      </c>
    </row>
    <row r="271">
      <c r="A271" s="14" t="s">
        <v>311</v>
      </c>
      <c r="B271" s="14">
        <v>221.0</v>
      </c>
      <c r="C271" s="15">
        <f t="shared" si="4"/>
        <v>14</v>
      </c>
      <c r="D271" s="14" t="s">
        <v>36</v>
      </c>
      <c r="E271" s="16">
        <f t="shared" ref="E271:G271" si="810">ROUNDUP((XLOOKUP($D271,$T$3:$T$10,$U$3:$U$10)*XLOOKUP(E$2,$AA$3:$AA$5,$AB$3:$AB$5)-ABS(XLOOKUP($C271,$Q$3:$Q$16,$R$3:$R$16)))*$B271,-5)</f>
        <v>51600000</v>
      </c>
      <c r="F271" s="16">
        <f t="shared" si="810"/>
        <v>93200000</v>
      </c>
      <c r="G271" s="16">
        <f t="shared" si="810"/>
        <v>101800000</v>
      </c>
      <c r="H271" s="17">
        <f t="shared" ref="H271:J271" si="811">roundup((XLOOKUP($D271,$T$3:$T$10,$U$3:$U$10)*XLOOKUP(H$2,$AA$3:$AA$5,$AC$3:$AC$5)-ABS(XLOOKUP($C271,$Q$3:$Q$16,$R$3:$R$16)))*$B271,-5)</f>
        <v>42100000</v>
      </c>
      <c r="I271" s="17">
        <f t="shared" si="811"/>
        <v>115900000</v>
      </c>
      <c r="J271" s="17">
        <f t="shared" si="811"/>
        <v>125900000</v>
      </c>
      <c r="K271" s="17">
        <f t="shared" ref="K271:M271" si="812">roundup((XLOOKUP($D271,$T$3:$T$10,$U$3:$U$10)*XLOOKUP(K$2,$AA$3:$AA$5,$AD$3:$AD$5)-ABS(XLOOKUP($C271,$Q$3:$Q$16,$R$3:$R$16)))*$B271,-5)</f>
        <v>50300000</v>
      </c>
      <c r="L271" s="17">
        <f t="shared" si="812"/>
        <v>131200000</v>
      </c>
      <c r="M271" s="17">
        <f t="shared" si="812"/>
        <v>142300000</v>
      </c>
    </row>
    <row r="272">
      <c r="A272" s="14" t="s">
        <v>312</v>
      </c>
      <c r="B272" s="14">
        <v>180.0</v>
      </c>
      <c r="C272" s="15">
        <f t="shared" si="4"/>
        <v>12</v>
      </c>
      <c r="D272" s="14" t="s">
        <v>33</v>
      </c>
      <c r="E272" s="16">
        <f t="shared" ref="E272:G272" si="813">ROUNDUP((XLOOKUP($D272,$T$3:$T$10,$U$3:$U$10)*XLOOKUP(E$2,$AA$3:$AA$5,$AB$3:$AB$5)-ABS(XLOOKUP($C272,$Q$3:$Q$16,$R$3:$R$16)))*$B272,-5)</f>
        <v>38200000</v>
      </c>
      <c r="F272" s="16">
        <f t="shared" si="813"/>
        <v>68400000</v>
      </c>
      <c r="G272" s="16">
        <f t="shared" si="813"/>
        <v>74700000</v>
      </c>
      <c r="H272" s="17">
        <f t="shared" ref="H272:J272" si="814">roundup((XLOOKUP($D272,$T$3:$T$10,$U$3:$U$10)*XLOOKUP(H$2,$AA$3:$AA$5,$AC$3:$AC$5)-ABS(XLOOKUP($C272,$Q$3:$Q$16,$R$3:$R$16)))*$B272,-5)</f>
        <v>31300000</v>
      </c>
      <c r="I272" s="17">
        <f t="shared" si="814"/>
        <v>84900000</v>
      </c>
      <c r="J272" s="17">
        <f t="shared" si="814"/>
        <v>92200000</v>
      </c>
      <c r="K272" s="17">
        <f t="shared" ref="K272:M272" si="815">roundup((XLOOKUP($D272,$T$3:$T$10,$U$3:$U$10)*XLOOKUP(K$2,$AA$3:$AA$5,$AD$3:$AD$5)-ABS(XLOOKUP($C272,$Q$3:$Q$16,$R$3:$R$16)))*$B272,-5)</f>
        <v>37200000</v>
      </c>
      <c r="L272" s="17">
        <f t="shared" si="815"/>
        <v>96000000</v>
      </c>
      <c r="M272" s="17">
        <f t="shared" si="815"/>
        <v>104100000</v>
      </c>
    </row>
    <row r="273">
      <c r="A273" s="14" t="s">
        <v>313</v>
      </c>
      <c r="B273" s="14">
        <v>171.0</v>
      </c>
      <c r="C273" s="15">
        <f t="shared" si="4"/>
        <v>12</v>
      </c>
      <c r="D273" s="14" t="s">
        <v>36</v>
      </c>
      <c r="E273" s="16">
        <f t="shared" ref="E273:G273" si="816">ROUNDUP((XLOOKUP($D273,$T$3:$T$10,$U$3:$U$10)*XLOOKUP(E$2,$AA$3:$AA$5,$AB$3:$AB$5)-ABS(XLOOKUP($C273,$Q$3:$Q$16,$R$3:$R$16)))*$B273,-5)</f>
        <v>44000000</v>
      </c>
      <c r="F273" s="16">
        <f t="shared" si="816"/>
        <v>76200000</v>
      </c>
      <c r="G273" s="16">
        <f t="shared" si="816"/>
        <v>82900000</v>
      </c>
      <c r="H273" s="17">
        <f t="shared" ref="H273:J273" si="817">roundup((XLOOKUP($D273,$T$3:$T$10,$U$3:$U$10)*XLOOKUP(H$2,$AA$3:$AA$5,$AC$3:$AC$5)-ABS(XLOOKUP($C273,$Q$3:$Q$16,$R$3:$R$16)))*$B273,-5)</f>
        <v>36700000</v>
      </c>
      <c r="I273" s="17">
        <f t="shared" si="817"/>
        <v>93800000</v>
      </c>
      <c r="J273" s="17">
        <f t="shared" si="817"/>
        <v>101600000</v>
      </c>
      <c r="K273" s="17">
        <f t="shared" ref="K273:M273" si="818">roundup((XLOOKUP($D273,$T$3:$T$10,$U$3:$U$10)*XLOOKUP(K$2,$AA$3:$AA$5,$AD$3:$AD$5)-ABS(XLOOKUP($C273,$Q$3:$Q$16,$R$3:$R$16)))*$B273,-5)</f>
        <v>43000000</v>
      </c>
      <c r="L273" s="17">
        <f t="shared" si="818"/>
        <v>105700000</v>
      </c>
      <c r="M273" s="17">
        <f t="shared" si="818"/>
        <v>114200000</v>
      </c>
    </row>
    <row r="274">
      <c r="A274" s="14" t="s">
        <v>314</v>
      </c>
      <c r="B274" s="14">
        <v>180.0</v>
      </c>
      <c r="C274" s="15">
        <f t="shared" si="4"/>
        <v>12</v>
      </c>
      <c r="D274" s="14" t="s">
        <v>33</v>
      </c>
      <c r="E274" s="16">
        <f t="shared" ref="E274:G274" si="819">ROUNDUP((XLOOKUP($D274,$T$3:$T$10,$U$3:$U$10)*XLOOKUP(E$2,$AA$3:$AA$5,$AB$3:$AB$5)-ABS(XLOOKUP($C274,$Q$3:$Q$16,$R$3:$R$16)))*$B274,-5)</f>
        <v>38200000</v>
      </c>
      <c r="F274" s="16">
        <f t="shared" si="819"/>
        <v>68400000</v>
      </c>
      <c r="G274" s="16">
        <f t="shared" si="819"/>
        <v>74700000</v>
      </c>
      <c r="H274" s="17">
        <f t="shared" ref="H274:J274" si="820">roundup((XLOOKUP($D274,$T$3:$T$10,$U$3:$U$10)*XLOOKUP(H$2,$AA$3:$AA$5,$AC$3:$AC$5)-ABS(XLOOKUP($C274,$Q$3:$Q$16,$R$3:$R$16)))*$B274,-5)</f>
        <v>31300000</v>
      </c>
      <c r="I274" s="17">
        <f t="shared" si="820"/>
        <v>84900000</v>
      </c>
      <c r="J274" s="17">
        <f t="shared" si="820"/>
        <v>92200000</v>
      </c>
      <c r="K274" s="17">
        <f t="shared" ref="K274:M274" si="821">roundup((XLOOKUP($D274,$T$3:$T$10,$U$3:$U$10)*XLOOKUP(K$2,$AA$3:$AA$5,$AD$3:$AD$5)-ABS(XLOOKUP($C274,$Q$3:$Q$16,$R$3:$R$16)))*$B274,-5)</f>
        <v>37200000</v>
      </c>
      <c r="L274" s="17">
        <f t="shared" si="821"/>
        <v>96000000</v>
      </c>
      <c r="M274" s="17">
        <f t="shared" si="821"/>
        <v>104100000</v>
      </c>
    </row>
    <row r="275">
      <c r="A275" s="14" t="s">
        <v>315</v>
      </c>
      <c r="B275" s="14">
        <v>254.0</v>
      </c>
      <c r="C275" s="15">
        <f t="shared" si="4"/>
        <v>14</v>
      </c>
      <c r="D275" s="14" t="s">
        <v>36</v>
      </c>
      <c r="E275" s="16">
        <f t="shared" ref="E275:G275" si="822">ROUNDUP((XLOOKUP($D275,$T$3:$T$10,$U$3:$U$10)*XLOOKUP(E$2,$AA$3:$AA$5,$AB$3:$AB$5)-ABS(XLOOKUP($C275,$Q$3:$Q$16,$R$3:$R$16)))*$B275,-5)</f>
        <v>59300000</v>
      </c>
      <c r="F275" s="16">
        <f t="shared" si="822"/>
        <v>107100000</v>
      </c>
      <c r="G275" s="16">
        <f t="shared" si="822"/>
        <v>117000000</v>
      </c>
      <c r="H275" s="17">
        <f t="shared" ref="H275:J275" si="823">roundup((XLOOKUP($D275,$T$3:$T$10,$U$3:$U$10)*XLOOKUP(H$2,$AA$3:$AA$5,$AC$3:$AC$5)-ABS(XLOOKUP($C275,$Q$3:$Q$16,$R$3:$R$16)))*$B275,-5)</f>
        <v>48400000</v>
      </c>
      <c r="I275" s="17">
        <f t="shared" si="823"/>
        <v>133200000</v>
      </c>
      <c r="J275" s="17">
        <f t="shared" si="823"/>
        <v>144700000</v>
      </c>
      <c r="K275" s="17">
        <f t="shared" ref="K275:M275" si="824">roundup((XLOOKUP($D275,$T$3:$T$10,$U$3:$U$10)*XLOOKUP(K$2,$AA$3:$AA$5,$AD$3:$AD$5)-ABS(XLOOKUP($C275,$Q$3:$Q$16,$R$3:$R$16)))*$B275,-5)</f>
        <v>57800000</v>
      </c>
      <c r="L275" s="17">
        <f t="shared" si="824"/>
        <v>150800000</v>
      </c>
      <c r="M275" s="17">
        <f t="shared" si="824"/>
        <v>163500000</v>
      </c>
    </row>
    <row r="276">
      <c r="A276" s="14" t="s">
        <v>316</v>
      </c>
      <c r="B276" s="14">
        <v>205.0</v>
      </c>
      <c r="C276" s="15">
        <f t="shared" si="4"/>
        <v>13</v>
      </c>
      <c r="D276" s="14" t="s">
        <v>33</v>
      </c>
      <c r="E276" s="16">
        <f t="shared" ref="E276:G276" si="825">ROUNDUP((XLOOKUP($D276,$T$3:$T$10,$U$3:$U$10)*XLOOKUP(E$2,$AA$3:$AA$5,$AB$3:$AB$5)-ABS(XLOOKUP($C276,$Q$3:$Q$16,$R$3:$R$16)))*$B276,-5)</f>
        <v>40400000</v>
      </c>
      <c r="F276" s="16">
        <f t="shared" si="825"/>
        <v>74800000</v>
      </c>
      <c r="G276" s="16">
        <f t="shared" si="825"/>
        <v>81900000</v>
      </c>
      <c r="H276" s="17">
        <f t="shared" ref="H276:J276" si="826">roundup((XLOOKUP($D276,$T$3:$T$10,$U$3:$U$10)*XLOOKUP(H$2,$AA$3:$AA$5,$AC$3:$AC$5)-ABS(XLOOKUP($C276,$Q$3:$Q$16,$R$3:$R$16)))*$B276,-5)</f>
        <v>32500000</v>
      </c>
      <c r="I276" s="17">
        <f t="shared" si="826"/>
        <v>93600000</v>
      </c>
      <c r="J276" s="17">
        <f t="shared" si="826"/>
        <v>101900000</v>
      </c>
      <c r="K276" s="17">
        <f t="shared" ref="K276:M276" si="827">roundup((XLOOKUP($D276,$T$3:$T$10,$U$3:$U$10)*XLOOKUP(K$2,$AA$3:$AA$5,$AD$3:$AD$5)-ABS(XLOOKUP($C276,$Q$3:$Q$16,$R$3:$R$16)))*$B276,-5)</f>
        <v>39300000</v>
      </c>
      <c r="L276" s="17">
        <f t="shared" si="827"/>
        <v>106300000</v>
      </c>
      <c r="M276" s="17">
        <f t="shared" si="827"/>
        <v>115400000</v>
      </c>
    </row>
    <row r="277">
      <c r="A277" s="14" t="s">
        <v>317</v>
      </c>
      <c r="B277" s="14">
        <v>216.0</v>
      </c>
      <c r="C277" s="15">
        <f t="shared" si="4"/>
        <v>13</v>
      </c>
      <c r="D277" s="14" t="s">
        <v>33</v>
      </c>
      <c r="E277" s="16">
        <f t="shared" ref="E277:G277" si="828">ROUNDUP((XLOOKUP($D277,$T$3:$T$10,$U$3:$U$10)*XLOOKUP(E$2,$AA$3:$AA$5,$AB$3:$AB$5)-ABS(XLOOKUP($C277,$Q$3:$Q$16,$R$3:$R$16)))*$B277,-5)</f>
        <v>42500000</v>
      </c>
      <c r="F277" s="16">
        <f t="shared" si="828"/>
        <v>78800000</v>
      </c>
      <c r="G277" s="16">
        <f t="shared" si="828"/>
        <v>86300000</v>
      </c>
      <c r="H277" s="17">
        <f t="shared" ref="H277:J277" si="829">roundup((XLOOKUP($D277,$T$3:$T$10,$U$3:$U$10)*XLOOKUP(H$2,$AA$3:$AA$5,$AC$3:$AC$5)-ABS(XLOOKUP($C277,$Q$3:$Q$16,$R$3:$R$16)))*$B277,-5)</f>
        <v>34300000</v>
      </c>
      <c r="I277" s="17">
        <f t="shared" si="829"/>
        <v>98600000</v>
      </c>
      <c r="J277" s="17">
        <f t="shared" si="829"/>
        <v>107400000</v>
      </c>
      <c r="K277" s="17">
        <f t="shared" ref="K277:M277" si="830">roundup((XLOOKUP($D277,$T$3:$T$10,$U$3:$U$10)*XLOOKUP(K$2,$AA$3:$AA$5,$AD$3:$AD$5)-ABS(XLOOKUP($C277,$Q$3:$Q$16,$R$3:$R$16)))*$B277,-5)</f>
        <v>41400000</v>
      </c>
      <c r="L277" s="17">
        <f t="shared" si="830"/>
        <v>112000000</v>
      </c>
      <c r="M277" s="17">
        <f t="shared" si="830"/>
        <v>121600000</v>
      </c>
    </row>
    <row r="278">
      <c r="A278" s="14" t="s">
        <v>318</v>
      </c>
      <c r="B278" s="14">
        <v>159.0</v>
      </c>
      <c r="C278" s="15">
        <f t="shared" si="4"/>
        <v>11</v>
      </c>
      <c r="D278" s="14" t="s">
        <v>33</v>
      </c>
      <c r="E278" s="16">
        <f t="shared" ref="E278:G278" si="831">ROUNDUP((XLOOKUP($D278,$T$3:$T$10,$U$3:$U$10)*XLOOKUP(E$2,$AA$3:$AA$5,$AB$3:$AB$5)-ABS(XLOOKUP($C278,$Q$3:$Q$16,$R$3:$R$16)))*$B278,-5)</f>
        <v>34500000</v>
      </c>
      <c r="F278" s="16">
        <f t="shared" si="831"/>
        <v>61200000</v>
      </c>
      <c r="G278" s="16">
        <f t="shared" si="831"/>
        <v>66800000</v>
      </c>
      <c r="H278" s="17">
        <f t="shared" ref="H278:J278" si="832">roundup((XLOOKUP($D278,$T$3:$T$10,$U$3:$U$10)*XLOOKUP(H$2,$AA$3:$AA$5,$AC$3:$AC$5)-ABS(XLOOKUP($C278,$Q$3:$Q$16,$R$3:$R$16)))*$B278,-5)</f>
        <v>28400000</v>
      </c>
      <c r="I278" s="17">
        <f t="shared" si="832"/>
        <v>75800000</v>
      </c>
      <c r="J278" s="17">
        <f t="shared" si="832"/>
        <v>82200000</v>
      </c>
      <c r="K278" s="17">
        <f t="shared" ref="K278:M278" si="833">roundup((XLOOKUP($D278,$T$3:$T$10,$U$3:$U$10)*XLOOKUP(K$2,$AA$3:$AA$5,$AD$3:$AD$5)-ABS(XLOOKUP($C278,$Q$3:$Q$16,$R$3:$R$16)))*$B278,-5)</f>
        <v>33700000</v>
      </c>
      <c r="L278" s="17">
        <f t="shared" si="833"/>
        <v>85600000</v>
      </c>
      <c r="M278" s="17">
        <f t="shared" si="833"/>
        <v>92700000</v>
      </c>
    </row>
    <row r="279">
      <c r="A279" s="14" t="s">
        <v>319</v>
      </c>
      <c r="B279" s="14">
        <v>358.0</v>
      </c>
      <c r="C279" s="15">
        <f t="shared" si="4"/>
        <v>14</v>
      </c>
      <c r="D279" s="14" t="s">
        <v>36</v>
      </c>
      <c r="E279" s="16">
        <f t="shared" ref="E279:G279" si="834">ROUNDUP((XLOOKUP($D279,$T$3:$T$10,$U$3:$U$10)*XLOOKUP(E$2,$AA$3:$AA$5,$AB$3:$AB$5)-ABS(XLOOKUP($C279,$Q$3:$Q$16,$R$3:$R$16)))*$B279,-5)</f>
        <v>83500000</v>
      </c>
      <c r="F279" s="16">
        <f t="shared" si="834"/>
        <v>151000000</v>
      </c>
      <c r="G279" s="16">
        <f t="shared" si="834"/>
        <v>164900000</v>
      </c>
      <c r="H279" s="17">
        <f t="shared" ref="H279:J279" si="835">roundup((XLOOKUP($D279,$T$3:$T$10,$U$3:$U$10)*XLOOKUP(H$2,$AA$3:$AA$5,$AC$3:$AC$5)-ABS(XLOOKUP($C279,$Q$3:$Q$16,$R$3:$R$16)))*$B279,-5)</f>
        <v>68200000</v>
      </c>
      <c r="I279" s="17">
        <f t="shared" si="835"/>
        <v>187700000</v>
      </c>
      <c r="J279" s="17">
        <f t="shared" si="835"/>
        <v>204000000</v>
      </c>
      <c r="K279" s="17">
        <f t="shared" ref="K279:M279" si="836">roundup((XLOOKUP($D279,$T$3:$T$10,$U$3:$U$10)*XLOOKUP(K$2,$AA$3:$AA$5,$AD$3:$AD$5)-ABS(XLOOKUP($C279,$Q$3:$Q$16,$R$3:$R$16)))*$B279,-5)</f>
        <v>81400000</v>
      </c>
      <c r="L279" s="17">
        <f t="shared" si="836"/>
        <v>212600000</v>
      </c>
      <c r="M279" s="17">
        <f t="shared" si="836"/>
        <v>230500000</v>
      </c>
    </row>
    <row r="280">
      <c r="A280" s="14" t="s">
        <v>320</v>
      </c>
      <c r="B280" s="14">
        <v>1775.0</v>
      </c>
      <c r="C280" s="15">
        <f t="shared" si="4"/>
        <v>14</v>
      </c>
      <c r="D280" s="14" t="s">
        <v>33</v>
      </c>
      <c r="E280" s="16">
        <f t="shared" ref="E280:G280" si="837">ROUNDUP((XLOOKUP($D280,$T$3:$T$10,$U$3:$U$10)*XLOOKUP(E$2,$AA$3:$AA$5,$AB$3:$AB$5)-ABS(XLOOKUP($C280,$Q$3:$Q$16,$R$3:$R$16)))*$B280,-5)</f>
        <v>333200000</v>
      </c>
      <c r="F280" s="16">
        <f t="shared" si="837"/>
        <v>631500000</v>
      </c>
      <c r="G280" s="16">
        <f t="shared" si="837"/>
        <v>693200000</v>
      </c>
      <c r="H280" s="17">
        <f t="shared" ref="H280:J280" si="838">roundup((XLOOKUP($D280,$T$3:$T$10,$U$3:$U$10)*XLOOKUP(H$2,$AA$3:$AA$5,$AC$3:$AC$5)-ABS(XLOOKUP($C280,$Q$3:$Q$16,$R$3:$R$16)))*$B280,-5)</f>
        <v>265300000</v>
      </c>
      <c r="I280" s="17">
        <f t="shared" si="838"/>
        <v>794000000</v>
      </c>
      <c r="J280" s="17">
        <f t="shared" si="838"/>
        <v>866000000</v>
      </c>
      <c r="K280" s="17">
        <f t="shared" ref="K280:M280" si="839">roundup((XLOOKUP($D280,$T$3:$T$10,$U$3:$U$10)*XLOOKUP(K$2,$AA$3:$AA$5,$AD$3:$AD$5)-ABS(XLOOKUP($C280,$Q$3:$Q$16,$R$3:$R$16)))*$B280,-5)</f>
        <v>323900000</v>
      </c>
      <c r="L280" s="17">
        <f t="shared" si="839"/>
        <v>904100000</v>
      </c>
      <c r="M280" s="17">
        <f t="shared" si="839"/>
        <v>983300000</v>
      </c>
    </row>
    <row r="281">
      <c r="A281" s="14" t="s">
        <v>321</v>
      </c>
      <c r="B281" s="14">
        <v>1315.0</v>
      </c>
      <c r="C281" s="15">
        <f t="shared" si="4"/>
        <v>14</v>
      </c>
      <c r="D281" s="14" t="s">
        <v>36</v>
      </c>
      <c r="E281" s="16">
        <f t="shared" ref="E281:G281" si="840">ROUNDUP((XLOOKUP($D281,$T$3:$T$10,$U$3:$U$10)*XLOOKUP(E$2,$AA$3:$AA$5,$AB$3:$AB$5)-ABS(XLOOKUP($C281,$Q$3:$Q$16,$R$3:$R$16)))*$B281,-5)</f>
        <v>306700000</v>
      </c>
      <c r="F281" s="16">
        <f t="shared" si="840"/>
        <v>554400000</v>
      </c>
      <c r="G281" s="16">
        <f t="shared" si="840"/>
        <v>605600000</v>
      </c>
      <c r="H281" s="17">
        <f t="shared" ref="H281:J281" si="841">roundup((XLOOKUP($D281,$T$3:$T$10,$U$3:$U$10)*XLOOKUP(H$2,$AA$3:$AA$5,$AC$3:$AC$5)-ABS(XLOOKUP($C281,$Q$3:$Q$16,$R$3:$R$16)))*$B281,-5)</f>
        <v>250300000</v>
      </c>
      <c r="I281" s="17">
        <f t="shared" si="841"/>
        <v>689300000</v>
      </c>
      <c r="J281" s="17">
        <f t="shared" si="841"/>
        <v>749100000</v>
      </c>
      <c r="K281" s="17">
        <f t="shared" ref="K281:M281" si="842">roundup((XLOOKUP($D281,$T$3:$T$10,$U$3:$U$10)*XLOOKUP(K$2,$AA$3:$AA$5,$AD$3:$AD$5)-ABS(XLOOKUP($C281,$Q$3:$Q$16,$R$3:$R$16)))*$B281,-5)</f>
        <v>299000000</v>
      </c>
      <c r="L281" s="17">
        <f t="shared" si="842"/>
        <v>780700000</v>
      </c>
      <c r="M281" s="17">
        <f t="shared" si="842"/>
        <v>846500000</v>
      </c>
    </row>
    <row r="282">
      <c r="A282" s="14" t="s">
        <v>322</v>
      </c>
      <c r="B282" s="14">
        <v>1279.0</v>
      </c>
      <c r="C282" s="15">
        <f t="shared" si="4"/>
        <v>14</v>
      </c>
      <c r="D282" s="14" t="s">
        <v>36</v>
      </c>
      <c r="E282" s="16">
        <f t="shared" ref="E282:G282" si="843">ROUNDUP((XLOOKUP($D282,$T$3:$T$10,$U$3:$U$10)*XLOOKUP(E$2,$AA$3:$AA$5,$AB$3:$AB$5)-ABS(XLOOKUP($C282,$Q$3:$Q$16,$R$3:$R$16)))*$B282,-5)</f>
        <v>298300000</v>
      </c>
      <c r="F282" s="16">
        <f t="shared" si="843"/>
        <v>539200000</v>
      </c>
      <c r="G282" s="16">
        <f t="shared" si="843"/>
        <v>589000000</v>
      </c>
      <c r="H282" s="17">
        <f t="shared" ref="H282:J282" si="844">roundup((XLOOKUP($D282,$T$3:$T$10,$U$3:$U$10)*XLOOKUP(H$2,$AA$3:$AA$5,$AC$3:$AC$5)-ABS(XLOOKUP($C282,$Q$3:$Q$16,$R$3:$R$16)))*$B282,-5)</f>
        <v>243500000</v>
      </c>
      <c r="I282" s="17">
        <f t="shared" si="844"/>
        <v>670400000</v>
      </c>
      <c r="J282" s="17">
        <f t="shared" si="844"/>
        <v>728600000</v>
      </c>
      <c r="K282" s="17">
        <f t="shared" ref="K282:M282" si="845">roundup((XLOOKUP($D282,$T$3:$T$10,$U$3:$U$10)*XLOOKUP(K$2,$AA$3:$AA$5,$AD$3:$AD$5)-ABS(XLOOKUP($C282,$Q$3:$Q$16,$R$3:$R$16)))*$B282,-5)</f>
        <v>290800000</v>
      </c>
      <c r="L282" s="17">
        <f t="shared" si="845"/>
        <v>759300000</v>
      </c>
      <c r="M282" s="17">
        <f t="shared" si="845"/>
        <v>823300000</v>
      </c>
    </row>
    <row r="283">
      <c r="A283" s="14" t="s">
        <v>323</v>
      </c>
      <c r="B283" s="14">
        <v>1151.0</v>
      </c>
      <c r="C283" s="15">
        <f t="shared" si="4"/>
        <v>14</v>
      </c>
      <c r="D283" s="14" t="s">
        <v>33</v>
      </c>
      <c r="E283" s="16">
        <f t="shared" ref="E283:G283" si="846">ROUNDUP((XLOOKUP($D283,$T$3:$T$10,$U$3:$U$10)*XLOOKUP(E$2,$AA$3:$AA$5,$AB$3:$AB$5)-ABS(XLOOKUP($C283,$Q$3:$Q$16,$R$3:$R$16)))*$B283,-5)</f>
        <v>216100000</v>
      </c>
      <c r="F283" s="16">
        <f t="shared" si="846"/>
        <v>409500000</v>
      </c>
      <c r="G283" s="16">
        <f t="shared" si="846"/>
        <v>449500000</v>
      </c>
      <c r="H283" s="17">
        <f t="shared" ref="H283:J283" si="847">roundup((XLOOKUP($D283,$T$3:$T$10,$U$3:$U$10)*XLOOKUP(H$2,$AA$3:$AA$5,$AC$3:$AC$5)-ABS(XLOOKUP($C283,$Q$3:$Q$16,$R$3:$R$16)))*$B283,-5)</f>
        <v>172000000</v>
      </c>
      <c r="I283" s="17">
        <f t="shared" si="847"/>
        <v>514900000</v>
      </c>
      <c r="J283" s="17">
        <f t="shared" si="847"/>
        <v>561600000</v>
      </c>
      <c r="K283" s="17">
        <f t="shared" ref="K283:M283" si="848">roundup((XLOOKUP($D283,$T$3:$T$10,$U$3:$U$10)*XLOOKUP(K$2,$AA$3:$AA$5,$AD$3:$AD$5)-ABS(XLOOKUP($C283,$Q$3:$Q$16,$R$3:$R$16)))*$B283,-5)</f>
        <v>210100000</v>
      </c>
      <c r="L283" s="17">
        <f t="shared" si="848"/>
        <v>586300000</v>
      </c>
      <c r="M283" s="17">
        <f t="shared" si="848"/>
        <v>637600000</v>
      </c>
    </row>
    <row r="284">
      <c r="A284" s="14" t="s">
        <v>324</v>
      </c>
      <c r="B284" s="14">
        <v>942.0</v>
      </c>
      <c r="C284" s="15">
        <f t="shared" si="4"/>
        <v>14</v>
      </c>
      <c r="D284" s="14" t="s">
        <v>33</v>
      </c>
      <c r="E284" s="16">
        <f t="shared" ref="E284:G284" si="849">ROUNDUP((XLOOKUP($D284,$T$3:$T$10,$U$3:$U$10)*XLOOKUP(E$2,$AA$3:$AA$5,$AB$3:$AB$5)-ABS(XLOOKUP($C284,$Q$3:$Q$16,$R$3:$R$16)))*$B284,-5)</f>
        <v>176800000</v>
      </c>
      <c r="F284" s="16">
        <f t="shared" si="849"/>
        <v>335100000</v>
      </c>
      <c r="G284" s="16">
        <f t="shared" si="849"/>
        <v>367900000</v>
      </c>
      <c r="H284" s="17">
        <f t="shared" ref="H284:J284" si="850">roundup((XLOOKUP($D284,$T$3:$T$10,$U$3:$U$10)*XLOOKUP(H$2,$AA$3:$AA$5,$AC$3:$AC$5)-ABS(XLOOKUP($C284,$Q$3:$Q$16,$R$3:$R$16)))*$B284,-5)</f>
        <v>140800000</v>
      </c>
      <c r="I284" s="17">
        <f t="shared" si="850"/>
        <v>421400000</v>
      </c>
      <c r="J284" s="17">
        <f t="shared" si="850"/>
        <v>459600000</v>
      </c>
      <c r="K284" s="17">
        <f t="shared" ref="K284:M284" si="851">roundup((XLOOKUP($D284,$T$3:$T$10,$U$3:$U$10)*XLOOKUP(K$2,$AA$3:$AA$5,$AD$3:$AD$5)-ABS(XLOOKUP($C284,$Q$3:$Q$16,$R$3:$R$16)))*$B284,-5)</f>
        <v>171900000</v>
      </c>
      <c r="L284" s="17">
        <f t="shared" si="851"/>
        <v>479800000</v>
      </c>
      <c r="M284" s="17">
        <f t="shared" si="851"/>
        <v>521800000</v>
      </c>
    </row>
    <row r="285">
      <c r="A285" s="14" t="s">
        <v>325</v>
      </c>
      <c r="B285" s="14">
        <v>677.0</v>
      </c>
      <c r="C285" s="15">
        <f t="shared" si="4"/>
        <v>14</v>
      </c>
      <c r="D285" s="14" t="s">
        <v>33</v>
      </c>
      <c r="E285" s="16">
        <f t="shared" ref="E285:G285" si="852">ROUNDUP((XLOOKUP($D285,$T$3:$T$10,$U$3:$U$10)*XLOOKUP(E$2,$AA$3:$AA$5,$AB$3:$AB$5)-ABS(XLOOKUP($C285,$Q$3:$Q$16,$R$3:$R$16)))*$B285,-5)</f>
        <v>127100000</v>
      </c>
      <c r="F285" s="16">
        <f t="shared" si="852"/>
        <v>240900000</v>
      </c>
      <c r="G285" s="16">
        <f t="shared" si="852"/>
        <v>264400000</v>
      </c>
      <c r="H285" s="17">
        <f t="shared" ref="H285:J285" si="853">roundup((XLOOKUP($D285,$T$3:$T$10,$U$3:$U$10)*XLOOKUP(H$2,$AA$3:$AA$5,$AC$3:$AC$5)-ABS(XLOOKUP($C285,$Q$3:$Q$16,$R$3:$R$16)))*$B285,-5)</f>
        <v>101200000</v>
      </c>
      <c r="I285" s="17">
        <f t="shared" si="853"/>
        <v>302900000</v>
      </c>
      <c r="J285" s="17">
        <f t="shared" si="853"/>
        <v>330300000</v>
      </c>
      <c r="K285" s="17">
        <f t="shared" ref="K285:M285" si="854">roundup((XLOOKUP($D285,$T$3:$T$10,$U$3:$U$10)*XLOOKUP(K$2,$AA$3:$AA$5,$AD$3:$AD$5)-ABS(XLOOKUP($C285,$Q$3:$Q$16,$R$3:$R$16)))*$B285,-5)</f>
        <v>123600000</v>
      </c>
      <c r="L285" s="17">
        <f t="shared" si="854"/>
        <v>344800000</v>
      </c>
      <c r="M285" s="17">
        <f t="shared" si="854"/>
        <v>375100000</v>
      </c>
    </row>
    <row r="286">
      <c r="A286" s="14" t="s">
        <v>326</v>
      </c>
      <c r="B286" s="14">
        <v>493.0</v>
      </c>
      <c r="C286" s="15">
        <f t="shared" si="4"/>
        <v>14</v>
      </c>
      <c r="D286" s="14" t="s">
        <v>33</v>
      </c>
      <c r="E286" s="16">
        <f t="shared" ref="E286:G286" si="855">ROUNDUP((XLOOKUP($D286,$T$3:$T$10,$U$3:$U$10)*XLOOKUP(E$2,$AA$3:$AA$5,$AB$3:$AB$5)-ABS(XLOOKUP($C286,$Q$3:$Q$16,$R$3:$R$16)))*$B286,-5)</f>
        <v>92600000</v>
      </c>
      <c r="F286" s="16">
        <f t="shared" si="855"/>
        <v>175400000</v>
      </c>
      <c r="G286" s="16">
        <f t="shared" si="855"/>
        <v>192600000</v>
      </c>
      <c r="H286" s="17">
        <f t="shared" ref="H286:J286" si="856">roundup((XLOOKUP($D286,$T$3:$T$10,$U$3:$U$10)*XLOOKUP(H$2,$AA$3:$AA$5,$AC$3:$AC$5)-ABS(XLOOKUP($C286,$Q$3:$Q$16,$R$3:$R$16)))*$B286,-5)</f>
        <v>73700000</v>
      </c>
      <c r="I286" s="17">
        <f t="shared" si="856"/>
        <v>220600000</v>
      </c>
      <c r="J286" s="17">
        <f t="shared" si="856"/>
        <v>240600000</v>
      </c>
      <c r="K286" s="17">
        <f t="shared" ref="K286:M286" si="857">roundup((XLOOKUP($D286,$T$3:$T$10,$U$3:$U$10)*XLOOKUP(K$2,$AA$3:$AA$5,$AD$3:$AD$5)-ABS(XLOOKUP($C286,$Q$3:$Q$16,$R$3:$R$16)))*$B286,-5)</f>
        <v>90000000</v>
      </c>
      <c r="L286" s="17">
        <f t="shared" si="857"/>
        <v>251100000</v>
      </c>
      <c r="M286" s="17">
        <f t="shared" si="857"/>
        <v>273100000</v>
      </c>
    </row>
    <row r="287">
      <c r="A287" s="14" t="s">
        <v>327</v>
      </c>
      <c r="B287" s="14">
        <v>481.0</v>
      </c>
      <c r="C287" s="15">
        <f t="shared" si="4"/>
        <v>14</v>
      </c>
      <c r="D287" s="14" t="s">
        <v>36</v>
      </c>
      <c r="E287" s="16">
        <f t="shared" ref="E287:G287" si="858">ROUNDUP((XLOOKUP($D287,$T$3:$T$10,$U$3:$U$10)*XLOOKUP(E$2,$AA$3:$AA$5,$AB$3:$AB$5)-ABS(XLOOKUP($C287,$Q$3:$Q$16,$R$3:$R$16)))*$B287,-5)</f>
        <v>112200000</v>
      </c>
      <c r="F287" s="16">
        <f t="shared" si="858"/>
        <v>202800000</v>
      </c>
      <c r="G287" s="16">
        <f t="shared" si="858"/>
        <v>221600000</v>
      </c>
      <c r="H287" s="17">
        <f t="shared" ref="H287:J287" si="859">roundup((XLOOKUP($D287,$T$3:$T$10,$U$3:$U$10)*XLOOKUP(H$2,$AA$3:$AA$5,$AC$3:$AC$5)-ABS(XLOOKUP($C287,$Q$3:$Q$16,$R$3:$R$16)))*$B287,-5)</f>
        <v>91600000</v>
      </c>
      <c r="I287" s="17">
        <f t="shared" si="859"/>
        <v>252200000</v>
      </c>
      <c r="J287" s="17">
        <f t="shared" si="859"/>
        <v>274000000</v>
      </c>
      <c r="K287" s="17">
        <f t="shared" ref="K287:M287" si="860">roundup((XLOOKUP($D287,$T$3:$T$10,$U$3:$U$10)*XLOOKUP(K$2,$AA$3:$AA$5,$AD$3:$AD$5)-ABS(XLOOKUP($C287,$Q$3:$Q$16,$R$3:$R$16)))*$B287,-5)</f>
        <v>109400000</v>
      </c>
      <c r="L287" s="17">
        <f t="shared" si="860"/>
        <v>285600000</v>
      </c>
      <c r="M287" s="17">
        <f t="shared" si="860"/>
        <v>309600000</v>
      </c>
    </row>
    <row r="288">
      <c r="A288" s="14" t="s">
        <v>328</v>
      </c>
      <c r="B288" s="14">
        <v>474.0</v>
      </c>
      <c r="C288" s="15">
        <f t="shared" si="4"/>
        <v>14</v>
      </c>
      <c r="D288" s="14" t="s">
        <v>36</v>
      </c>
      <c r="E288" s="16">
        <f t="shared" ref="E288:G288" si="861">ROUNDUP((XLOOKUP($D288,$T$3:$T$10,$U$3:$U$10)*XLOOKUP(E$2,$AA$3:$AA$5,$AB$3:$AB$5)-ABS(XLOOKUP($C288,$Q$3:$Q$16,$R$3:$R$16)))*$B288,-5)</f>
        <v>110600000</v>
      </c>
      <c r="F288" s="16">
        <f t="shared" si="861"/>
        <v>199900000</v>
      </c>
      <c r="G288" s="16">
        <f t="shared" si="861"/>
        <v>218300000</v>
      </c>
      <c r="H288" s="17">
        <f t="shared" ref="H288:J288" si="862">roundup((XLOOKUP($D288,$T$3:$T$10,$U$3:$U$10)*XLOOKUP(H$2,$AA$3:$AA$5,$AC$3:$AC$5)-ABS(XLOOKUP($C288,$Q$3:$Q$16,$R$3:$R$16)))*$B288,-5)</f>
        <v>90300000</v>
      </c>
      <c r="I288" s="17">
        <f t="shared" si="862"/>
        <v>248500000</v>
      </c>
      <c r="J288" s="17">
        <f t="shared" si="862"/>
        <v>270000000</v>
      </c>
      <c r="K288" s="17">
        <f t="shared" ref="K288:M288" si="863">roundup((XLOOKUP($D288,$T$3:$T$10,$U$3:$U$10)*XLOOKUP(K$2,$AA$3:$AA$5,$AD$3:$AD$5)-ABS(XLOOKUP($C288,$Q$3:$Q$16,$R$3:$R$16)))*$B288,-5)</f>
        <v>107800000</v>
      </c>
      <c r="L288" s="17">
        <f t="shared" si="863"/>
        <v>281400000</v>
      </c>
      <c r="M288" s="17">
        <f t="shared" si="863"/>
        <v>305100000</v>
      </c>
    </row>
    <row r="289">
      <c r="A289" s="14" t="s">
        <v>329</v>
      </c>
      <c r="B289" s="14">
        <v>457.0</v>
      </c>
      <c r="C289" s="15">
        <f t="shared" si="4"/>
        <v>14</v>
      </c>
      <c r="D289" s="14" t="s">
        <v>33</v>
      </c>
      <c r="E289" s="16">
        <f t="shared" ref="E289:G289" si="864">ROUNDUP((XLOOKUP($D289,$T$3:$T$10,$U$3:$U$10)*XLOOKUP(E$2,$AA$3:$AA$5,$AB$3:$AB$5)-ABS(XLOOKUP($C289,$Q$3:$Q$16,$R$3:$R$16)))*$B289,-5)</f>
        <v>85800000</v>
      </c>
      <c r="F289" s="16">
        <f t="shared" si="864"/>
        <v>162600000</v>
      </c>
      <c r="G289" s="16">
        <f t="shared" si="864"/>
        <v>178500000</v>
      </c>
      <c r="H289" s="17">
        <f t="shared" ref="H289:J289" si="865">roundup((XLOOKUP($D289,$T$3:$T$10,$U$3:$U$10)*XLOOKUP(H$2,$AA$3:$AA$5,$AC$3:$AC$5)-ABS(XLOOKUP($C289,$Q$3:$Q$16,$R$3:$R$16)))*$B289,-5)</f>
        <v>68300000</v>
      </c>
      <c r="I289" s="17">
        <f t="shared" si="865"/>
        <v>204500000</v>
      </c>
      <c r="J289" s="17">
        <f t="shared" si="865"/>
        <v>223000000</v>
      </c>
      <c r="K289" s="17">
        <f t="shared" ref="K289:M289" si="866">roundup((XLOOKUP($D289,$T$3:$T$10,$U$3:$U$10)*XLOOKUP(K$2,$AA$3:$AA$5,$AD$3:$AD$5)-ABS(XLOOKUP($C289,$Q$3:$Q$16,$R$3:$R$16)))*$B289,-5)</f>
        <v>83400000</v>
      </c>
      <c r="L289" s="17">
        <f t="shared" si="866"/>
        <v>232800000</v>
      </c>
      <c r="M289" s="17">
        <f t="shared" si="866"/>
        <v>253200000</v>
      </c>
    </row>
    <row r="290">
      <c r="A290" s="14" t="s">
        <v>330</v>
      </c>
      <c r="B290" s="14">
        <v>454.0</v>
      </c>
      <c r="C290" s="15">
        <f t="shared" si="4"/>
        <v>14</v>
      </c>
      <c r="D290" s="14" t="s">
        <v>36</v>
      </c>
      <c r="E290" s="16">
        <f t="shared" ref="E290:G290" si="867">ROUNDUP((XLOOKUP($D290,$T$3:$T$10,$U$3:$U$10)*XLOOKUP(E$2,$AA$3:$AA$5,$AB$3:$AB$5)-ABS(XLOOKUP($C290,$Q$3:$Q$16,$R$3:$R$16)))*$B290,-5)</f>
        <v>105900000</v>
      </c>
      <c r="F290" s="16">
        <f t="shared" si="867"/>
        <v>191400000</v>
      </c>
      <c r="G290" s="16">
        <f t="shared" si="867"/>
        <v>209100000</v>
      </c>
      <c r="H290" s="17">
        <f t="shared" ref="H290:J290" si="868">roundup((XLOOKUP($D290,$T$3:$T$10,$U$3:$U$10)*XLOOKUP(H$2,$AA$3:$AA$5,$AC$3:$AC$5)-ABS(XLOOKUP($C290,$Q$3:$Q$16,$R$3:$R$16)))*$B290,-5)</f>
        <v>86400000</v>
      </c>
      <c r="I290" s="17">
        <f t="shared" si="868"/>
        <v>238000000</v>
      </c>
      <c r="J290" s="17">
        <f t="shared" si="868"/>
        <v>258700000</v>
      </c>
      <c r="K290" s="17">
        <f t="shared" ref="K290:M290" si="869">roundup((XLOOKUP($D290,$T$3:$T$10,$U$3:$U$10)*XLOOKUP(K$2,$AA$3:$AA$5,$AD$3:$AD$5)-ABS(XLOOKUP($C290,$Q$3:$Q$16,$R$3:$R$16)))*$B290,-5)</f>
        <v>103300000</v>
      </c>
      <c r="L290" s="17">
        <f t="shared" si="869"/>
        <v>269600000</v>
      </c>
      <c r="M290" s="17">
        <f t="shared" si="869"/>
        <v>292300000</v>
      </c>
    </row>
    <row r="291">
      <c r="A291" s="14" t="s">
        <v>331</v>
      </c>
      <c r="B291" s="14">
        <v>452.0</v>
      </c>
      <c r="C291" s="15">
        <f t="shared" si="4"/>
        <v>14</v>
      </c>
      <c r="D291" s="14" t="s">
        <v>36</v>
      </c>
      <c r="E291" s="16">
        <f t="shared" ref="E291:G291" si="870">ROUNDUP((XLOOKUP($D291,$T$3:$T$10,$U$3:$U$10)*XLOOKUP(E$2,$AA$3:$AA$5,$AB$3:$AB$5)-ABS(XLOOKUP($C291,$Q$3:$Q$16,$R$3:$R$16)))*$B291,-5)</f>
        <v>105400000</v>
      </c>
      <c r="F291" s="16">
        <f t="shared" si="870"/>
        <v>190600000</v>
      </c>
      <c r="G291" s="16">
        <f t="shared" si="870"/>
        <v>208200000</v>
      </c>
      <c r="H291" s="17">
        <f t="shared" ref="H291:J291" si="871">roundup((XLOOKUP($D291,$T$3:$T$10,$U$3:$U$10)*XLOOKUP(H$2,$AA$3:$AA$5,$AC$3:$AC$5)-ABS(XLOOKUP($C291,$Q$3:$Q$16,$R$3:$R$16)))*$B291,-5)</f>
        <v>86100000</v>
      </c>
      <c r="I291" s="17">
        <f t="shared" si="871"/>
        <v>237000000</v>
      </c>
      <c r="J291" s="17">
        <f t="shared" si="871"/>
        <v>257500000</v>
      </c>
      <c r="K291" s="17">
        <f t="shared" ref="K291:M291" si="872">roundup((XLOOKUP($D291,$T$3:$T$10,$U$3:$U$10)*XLOOKUP(K$2,$AA$3:$AA$5,$AD$3:$AD$5)-ABS(XLOOKUP($C291,$Q$3:$Q$16,$R$3:$R$16)))*$B291,-5)</f>
        <v>102800000</v>
      </c>
      <c r="L291" s="17">
        <f t="shared" si="872"/>
        <v>268400000</v>
      </c>
      <c r="M291" s="17">
        <f t="shared" si="872"/>
        <v>291000000</v>
      </c>
    </row>
    <row r="292">
      <c r="A292" s="14" t="s">
        <v>332</v>
      </c>
      <c r="B292" s="14">
        <v>451.0</v>
      </c>
      <c r="C292" s="15">
        <f t="shared" si="4"/>
        <v>14</v>
      </c>
      <c r="D292" s="14" t="s">
        <v>33</v>
      </c>
      <c r="E292" s="16">
        <f t="shared" ref="E292:G292" si="873">ROUNDUP((XLOOKUP($D292,$T$3:$T$10,$U$3:$U$10)*XLOOKUP(E$2,$AA$3:$AA$5,$AB$3:$AB$5)-ABS(XLOOKUP($C292,$Q$3:$Q$16,$R$3:$R$16)))*$B292,-5)</f>
        <v>84700000</v>
      </c>
      <c r="F292" s="16">
        <f t="shared" si="873"/>
        <v>160500000</v>
      </c>
      <c r="G292" s="16">
        <f t="shared" si="873"/>
        <v>176200000</v>
      </c>
      <c r="H292" s="17">
        <f t="shared" ref="H292:J292" si="874">roundup((XLOOKUP($D292,$T$3:$T$10,$U$3:$U$10)*XLOOKUP(H$2,$AA$3:$AA$5,$AC$3:$AC$5)-ABS(XLOOKUP($C292,$Q$3:$Q$16,$R$3:$R$16)))*$B292,-5)</f>
        <v>67400000</v>
      </c>
      <c r="I292" s="17">
        <f t="shared" si="874"/>
        <v>201800000</v>
      </c>
      <c r="J292" s="17">
        <f t="shared" si="874"/>
        <v>220100000</v>
      </c>
      <c r="K292" s="17">
        <f t="shared" ref="K292:M292" si="875">roundup((XLOOKUP($D292,$T$3:$T$10,$U$3:$U$10)*XLOOKUP(K$2,$AA$3:$AA$5,$AD$3:$AD$5)-ABS(XLOOKUP($C292,$Q$3:$Q$16,$R$3:$R$16)))*$B292,-5)</f>
        <v>82300000</v>
      </c>
      <c r="L292" s="17">
        <f t="shared" si="875"/>
        <v>229700000</v>
      </c>
      <c r="M292" s="17">
        <f t="shared" si="875"/>
        <v>249900000</v>
      </c>
    </row>
    <row r="293">
      <c r="A293" s="14" t="s">
        <v>333</v>
      </c>
      <c r="B293" s="14">
        <v>451.0</v>
      </c>
      <c r="C293" s="15">
        <f t="shared" si="4"/>
        <v>14</v>
      </c>
      <c r="D293" s="14" t="s">
        <v>33</v>
      </c>
      <c r="E293" s="16">
        <f t="shared" ref="E293:G293" si="876">ROUNDUP((XLOOKUP($D293,$T$3:$T$10,$U$3:$U$10)*XLOOKUP(E$2,$AA$3:$AA$5,$AB$3:$AB$5)-ABS(XLOOKUP($C293,$Q$3:$Q$16,$R$3:$R$16)))*$B293,-5)</f>
        <v>84700000</v>
      </c>
      <c r="F293" s="16">
        <f t="shared" si="876"/>
        <v>160500000</v>
      </c>
      <c r="G293" s="16">
        <f t="shared" si="876"/>
        <v>176200000</v>
      </c>
      <c r="H293" s="17">
        <f t="shared" ref="H293:J293" si="877">roundup((XLOOKUP($D293,$T$3:$T$10,$U$3:$U$10)*XLOOKUP(H$2,$AA$3:$AA$5,$AC$3:$AC$5)-ABS(XLOOKUP($C293,$Q$3:$Q$16,$R$3:$R$16)))*$B293,-5)</f>
        <v>67400000</v>
      </c>
      <c r="I293" s="17">
        <f t="shared" si="877"/>
        <v>201800000</v>
      </c>
      <c r="J293" s="17">
        <f t="shared" si="877"/>
        <v>220100000</v>
      </c>
      <c r="K293" s="17">
        <f t="shared" ref="K293:M293" si="878">roundup((XLOOKUP($D293,$T$3:$T$10,$U$3:$U$10)*XLOOKUP(K$2,$AA$3:$AA$5,$AD$3:$AD$5)-ABS(XLOOKUP($C293,$Q$3:$Q$16,$R$3:$R$16)))*$B293,-5)</f>
        <v>82300000</v>
      </c>
      <c r="L293" s="17">
        <f t="shared" si="878"/>
        <v>229700000</v>
      </c>
      <c r="M293" s="17">
        <f t="shared" si="878"/>
        <v>249900000</v>
      </c>
    </row>
    <row r="294">
      <c r="A294" s="14" t="s">
        <v>334</v>
      </c>
      <c r="B294" s="14">
        <v>415.0</v>
      </c>
      <c r="C294" s="15">
        <f t="shared" si="4"/>
        <v>14</v>
      </c>
      <c r="D294" s="14" t="s">
        <v>36</v>
      </c>
      <c r="E294" s="16">
        <f t="shared" ref="E294:G294" si="879">ROUNDUP((XLOOKUP($D294,$T$3:$T$10,$U$3:$U$10)*XLOOKUP(E$2,$AA$3:$AA$5,$AB$3:$AB$5)-ABS(XLOOKUP($C294,$Q$3:$Q$16,$R$3:$R$16)))*$B294,-5)</f>
        <v>96800000</v>
      </c>
      <c r="F294" s="16">
        <f t="shared" si="879"/>
        <v>175000000</v>
      </c>
      <c r="G294" s="16">
        <f t="shared" si="879"/>
        <v>191200000</v>
      </c>
      <c r="H294" s="17">
        <f t="shared" ref="H294:J294" si="880">roundup((XLOOKUP($D294,$T$3:$T$10,$U$3:$U$10)*XLOOKUP(H$2,$AA$3:$AA$5,$AC$3:$AC$5)-ABS(XLOOKUP($C294,$Q$3:$Q$16,$R$3:$R$16)))*$B294,-5)</f>
        <v>79000000</v>
      </c>
      <c r="I294" s="17">
        <f t="shared" si="880"/>
        <v>217600000</v>
      </c>
      <c r="J294" s="17">
        <f t="shared" si="880"/>
        <v>236400000</v>
      </c>
      <c r="K294" s="17">
        <f t="shared" ref="K294:M294" si="881">roundup((XLOOKUP($D294,$T$3:$T$10,$U$3:$U$10)*XLOOKUP(K$2,$AA$3:$AA$5,$AD$3:$AD$5)-ABS(XLOOKUP($C294,$Q$3:$Q$16,$R$3:$R$16)))*$B294,-5)</f>
        <v>94400000</v>
      </c>
      <c r="L294" s="17">
        <f t="shared" si="881"/>
        <v>246400000</v>
      </c>
      <c r="M294" s="17">
        <f t="shared" si="881"/>
        <v>267200000</v>
      </c>
    </row>
    <row r="295">
      <c r="A295" s="14" t="s">
        <v>335</v>
      </c>
      <c r="B295" s="14">
        <v>419.0</v>
      </c>
      <c r="C295" s="15">
        <f t="shared" si="4"/>
        <v>14</v>
      </c>
      <c r="D295" s="14" t="s">
        <v>36</v>
      </c>
      <c r="E295" s="16">
        <f t="shared" ref="E295:G295" si="882">ROUNDUP((XLOOKUP($D295,$T$3:$T$10,$U$3:$U$10)*XLOOKUP(E$2,$AA$3:$AA$5,$AB$3:$AB$5)-ABS(XLOOKUP($C295,$Q$3:$Q$16,$R$3:$R$16)))*$B295,-5)</f>
        <v>97800000</v>
      </c>
      <c r="F295" s="16">
        <f t="shared" si="882"/>
        <v>176700000</v>
      </c>
      <c r="G295" s="16">
        <f t="shared" si="882"/>
        <v>193000000</v>
      </c>
      <c r="H295" s="17">
        <f t="shared" ref="H295:J295" si="883">roundup((XLOOKUP($D295,$T$3:$T$10,$U$3:$U$10)*XLOOKUP(H$2,$AA$3:$AA$5,$AC$3:$AC$5)-ABS(XLOOKUP($C295,$Q$3:$Q$16,$R$3:$R$16)))*$B295,-5)</f>
        <v>79800000</v>
      </c>
      <c r="I295" s="17">
        <f t="shared" si="883"/>
        <v>219700000</v>
      </c>
      <c r="J295" s="17">
        <f t="shared" si="883"/>
        <v>238700000</v>
      </c>
      <c r="K295" s="17">
        <f t="shared" ref="K295:M295" si="884">roundup((XLOOKUP($D295,$T$3:$T$10,$U$3:$U$10)*XLOOKUP(K$2,$AA$3:$AA$5,$AD$3:$AD$5)-ABS(XLOOKUP($C295,$Q$3:$Q$16,$R$3:$R$16)))*$B295,-5)</f>
        <v>95300000</v>
      </c>
      <c r="L295" s="17">
        <f t="shared" si="884"/>
        <v>248800000</v>
      </c>
      <c r="M295" s="17">
        <f t="shared" si="884"/>
        <v>269700000</v>
      </c>
    </row>
    <row r="296">
      <c r="A296" s="14" t="s">
        <v>336</v>
      </c>
      <c r="B296" s="14">
        <v>403.0</v>
      </c>
      <c r="C296" s="15">
        <f t="shared" si="4"/>
        <v>14</v>
      </c>
      <c r="D296" s="14" t="s">
        <v>36</v>
      </c>
      <c r="E296" s="16">
        <f t="shared" ref="E296:G296" si="885">ROUNDUP((XLOOKUP($D296,$T$3:$T$10,$U$3:$U$10)*XLOOKUP(E$2,$AA$3:$AA$5,$AB$3:$AB$5)-ABS(XLOOKUP($C296,$Q$3:$Q$16,$R$3:$R$16)))*$B296,-5)</f>
        <v>94000000</v>
      </c>
      <c r="F296" s="16">
        <f t="shared" si="885"/>
        <v>169900000</v>
      </c>
      <c r="G296" s="16">
        <f t="shared" si="885"/>
        <v>185600000</v>
      </c>
      <c r="H296" s="17">
        <f t="shared" ref="H296:J296" si="886">roundup((XLOOKUP($D296,$T$3:$T$10,$U$3:$U$10)*XLOOKUP(H$2,$AA$3:$AA$5,$AC$3:$AC$5)-ABS(XLOOKUP($C296,$Q$3:$Q$16,$R$3:$R$16)))*$B296,-5)</f>
        <v>76700000</v>
      </c>
      <c r="I296" s="17">
        <f t="shared" si="886"/>
        <v>211300000</v>
      </c>
      <c r="J296" s="17">
        <f t="shared" si="886"/>
        <v>229600000</v>
      </c>
      <c r="K296" s="17">
        <f t="shared" ref="K296:M296" si="887">roundup((XLOOKUP($D296,$T$3:$T$10,$U$3:$U$10)*XLOOKUP(K$2,$AA$3:$AA$5,$AD$3:$AD$5)-ABS(XLOOKUP($C296,$Q$3:$Q$16,$R$3:$R$16)))*$B296,-5)</f>
        <v>91700000</v>
      </c>
      <c r="L296" s="17">
        <f t="shared" si="887"/>
        <v>239300000</v>
      </c>
      <c r="M296" s="17">
        <f t="shared" si="887"/>
        <v>259400000</v>
      </c>
    </row>
    <row r="297">
      <c r="A297" s="14" t="s">
        <v>337</v>
      </c>
      <c r="B297" s="14">
        <v>400.0</v>
      </c>
      <c r="C297" s="15">
        <f t="shared" si="4"/>
        <v>14</v>
      </c>
      <c r="D297" s="14" t="s">
        <v>36</v>
      </c>
      <c r="E297" s="16">
        <f t="shared" ref="E297:G297" si="888">ROUNDUP((XLOOKUP($D297,$T$3:$T$10,$U$3:$U$10)*XLOOKUP(E$2,$AA$3:$AA$5,$AB$3:$AB$5)-ABS(XLOOKUP($C297,$Q$3:$Q$16,$R$3:$R$16)))*$B297,-5)</f>
        <v>93300000</v>
      </c>
      <c r="F297" s="16">
        <f t="shared" si="888"/>
        <v>168700000</v>
      </c>
      <c r="G297" s="16">
        <f t="shared" si="888"/>
        <v>184200000</v>
      </c>
      <c r="H297" s="17">
        <f t="shared" ref="H297:J297" si="889">roundup((XLOOKUP($D297,$T$3:$T$10,$U$3:$U$10)*XLOOKUP(H$2,$AA$3:$AA$5,$AC$3:$AC$5)-ABS(XLOOKUP($C297,$Q$3:$Q$16,$R$3:$R$16)))*$B297,-5)</f>
        <v>76200000</v>
      </c>
      <c r="I297" s="17">
        <f t="shared" si="889"/>
        <v>209700000</v>
      </c>
      <c r="J297" s="17">
        <f t="shared" si="889"/>
        <v>227900000</v>
      </c>
      <c r="K297" s="17">
        <f t="shared" ref="K297:M297" si="890">roundup((XLOOKUP($D297,$T$3:$T$10,$U$3:$U$10)*XLOOKUP(K$2,$AA$3:$AA$5,$AD$3:$AD$5)-ABS(XLOOKUP($C297,$Q$3:$Q$16,$R$3:$R$16)))*$B297,-5)</f>
        <v>91000000</v>
      </c>
      <c r="L297" s="17">
        <f t="shared" si="890"/>
        <v>237500000</v>
      </c>
      <c r="M297" s="17">
        <f t="shared" si="890"/>
        <v>257500000</v>
      </c>
    </row>
    <row r="298">
      <c r="A298" s="14" t="s">
        <v>338</v>
      </c>
      <c r="B298" s="14">
        <v>304.0</v>
      </c>
      <c r="C298" s="15">
        <f t="shared" si="4"/>
        <v>14</v>
      </c>
      <c r="D298" s="14" t="s">
        <v>36</v>
      </c>
      <c r="E298" s="16">
        <f t="shared" ref="E298:G298" si="891">ROUNDUP((XLOOKUP($D298,$T$3:$T$10,$U$3:$U$10)*XLOOKUP(E$2,$AA$3:$AA$5,$AB$3:$AB$5)-ABS(XLOOKUP($C298,$Q$3:$Q$16,$R$3:$R$16)))*$B298,-5)</f>
        <v>70900000</v>
      </c>
      <c r="F298" s="16">
        <f t="shared" si="891"/>
        <v>128200000</v>
      </c>
      <c r="G298" s="16">
        <f t="shared" si="891"/>
        <v>140000000</v>
      </c>
      <c r="H298" s="17">
        <f t="shared" ref="H298:J298" si="892">roundup((XLOOKUP($D298,$T$3:$T$10,$U$3:$U$10)*XLOOKUP(H$2,$AA$3:$AA$5,$AC$3:$AC$5)-ABS(XLOOKUP($C298,$Q$3:$Q$16,$R$3:$R$16)))*$B298,-5)</f>
        <v>57900000</v>
      </c>
      <c r="I298" s="17">
        <f t="shared" si="892"/>
        <v>159400000</v>
      </c>
      <c r="J298" s="17">
        <f t="shared" si="892"/>
        <v>173200000</v>
      </c>
      <c r="K298" s="17">
        <f t="shared" ref="K298:M298" si="893">roundup((XLOOKUP($D298,$T$3:$T$10,$U$3:$U$10)*XLOOKUP(K$2,$AA$3:$AA$5,$AD$3:$AD$5)-ABS(XLOOKUP($C298,$Q$3:$Q$16,$R$3:$R$16)))*$B298,-5)</f>
        <v>69200000</v>
      </c>
      <c r="L298" s="17">
        <f t="shared" si="893"/>
        <v>180500000</v>
      </c>
      <c r="M298" s="17">
        <f t="shared" si="893"/>
        <v>195700000</v>
      </c>
    </row>
    <row r="299">
      <c r="A299" s="14" t="s">
        <v>339</v>
      </c>
      <c r="B299" s="14">
        <v>371.0</v>
      </c>
      <c r="C299" s="15">
        <f t="shared" si="4"/>
        <v>14</v>
      </c>
      <c r="D299" s="14" t="s">
        <v>36</v>
      </c>
      <c r="E299" s="16">
        <f t="shared" ref="E299:G299" si="894">ROUNDUP((XLOOKUP($D299,$T$3:$T$10,$U$3:$U$10)*XLOOKUP(E$2,$AA$3:$AA$5,$AB$3:$AB$5)-ABS(XLOOKUP($C299,$Q$3:$Q$16,$R$3:$R$16)))*$B299,-5)</f>
        <v>86600000</v>
      </c>
      <c r="F299" s="16">
        <f t="shared" si="894"/>
        <v>156400000</v>
      </c>
      <c r="G299" s="16">
        <f t="shared" si="894"/>
        <v>170900000</v>
      </c>
      <c r="H299" s="17">
        <f t="shared" ref="H299:J299" si="895">roundup((XLOOKUP($D299,$T$3:$T$10,$U$3:$U$10)*XLOOKUP(H$2,$AA$3:$AA$5,$AC$3:$AC$5)-ABS(XLOOKUP($C299,$Q$3:$Q$16,$R$3:$R$16)))*$B299,-5)</f>
        <v>70700000</v>
      </c>
      <c r="I299" s="17">
        <f t="shared" si="895"/>
        <v>194500000</v>
      </c>
      <c r="J299" s="17">
        <f t="shared" si="895"/>
        <v>211400000</v>
      </c>
      <c r="K299" s="17">
        <f t="shared" ref="K299:M299" si="896">roundup((XLOOKUP($D299,$T$3:$T$10,$U$3:$U$10)*XLOOKUP(K$2,$AA$3:$AA$5,$AD$3:$AD$5)-ABS(XLOOKUP($C299,$Q$3:$Q$16,$R$3:$R$16)))*$B299,-5)</f>
        <v>84400000</v>
      </c>
      <c r="L299" s="17">
        <f t="shared" si="896"/>
        <v>220300000</v>
      </c>
      <c r="M299" s="17">
        <f t="shared" si="896"/>
        <v>238800000</v>
      </c>
    </row>
    <row r="300">
      <c r="A300" s="14" t="s">
        <v>340</v>
      </c>
      <c r="B300" s="14">
        <v>371.0</v>
      </c>
      <c r="C300" s="15">
        <f t="shared" si="4"/>
        <v>14</v>
      </c>
      <c r="D300" s="14" t="s">
        <v>36</v>
      </c>
      <c r="E300" s="16">
        <f t="shared" ref="E300:G300" si="897">ROUNDUP((XLOOKUP($D300,$T$3:$T$10,$U$3:$U$10)*XLOOKUP(E$2,$AA$3:$AA$5,$AB$3:$AB$5)-ABS(XLOOKUP($C300,$Q$3:$Q$16,$R$3:$R$16)))*$B300,-5)</f>
        <v>86600000</v>
      </c>
      <c r="F300" s="16">
        <f t="shared" si="897"/>
        <v>156400000</v>
      </c>
      <c r="G300" s="16">
        <f t="shared" si="897"/>
        <v>170900000</v>
      </c>
      <c r="H300" s="17">
        <f t="shared" ref="H300:J300" si="898">roundup((XLOOKUP($D300,$T$3:$T$10,$U$3:$U$10)*XLOOKUP(H$2,$AA$3:$AA$5,$AC$3:$AC$5)-ABS(XLOOKUP($C300,$Q$3:$Q$16,$R$3:$R$16)))*$B300,-5)</f>
        <v>70700000</v>
      </c>
      <c r="I300" s="17">
        <f t="shared" si="898"/>
        <v>194500000</v>
      </c>
      <c r="J300" s="17">
        <f t="shared" si="898"/>
        <v>211400000</v>
      </c>
      <c r="K300" s="17">
        <f t="shared" ref="K300:M300" si="899">roundup((XLOOKUP($D300,$T$3:$T$10,$U$3:$U$10)*XLOOKUP(K$2,$AA$3:$AA$5,$AD$3:$AD$5)-ABS(XLOOKUP($C300,$Q$3:$Q$16,$R$3:$R$16)))*$B300,-5)</f>
        <v>84400000</v>
      </c>
      <c r="L300" s="17">
        <f t="shared" si="899"/>
        <v>220300000</v>
      </c>
      <c r="M300" s="17">
        <f t="shared" si="899"/>
        <v>238800000</v>
      </c>
    </row>
    <row r="301">
      <c r="A301" s="14" t="s">
        <v>341</v>
      </c>
      <c r="B301" s="14">
        <v>369.0</v>
      </c>
      <c r="C301" s="15">
        <f t="shared" si="4"/>
        <v>14</v>
      </c>
      <c r="D301" s="14" t="s">
        <v>33</v>
      </c>
      <c r="E301" s="16">
        <f t="shared" ref="E301:G301" si="900">ROUNDUP((XLOOKUP($D301,$T$3:$T$10,$U$3:$U$10)*XLOOKUP(E$2,$AA$3:$AA$5,$AB$3:$AB$5)-ABS(XLOOKUP($C301,$Q$3:$Q$16,$R$3:$R$16)))*$B301,-5)</f>
        <v>69300000</v>
      </c>
      <c r="F301" s="16">
        <f t="shared" si="900"/>
        <v>131300000</v>
      </c>
      <c r="G301" s="16">
        <f t="shared" si="900"/>
        <v>144100000</v>
      </c>
      <c r="H301" s="17">
        <f t="shared" ref="H301:J301" si="901">roundup((XLOOKUP($D301,$T$3:$T$10,$U$3:$U$10)*XLOOKUP(H$2,$AA$3:$AA$5,$AC$3:$AC$5)-ABS(XLOOKUP($C301,$Q$3:$Q$16,$R$3:$R$16)))*$B301,-5)</f>
        <v>55200000</v>
      </c>
      <c r="I301" s="17">
        <f t="shared" si="901"/>
        <v>165100000</v>
      </c>
      <c r="J301" s="17">
        <f t="shared" si="901"/>
        <v>180100000</v>
      </c>
      <c r="K301" s="17">
        <f t="shared" ref="K301:M301" si="902">roundup((XLOOKUP($D301,$T$3:$T$10,$U$3:$U$10)*XLOOKUP(K$2,$AA$3:$AA$5,$AD$3:$AD$5)-ABS(XLOOKUP($C301,$Q$3:$Q$16,$R$3:$R$16)))*$B301,-5)</f>
        <v>67400000</v>
      </c>
      <c r="L301" s="17">
        <f t="shared" si="902"/>
        <v>188000000</v>
      </c>
      <c r="M301" s="17">
        <f t="shared" si="902"/>
        <v>204400000</v>
      </c>
    </row>
    <row r="302">
      <c r="A302" s="14" t="s">
        <v>342</v>
      </c>
      <c r="B302" s="14">
        <v>345.0</v>
      </c>
      <c r="C302" s="15">
        <f t="shared" si="4"/>
        <v>14</v>
      </c>
      <c r="D302" s="14" t="s">
        <v>36</v>
      </c>
      <c r="E302" s="16">
        <f t="shared" ref="E302:G302" si="903">ROUNDUP((XLOOKUP($D302,$T$3:$T$10,$U$3:$U$10)*XLOOKUP(E$2,$AA$3:$AA$5,$AB$3:$AB$5)-ABS(XLOOKUP($C302,$Q$3:$Q$16,$R$3:$R$16)))*$B302,-5)</f>
        <v>80500000</v>
      </c>
      <c r="F302" s="16">
        <f t="shared" si="903"/>
        <v>145500000</v>
      </c>
      <c r="G302" s="16">
        <f t="shared" si="903"/>
        <v>158900000</v>
      </c>
      <c r="H302" s="17">
        <f t="shared" ref="H302:J302" si="904">roundup((XLOOKUP($D302,$T$3:$T$10,$U$3:$U$10)*XLOOKUP(H$2,$AA$3:$AA$5,$AC$3:$AC$5)-ABS(XLOOKUP($C302,$Q$3:$Q$16,$R$3:$R$16)))*$B302,-5)</f>
        <v>65700000</v>
      </c>
      <c r="I302" s="17">
        <f t="shared" si="904"/>
        <v>180900000</v>
      </c>
      <c r="J302" s="17">
        <f t="shared" si="904"/>
        <v>196600000</v>
      </c>
      <c r="K302" s="17">
        <f t="shared" ref="K302:M302" si="905">roundup((XLOOKUP($D302,$T$3:$T$10,$U$3:$U$10)*XLOOKUP(K$2,$AA$3:$AA$5,$AD$3:$AD$5)-ABS(XLOOKUP($C302,$Q$3:$Q$16,$R$3:$R$16)))*$B302,-5)</f>
        <v>78500000</v>
      </c>
      <c r="L302" s="17">
        <f t="shared" si="905"/>
        <v>204900000</v>
      </c>
      <c r="M302" s="17">
        <f t="shared" si="905"/>
        <v>222100000</v>
      </c>
    </row>
    <row r="303">
      <c r="A303" s="14" t="s">
        <v>343</v>
      </c>
      <c r="B303" s="14">
        <v>338.0</v>
      </c>
      <c r="C303" s="15">
        <f t="shared" si="4"/>
        <v>14</v>
      </c>
      <c r="D303" s="14" t="s">
        <v>36</v>
      </c>
      <c r="E303" s="16">
        <f t="shared" ref="E303:G303" si="906">ROUNDUP((XLOOKUP($D303,$T$3:$T$10,$U$3:$U$10)*XLOOKUP(E$2,$AA$3:$AA$5,$AB$3:$AB$5)-ABS(XLOOKUP($C303,$Q$3:$Q$16,$R$3:$R$16)))*$B303,-5)</f>
        <v>78900000</v>
      </c>
      <c r="F303" s="16">
        <f t="shared" si="906"/>
        <v>142500000</v>
      </c>
      <c r="G303" s="16">
        <f t="shared" si="906"/>
        <v>155700000</v>
      </c>
      <c r="H303" s="17">
        <f t="shared" ref="H303:J303" si="907">roundup((XLOOKUP($D303,$T$3:$T$10,$U$3:$U$10)*XLOOKUP(H$2,$AA$3:$AA$5,$AC$3:$AC$5)-ABS(XLOOKUP($C303,$Q$3:$Q$16,$R$3:$R$16)))*$B303,-5)</f>
        <v>64400000</v>
      </c>
      <c r="I303" s="17">
        <f t="shared" si="907"/>
        <v>177200000</v>
      </c>
      <c r="J303" s="17">
        <f t="shared" si="907"/>
        <v>192600000</v>
      </c>
      <c r="K303" s="17">
        <f t="shared" ref="K303:M303" si="908">roundup((XLOOKUP($D303,$T$3:$T$10,$U$3:$U$10)*XLOOKUP(K$2,$AA$3:$AA$5,$AD$3:$AD$5)-ABS(XLOOKUP($C303,$Q$3:$Q$16,$R$3:$R$16)))*$B303,-5)</f>
        <v>76900000</v>
      </c>
      <c r="L303" s="17">
        <f t="shared" si="908"/>
        <v>200700000</v>
      </c>
      <c r="M303" s="17">
        <f t="shared" si="908"/>
        <v>217600000</v>
      </c>
    </row>
    <row r="304">
      <c r="A304" s="14" t="s">
        <v>344</v>
      </c>
      <c r="B304" s="14">
        <v>335.0</v>
      </c>
      <c r="C304" s="15">
        <f t="shared" si="4"/>
        <v>14</v>
      </c>
      <c r="D304" s="14" t="s">
        <v>36</v>
      </c>
      <c r="E304" s="16">
        <f t="shared" ref="E304:G304" si="909">ROUNDUP((XLOOKUP($D304,$T$3:$T$10,$U$3:$U$10)*XLOOKUP(E$2,$AA$3:$AA$5,$AB$3:$AB$5)-ABS(XLOOKUP($C304,$Q$3:$Q$16,$R$3:$R$16)))*$B304,-5)</f>
        <v>78200000</v>
      </c>
      <c r="F304" s="16">
        <f t="shared" si="909"/>
        <v>141300000</v>
      </c>
      <c r="G304" s="16">
        <f t="shared" si="909"/>
        <v>154300000</v>
      </c>
      <c r="H304" s="17">
        <f t="shared" ref="H304:J304" si="910">roundup((XLOOKUP($D304,$T$3:$T$10,$U$3:$U$10)*XLOOKUP(H$2,$AA$3:$AA$5,$AC$3:$AC$5)-ABS(XLOOKUP($C304,$Q$3:$Q$16,$R$3:$R$16)))*$B304,-5)</f>
        <v>63800000</v>
      </c>
      <c r="I304" s="17">
        <f t="shared" si="910"/>
        <v>175600000</v>
      </c>
      <c r="J304" s="17">
        <f t="shared" si="910"/>
        <v>190900000</v>
      </c>
      <c r="K304" s="17">
        <f t="shared" ref="K304:M304" si="911">roundup((XLOOKUP($D304,$T$3:$T$10,$U$3:$U$10)*XLOOKUP(K$2,$AA$3:$AA$5,$AD$3:$AD$5)-ABS(XLOOKUP($C304,$Q$3:$Q$16,$R$3:$R$16)))*$B304,-5)</f>
        <v>76200000</v>
      </c>
      <c r="L304" s="17">
        <f t="shared" si="911"/>
        <v>198900000</v>
      </c>
      <c r="M304" s="17">
        <f t="shared" si="911"/>
        <v>215700000</v>
      </c>
    </row>
    <row r="305">
      <c r="A305" s="14" t="s">
        <v>345</v>
      </c>
      <c r="B305" s="14">
        <v>317.0</v>
      </c>
      <c r="C305" s="15">
        <f t="shared" si="4"/>
        <v>14</v>
      </c>
      <c r="D305" s="14" t="s">
        <v>33</v>
      </c>
      <c r="E305" s="16">
        <f t="shared" ref="E305:G305" si="912">ROUNDUP((XLOOKUP($D305,$T$3:$T$10,$U$3:$U$10)*XLOOKUP(E$2,$AA$3:$AA$5,$AB$3:$AB$5)-ABS(XLOOKUP($C305,$Q$3:$Q$16,$R$3:$R$16)))*$B305,-5)</f>
        <v>59500000</v>
      </c>
      <c r="F305" s="16">
        <f t="shared" si="912"/>
        <v>112800000</v>
      </c>
      <c r="G305" s="16">
        <f t="shared" si="912"/>
        <v>123800000</v>
      </c>
      <c r="H305" s="17">
        <f t="shared" ref="H305:J305" si="913">roundup((XLOOKUP($D305,$T$3:$T$10,$U$3:$U$10)*XLOOKUP(H$2,$AA$3:$AA$5,$AC$3:$AC$5)-ABS(XLOOKUP($C305,$Q$3:$Q$16,$R$3:$R$16)))*$B305,-5)</f>
        <v>47400000</v>
      </c>
      <c r="I305" s="17">
        <f t="shared" si="913"/>
        <v>141800000</v>
      </c>
      <c r="J305" s="17">
        <f t="shared" si="913"/>
        <v>154700000</v>
      </c>
      <c r="K305" s="17">
        <f t="shared" ref="K305:M305" si="914">roundup((XLOOKUP($D305,$T$3:$T$10,$U$3:$U$10)*XLOOKUP(K$2,$AA$3:$AA$5,$AD$3:$AD$5)-ABS(XLOOKUP($C305,$Q$3:$Q$16,$R$3:$R$16)))*$B305,-5)</f>
        <v>57900000</v>
      </c>
      <c r="L305" s="17">
        <f t="shared" si="914"/>
        <v>161500000</v>
      </c>
      <c r="M305" s="17">
        <f t="shared" si="914"/>
        <v>175600000</v>
      </c>
    </row>
    <row r="306">
      <c r="A306" s="14" t="s">
        <v>346</v>
      </c>
      <c r="B306" s="14">
        <v>316.0</v>
      </c>
      <c r="C306" s="15">
        <f t="shared" si="4"/>
        <v>14</v>
      </c>
      <c r="D306" s="14" t="s">
        <v>33</v>
      </c>
      <c r="E306" s="16">
        <f t="shared" ref="E306:G306" si="915">ROUNDUP((XLOOKUP($D306,$T$3:$T$10,$U$3:$U$10)*XLOOKUP(E$2,$AA$3:$AA$5,$AB$3:$AB$5)-ABS(XLOOKUP($C306,$Q$3:$Q$16,$R$3:$R$16)))*$B306,-5)</f>
        <v>59400000</v>
      </c>
      <c r="F306" s="16">
        <f t="shared" si="915"/>
        <v>112500000</v>
      </c>
      <c r="G306" s="16">
        <f t="shared" si="915"/>
        <v>123400000</v>
      </c>
      <c r="H306" s="17">
        <f t="shared" ref="H306:J306" si="916">roundup((XLOOKUP($D306,$T$3:$T$10,$U$3:$U$10)*XLOOKUP(H$2,$AA$3:$AA$5,$AC$3:$AC$5)-ABS(XLOOKUP($C306,$Q$3:$Q$16,$R$3:$R$16)))*$B306,-5)</f>
        <v>47300000</v>
      </c>
      <c r="I306" s="17">
        <f t="shared" si="916"/>
        <v>141400000</v>
      </c>
      <c r="J306" s="17">
        <f t="shared" si="916"/>
        <v>154200000</v>
      </c>
      <c r="K306" s="17">
        <f t="shared" ref="K306:M306" si="917">roundup((XLOOKUP($D306,$T$3:$T$10,$U$3:$U$10)*XLOOKUP(K$2,$AA$3:$AA$5,$AD$3:$AD$5)-ABS(XLOOKUP($C306,$Q$3:$Q$16,$R$3:$R$16)))*$B306,-5)</f>
        <v>57700000</v>
      </c>
      <c r="L306" s="17">
        <f t="shared" si="917"/>
        <v>161000000</v>
      </c>
      <c r="M306" s="17">
        <f t="shared" si="917"/>
        <v>175100000</v>
      </c>
    </row>
    <row r="307">
      <c r="A307" s="14" t="s">
        <v>347</v>
      </c>
      <c r="B307" s="14">
        <v>284.0</v>
      </c>
      <c r="C307" s="15">
        <f t="shared" si="4"/>
        <v>14</v>
      </c>
      <c r="D307" s="14" t="s">
        <v>36</v>
      </c>
      <c r="E307" s="16">
        <f t="shared" ref="E307:G307" si="918">ROUNDUP((XLOOKUP($D307,$T$3:$T$10,$U$3:$U$10)*XLOOKUP(E$2,$AA$3:$AA$5,$AB$3:$AB$5)-ABS(XLOOKUP($C307,$Q$3:$Q$16,$R$3:$R$16)))*$B307,-5)</f>
        <v>66300000</v>
      </c>
      <c r="F307" s="16">
        <f t="shared" si="918"/>
        <v>119800000</v>
      </c>
      <c r="G307" s="16">
        <f t="shared" si="918"/>
        <v>130800000</v>
      </c>
      <c r="H307" s="17">
        <f t="shared" ref="H307:J307" si="919">roundup((XLOOKUP($D307,$T$3:$T$10,$U$3:$U$10)*XLOOKUP(H$2,$AA$3:$AA$5,$AC$3:$AC$5)-ABS(XLOOKUP($C307,$Q$3:$Q$16,$R$3:$R$16)))*$B307,-5)</f>
        <v>54100000</v>
      </c>
      <c r="I307" s="17">
        <f t="shared" si="919"/>
        <v>148900000</v>
      </c>
      <c r="J307" s="17">
        <f t="shared" si="919"/>
        <v>161800000</v>
      </c>
      <c r="K307" s="17">
        <f t="shared" ref="K307:M307" si="920">roundup((XLOOKUP($D307,$T$3:$T$10,$U$3:$U$10)*XLOOKUP(K$2,$AA$3:$AA$5,$AD$3:$AD$5)-ABS(XLOOKUP($C307,$Q$3:$Q$16,$R$3:$R$16)))*$B307,-5)</f>
        <v>64600000</v>
      </c>
      <c r="L307" s="17">
        <f t="shared" si="920"/>
        <v>168600000</v>
      </c>
      <c r="M307" s="17">
        <f t="shared" si="920"/>
        <v>182800000</v>
      </c>
    </row>
    <row r="308">
      <c r="A308" s="14" t="s">
        <v>348</v>
      </c>
      <c r="B308" s="14">
        <v>311.0</v>
      </c>
      <c r="C308" s="15">
        <f t="shared" si="4"/>
        <v>14</v>
      </c>
      <c r="D308" s="14" t="s">
        <v>36</v>
      </c>
      <c r="E308" s="16">
        <f t="shared" ref="E308:G308" si="921">ROUNDUP((XLOOKUP($D308,$T$3:$T$10,$U$3:$U$10)*XLOOKUP(E$2,$AA$3:$AA$5,$AB$3:$AB$5)-ABS(XLOOKUP($C308,$Q$3:$Q$16,$R$3:$R$16)))*$B308,-5)</f>
        <v>72600000</v>
      </c>
      <c r="F308" s="16">
        <f t="shared" si="921"/>
        <v>131100000</v>
      </c>
      <c r="G308" s="16">
        <f t="shared" si="921"/>
        <v>143300000</v>
      </c>
      <c r="H308" s="17">
        <f t="shared" ref="H308:J308" si="922">roundup((XLOOKUP($D308,$T$3:$T$10,$U$3:$U$10)*XLOOKUP(H$2,$AA$3:$AA$5,$AC$3:$AC$5)-ABS(XLOOKUP($C308,$Q$3:$Q$16,$R$3:$R$16)))*$B308,-5)</f>
        <v>59200000</v>
      </c>
      <c r="I308" s="17">
        <f t="shared" si="922"/>
        <v>163100000</v>
      </c>
      <c r="J308" s="17">
        <f t="shared" si="922"/>
        <v>177200000</v>
      </c>
      <c r="K308" s="17">
        <f t="shared" ref="K308:M308" si="923">roundup((XLOOKUP($D308,$T$3:$T$10,$U$3:$U$10)*XLOOKUP(K$2,$AA$3:$AA$5,$AD$3:$AD$5)-ABS(XLOOKUP($C308,$Q$3:$Q$16,$R$3:$R$16)))*$B308,-5)</f>
        <v>70700000</v>
      </c>
      <c r="L308" s="17">
        <f t="shared" si="923"/>
        <v>184700000</v>
      </c>
      <c r="M308" s="17">
        <f t="shared" si="923"/>
        <v>200200000</v>
      </c>
    </row>
    <row r="309">
      <c r="A309" s="14" t="s">
        <v>349</v>
      </c>
      <c r="B309" s="14">
        <v>303.0</v>
      </c>
      <c r="C309" s="15">
        <f t="shared" si="4"/>
        <v>14</v>
      </c>
      <c r="D309" s="14" t="s">
        <v>36</v>
      </c>
      <c r="E309" s="16">
        <f t="shared" ref="E309:G309" si="924">ROUNDUP((XLOOKUP($D309,$T$3:$T$10,$U$3:$U$10)*XLOOKUP(E$2,$AA$3:$AA$5,$AB$3:$AB$5)-ABS(XLOOKUP($C309,$Q$3:$Q$16,$R$3:$R$16)))*$B309,-5)</f>
        <v>70700000</v>
      </c>
      <c r="F309" s="16">
        <f t="shared" si="924"/>
        <v>127800000</v>
      </c>
      <c r="G309" s="16">
        <f t="shared" si="924"/>
        <v>139600000</v>
      </c>
      <c r="H309" s="17">
        <f t="shared" ref="H309:J309" si="925">roundup((XLOOKUP($D309,$T$3:$T$10,$U$3:$U$10)*XLOOKUP(H$2,$AA$3:$AA$5,$AC$3:$AC$5)-ABS(XLOOKUP($C309,$Q$3:$Q$16,$R$3:$R$16)))*$B309,-5)</f>
        <v>57700000</v>
      </c>
      <c r="I309" s="17">
        <f t="shared" si="925"/>
        <v>158900000</v>
      </c>
      <c r="J309" s="17">
        <f t="shared" si="925"/>
        <v>172600000</v>
      </c>
      <c r="K309" s="17">
        <f t="shared" ref="K309:M309" si="926">roundup((XLOOKUP($D309,$T$3:$T$10,$U$3:$U$10)*XLOOKUP(K$2,$AA$3:$AA$5,$AD$3:$AD$5)-ABS(XLOOKUP($C309,$Q$3:$Q$16,$R$3:$R$16)))*$B309,-5)</f>
        <v>68900000</v>
      </c>
      <c r="L309" s="17">
        <f t="shared" si="926"/>
        <v>179900000</v>
      </c>
      <c r="M309" s="17">
        <f t="shared" si="926"/>
        <v>195100000</v>
      </c>
    </row>
    <row r="310">
      <c r="A310" s="14" t="s">
        <v>350</v>
      </c>
      <c r="B310" s="14">
        <v>299.0</v>
      </c>
      <c r="C310" s="15">
        <f t="shared" si="4"/>
        <v>14</v>
      </c>
      <c r="D310" s="14" t="s">
        <v>33</v>
      </c>
      <c r="E310" s="16">
        <f t="shared" ref="E310:G310" si="927">ROUNDUP((XLOOKUP($D310,$T$3:$T$10,$U$3:$U$10)*XLOOKUP(E$2,$AA$3:$AA$5,$AB$3:$AB$5)-ABS(XLOOKUP($C310,$Q$3:$Q$16,$R$3:$R$16)))*$B310,-5)</f>
        <v>56200000</v>
      </c>
      <c r="F310" s="16">
        <f t="shared" si="927"/>
        <v>106400000</v>
      </c>
      <c r="G310" s="16">
        <f t="shared" si="927"/>
        <v>116800000</v>
      </c>
      <c r="H310" s="17">
        <f t="shared" ref="H310:J310" si="928">roundup((XLOOKUP($D310,$T$3:$T$10,$U$3:$U$10)*XLOOKUP(H$2,$AA$3:$AA$5,$AC$3:$AC$5)-ABS(XLOOKUP($C310,$Q$3:$Q$16,$R$3:$R$16)))*$B310,-5)</f>
        <v>44700000</v>
      </c>
      <c r="I310" s="17">
        <f t="shared" si="928"/>
        <v>133800000</v>
      </c>
      <c r="J310" s="17">
        <f t="shared" si="928"/>
        <v>145900000</v>
      </c>
      <c r="K310" s="17">
        <f t="shared" ref="K310:M310" si="929">roundup((XLOOKUP($D310,$T$3:$T$10,$U$3:$U$10)*XLOOKUP(K$2,$AA$3:$AA$5,$AD$3:$AD$5)-ABS(XLOOKUP($C310,$Q$3:$Q$16,$R$3:$R$16)))*$B310,-5)</f>
        <v>54600000</v>
      </c>
      <c r="L310" s="17">
        <f t="shared" si="929"/>
        <v>152300000</v>
      </c>
      <c r="M310" s="17">
        <f t="shared" si="929"/>
        <v>165700000</v>
      </c>
    </row>
    <row r="311">
      <c r="A311" s="14" t="s">
        <v>351</v>
      </c>
      <c r="B311" s="14">
        <v>293.0</v>
      </c>
      <c r="C311" s="15">
        <f t="shared" si="4"/>
        <v>14</v>
      </c>
      <c r="D311" s="14" t="s">
        <v>36</v>
      </c>
      <c r="E311" s="16">
        <f t="shared" ref="E311:G311" si="930">ROUNDUP((XLOOKUP($D311,$T$3:$T$10,$U$3:$U$10)*XLOOKUP(E$2,$AA$3:$AA$5,$AB$3:$AB$5)-ABS(XLOOKUP($C311,$Q$3:$Q$16,$R$3:$R$16)))*$B311,-5)</f>
        <v>68400000</v>
      </c>
      <c r="F311" s="16">
        <f t="shared" si="930"/>
        <v>123600000</v>
      </c>
      <c r="G311" s="16">
        <f t="shared" si="930"/>
        <v>135000000</v>
      </c>
      <c r="H311" s="17">
        <f t="shared" ref="H311:J311" si="931">roundup((XLOOKUP($D311,$T$3:$T$10,$U$3:$U$10)*XLOOKUP(H$2,$AA$3:$AA$5,$AC$3:$AC$5)-ABS(XLOOKUP($C311,$Q$3:$Q$16,$R$3:$R$16)))*$B311,-5)</f>
        <v>55800000</v>
      </c>
      <c r="I311" s="17">
        <f t="shared" si="931"/>
        <v>153600000</v>
      </c>
      <c r="J311" s="17">
        <f t="shared" si="931"/>
        <v>166900000</v>
      </c>
      <c r="K311" s="17">
        <f t="shared" ref="K311:M311" si="932">roundup((XLOOKUP($D311,$T$3:$T$10,$U$3:$U$10)*XLOOKUP(K$2,$AA$3:$AA$5,$AD$3:$AD$5)-ABS(XLOOKUP($C311,$Q$3:$Q$16,$R$3:$R$16)))*$B311,-5)</f>
        <v>66700000</v>
      </c>
      <c r="L311" s="17">
        <f t="shared" si="932"/>
        <v>174000000</v>
      </c>
      <c r="M311" s="17">
        <f t="shared" si="932"/>
        <v>188600000</v>
      </c>
    </row>
    <row r="312">
      <c r="A312" s="14" t="s">
        <v>352</v>
      </c>
      <c r="B312" s="14">
        <v>245.0</v>
      </c>
      <c r="C312" s="15">
        <f t="shared" si="4"/>
        <v>14</v>
      </c>
      <c r="D312" s="14" t="s">
        <v>36</v>
      </c>
      <c r="E312" s="16">
        <f t="shared" ref="E312:G312" si="933">ROUNDUP((XLOOKUP($D312,$T$3:$T$10,$U$3:$U$10)*XLOOKUP(E$2,$AA$3:$AA$5,$AB$3:$AB$5)-ABS(XLOOKUP($C312,$Q$3:$Q$16,$R$3:$R$16)))*$B312,-5)</f>
        <v>57200000</v>
      </c>
      <c r="F312" s="16">
        <f t="shared" si="933"/>
        <v>103300000</v>
      </c>
      <c r="G312" s="16">
        <f t="shared" si="933"/>
        <v>112900000</v>
      </c>
      <c r="H312" s="17">
        <f t="shared" ref="H312:J312" si="934">roundup((XLOOKUP($D312,$T$3:$T$10,$U$3:$U$10)*XLOOKUP(H$2,$AA$3:$AA$5,$AC$3:$AC$5)-ABS(XLOOKUP($C312,$Q$3:$Q$16,$R$3:$R$16)))*$B312,-5)</f>
        <v>46700000</v>
      </c>
      <c r="I312" s="17">
        <f t="shared" si="934"/>
        <v>128500000</v>
      </c>
      <c r="J312" s="17">
        <f t="shared" si="934"/>
        <v>139600000</v>
      </c>
      <c r="K312" s="17">
        <f t="shared" ref="K312:M312" si="935">roundup((XLOOKUP($D312,$T$3:$T$10,$U$3:$U$10)*XLOOKUP(K$2,$AA$3:$AA$5,$AD$3:$AD$5)-ABS(XLOOKUP($C312,$Q$3:$Q$16,$R$3:$R$16)))*$B312,-5)</f>
        <v>55700000</v>
      </c>
      <c r="L312" s="17">
        <f t="shared" si="935"/>
        <v>145500000</v>
      </c>
      <c r="M312" s="17">
        <f t="shared" si="935"/>
        <v>157700000</v>
      </c>
    </row>
    <row r="313">
      <c r="A313" s="14" t="s">
        <v>353</v>
      </c>
      <c r="B313" s="14">
        <v>213.0</v>
      </c>
      <c r="C313" s="15">
        <f t="shared" si="4"/>
        <v>13</v>
      </c>
      <c r="D313" s="14" t="s">
        <v>33</v>
      </c>
      <c r="E313" s="16">
        <f t="shared" ref="E313:G313" si="936">ROUNDUP((XLOOKUP($D313,$T$3:$T$10,$U$3:$U$10)*XLOOKUP(E$2,$AA$3:$AA$5,$AB$3:$AB$5)-ABS(XLOOKUP($C313,$Q$3:$Q$16,$R$3:$R$16)))*$B313,-5)</f>
        <v>41900000</v>
      </c>
      <c r="F313" s="16">
        <f t="shared" si="936"/>
        <v>77700000</v>
      </c>
      <c r="G313" s="16">
        <f t="shared" si="936"/>
        <v>85100000</v>
      </c>
      <c r="H313" s="17">
        <f t="shared" ref="H313:J313" si="937">roundup((XLOOKUP($D313,$T$3:$T$10,$U$3:$U$10)*XLOOKUP(H$2,$AA$3:$AA$5,$AC$3:$AC$5)-ABS(XLOOKUP($C313,$Q$3:$Q$16,$R$3:$R$16)))*$B313,-5)</f>
        <v>33800000</v>
      </c>
      <c r="I313" s="17">
        <f t="shared" si="937"/>
        <v>97200000</v>
      </c>
      <c r="J313" s="17">
        <f t="shared" si="937"/>
        <v>105900000</v>
      </c>
      <c r="K313" s="17">
        <f t="shared" ref="K313:M313" si="938">roundup((XLOOKUP($D313,$T$3:$T$10,$U$3:$U$10)*XLOOKUP(K$2,$AA$3:$AA$5,$AD$3:$AD$5)-ABS(XLOOKUP($C313,$Q$3:$Q$16,$R$3:$R$16)))*$B313,-5)</f>
        <v>40800000</v>
      </c>
      <c r="L313" s="17">
        <f t="shared" si="938"/>
        <v>110400000</v>
      </c>
      <c r="M313" s="17">
        <f t="shared" si="938"/>
        <v>120000000</v>
      </c>
    </row>
    <row r="314">
      <c r="A314" s="14" t="s">
        <v>354</v>
      </c>
      <c r="B314" s="14">
        <v>263.0</v>
      </c>
      <c r="C314" s="15">
        <f t="shared" si="4"/>
        <v>14</v>
      </c>
      <c r="D314" s="14" t="s">
        <v>36</v>
      </c>
      <c r="E314" s="16">
        <f t="shared" ref="E314:G314" si="939">ROUNDUP((XLOOKUP($D314,$T$3:$T$10,$U$3:$U$10)*XLOOKUP(E$2,$AA$3:$AA$5,$AB$3:$AB$5)-ABS(XLOOKUP($C314,$Q$3:$Q$16,$R$3:$R$16)))*$B314,-5)</f>
        <v>61400000</v>
      </c>
      <c r="F314" s="16">
        <f t="shared" si="939"/>
        <v>110900000</v>
      </c>
      <c r="G314" s="16">
        <f t="shared" si="939"/>
        <v>121200000</v>
      </c>
      <c r="H314" s="17">
        <f t="shared" ref="H314:J314" si="940">roundup((XLOOKUP($D314,$T$3:$T$10,$U$3:$U$10)*XLOOKUP(H$2,$AA$3:$AA$5,$AC$3:$AC$5)-ABS(XLOOKUP($C314,$Q$3:$Q$16,$R$3:$R$16)))*$B314,-5)</f>
        <v>50100000</v>
      </c>
      <c r="I314" s="17">
        <f t="shared" si="940"/>
        <v>137900000</v>
      </c>
      <c r="J314" s="17">
        <f t="shared" si="940"/>
        <v>149900000</v>
      </c>
      <c r="K314" s="17">
        <f t="shared" ref="K314:M314" si="941">roundup((XLOOKUP($D314,$T$3:$T$10,$U$3:$U$10)*XLOOKUP(K$2,$AA$3:$AA$5,$AD$3:$AD$5)-ABS(XLOOKUP($C314,$Q$3:$Q$16,$R$3:$R$16)))*$B314,-5)</f>
        <v>59800000</v>
      </c>
      <c r="L314" s="17">
        <f t="shared" si="941"/>
        <v>156200000</v>
      </c>
      <c r="M314" s="17">
        <f t="shared" si="941"/>
        <v>169300000</v>
      </c>
    </row>
    <row r="315">
      <c r="A315" s="14" t="s">
        <v>355</v>
      </c>
      <c r="B315" s="14">
        <v>289.0</v>
      </c>
      <c r="C315" s="15">
        <f t="shared" si="4"/>
        <v>14</v>
      </c>
      <c r="D315" s="14" t="s">
        <v>33</v>
      </c>
      <c r="E315" s="16">
        <f t="shared" ref="E315:G315" si="942">ROUNDUP((XLOOKUP($D315,$T$3:$T$10,$U$3:$U$10)*XLOOKUP(E$2,$AA$3:$AA$5,$AB$3:$AB$5)-ABS(XLOOKUP($C315,$Q$3:$Q$16,$R$3:$R$16)))*$B315,-5)</f>
        <v>54300000</v>
      </c>
      <c r="F315" s="16">
        <f t="shared" si="942"/>
        <v>102900000</v>
      </c>
      <c r="G315" s="16">
        <f t="shared" si="942"/>
        <v>112900000</v>
      </c>
      <c r="H315" s="17">
        <f t="shared" ref="H315:J315" si="943">roundup((XLOOKUP($D315,$T$3:$T$10,$U$3:$U$10)*XLOOKUP(H$2,$AA$3:$AA$5,$AC$3:$AC$5)-ABS(XLOOKUP($C315,$Q$3:$Q$16,$R$3:$R$16)))*$B315,-5)</f>
        <v>43200000</v>
      </c>
      <c r="I315" s="17">
        <f t="shared" si="943"/>
        <v>129300000</v>
      </c>
      <c r="J315" s="17">
        <f t="shared" si="943"/>
        <v>141000000</v>
      </c>
      <c r="K315" s="17">
        <f t="shared" ref="K315:M315" si="944">roundup((XLOOKUP($D315,$T$3:$T$10,$U$3:$U$10)*XLOOKUP(K$2,$AA$3:$AA$5,$AD$3:$AD$5)-ABS(XLOOKUP($C315,$Q$3:$Q$16,$R$3:$R$16)))*$B315,-5)</f>
        <v>52800000</v>
      </c>
      <c r="L315" s="17">
        <f t="shared" si="944"/>
        <v>147200000</v>
      </c>
      <c r="M315" s="17">
        <f t="shared" si="944"/>
        <v>160100000</v>
      </c>
    </row>
    <row r="316">
      <c r="A316" s="14" t="s">
        <v>356</v>
      </c>
      <c r="B316" s="14">
        <v>289.0</v>
      </c>
      <c r="C316" s="15">
        <f t="shared" si="4"/>
        <v>14</v>
      </c>
      <c r="D316" s="14" t="s">
        <v>36</v>
      </c>
      <c r="E316" s="16">
        <f t="shared" ref="E316:G316" si="945">ROUNDUP((XLOOKUP($D316,$T$3:$T$10,$U$3:$U$10)*XLOOKUP(E$2,$AA$3:$AA$5,$AB$3:$AB$5)-ABS(XLOOKUP($C316,$Q$3:$Q$16,$R$3:$R$16)))*$B316,-5)</f>
        <v>67400000</v>
      </c>
      <c r="F316" s="16">
        <f t="shared" si="945"/>
        <v>121900000</v>
      </c>
      <c r="G316" s="16">
        <f t="shared" si="945"/>
        <v>133100000</v>
      </c>
      <c r="H316" s="17">
        <f t="shared" ref="H316:J316" si="946">roundup((XLOOKUP($D316,$T$3:$T$10,$U$3:$U$10)*XLOOKUP(H$2,$AA$3:$AA$5,$AC$3:$AC$5)-ABS(XLOOKUP($C316,$Q$3:$Q$16,$R$3:$R$16)))*$B316,-5)</f>
        <v>55000000</v>
      </c>
      <c r="I316" s="17">
        <f t="shared" si="946"/>
        <v>151500000</v>
      </c>
      <c r="J316" s="17">
        <f t="shared" si="946"/>
        <v>164700000</v>
      </c>
      <c r="K316" s="17">
        <f t="shared" ref="K316:M316" si="947">roundup((XLOOKUP($D316,$T$3:$T$10,$U$3:$U$10)*XLOOKUP(K$2,$AA$3:$AA$5,$AD$3:$AD$5)-ABS(XLOOKUP($C316,$Q$3:$Q$16,$R$3:$R$16)))*$B316,-5)</f>
        <v>65700000</v>
      </c>
      <c r="L316" s="17">
        <f t="shared" si="947"/>
        <v>171600000</v>
      </c>
      <c r="M316" s="17">
        <f t="shared" si="947"/>
        <v>186100000</v>
      </c>
    </row>
    <row r="317">
      <c r="A317" s="14" t="s">
        <v>357</v>
      </c>
      <c r="B317" s="14">
        <v>284.0</v>
      </c>
      <c r="C317" s="15">
        <f t="shared" si="4"/>
        <v>14</v>
      </c>
      <c r="D317" s="14" t="s">
        <v>33</v>
      </c>
      <c r="E317" s="16">
        <f t="shared" ref="E317:G317" si="948">ROUNDUP((XLOOKUP($D317,$T$3:$T$10,$U$3:$U$10)*XLOOKUP(E$2,$AA$3:$AA$5,$AB$3:$AB$5)-ABS(XLOOKUP($C317,$Q$3:$Q$16,$R$3:$R$16)))*$B317,-5)</f>
        <v>53300000</v>
      </c>
      <c r="F317" s="16">
        <f t="shared" si="948"/>
        <v>101100000</v>
      </c>
      <c r="G317" s="16">
        <f t="shared" si="948"/>
        <v>111000000</v>
      </c>
      <c r="H317" s="17">
        <f t="shared" ref="H317:J317" si="949">roundup((XLOOKUP($D317,$T$3:$T$10,$U$3:$U$10)*XLOOKUP(H$2,$AA$3:$AA$5,$AC$3:$AC$5)-ABS(XLOOKUP($C317,$Q$3:$Q$16,$R$3:$R$16)))*$B317,-5)</f>
        <v>42500000</v>
      </c>
      <c r="I317" s="17">
        <f t="shared" si="949"/>
        <v>127100000</v>
      </c>
      <c r="J317" s="17">
        <f t="shared" si="949"/>
        <v>138600000</v>
      </c>
      <c r="K317" s="17">
        <f t="shared" ref="K317:M317" si="950">roundup((XLOOKUP($D317,$T$3:$T$10,$U$3:$U$10)*XLOOKUP(K$2,$AA$3:$AA$5,$AD$3:$AD$5)-ABS(XLOOKUP($C317,$Q$3:$Q$16,$R$3:$R$16)))*$B317,-5)</f>
        <v>51900000</v>
      </c>
      <c r="L317" s="17">
        <f t="shared" si="950"/>
        <v>144700000</v>
      </c>
      <c r="M317" s="17">
        <f t="shared" si="950"/>
        <v>157400000</v>
      </c>
    </row>
    <row r="318">
      <c r="A318" s="14" t="s">
        <v>358</v>
      </c>
      <c r="B318" s="14">
        <v>281.0</v>
      </c>
      <c r="C318" s="15">
        <f t="shared" si="4"/>
        <v>14</v>
      </c>
      <c r="D318" s="14" t="s">
        <v>36</v>
      </c>
      <c r="E318" s="16">
        <f t="shared" ref="E318:G318" si="951">ROUNDUP((XLOOKUP($D318,$T$3:$T$10,$U$3:$U$10)*XLOOKUP(E$2,$AA$3:$AA$5,$AB$3:$AB$5)-ABS(XLOOKUP($C318,$Q$3:$Q$16,$R$3:$R$16)))*$B318,-5)</f>
        <v>65600000</v>
      </c>
      <c r="F318" s="16">
        <f t="shared" si="951"/>
        <v>118500000</v>
      </c>
      <c r="G318" s="16">
        <f t="shared" si="951"/>
        <v>129500000</v>
      </c>
      <c r="H318" s="17">
        <f t="shared" ref="H318:J318" si="952">roundup((XLOOKUP($D318,$T$3:$T$10,$U$3:$U$10)*XLOOKUP(H$2,$AA$3:$AA$5,$AC$3:$AC$5)-ABS(XLOOKUP($C318,$Q$3:$Q$16,$R$3:$R$16)))*$B318,-5)</f>
        <v>53500000</v>
      </c>
      <c r="I318" s="17">
        <f t="shared" si="952"/>
        <v>147300000</v>
      </c>
      <c r="J318" s="17">
        <f t="shared" si="952"/>
        <v>160100000</v>
      </c>
      <c r="K318" s="17">
        <f t="shared" ref="K318:M318" si="953">roundup((XLOOKUP($D318,$T$3:$T$10,$U$3:$U$10)*XLOOKUP(K$2,$AA$3:$AA$5,$AD$3:$AD$5)-ABS(XLOOKUP($C318,$Q$3:$Q$16,$R$3:$R$16)))*$B318,-5)</f>
        <v>63900000</v>
      </c>
      <c r="L318" s="17">
        <f t="shared" si="953"/>
        <v>166900000</v>
      </c>
      <c r="M318" s="17">
        <f t="shared" si="953"/>
        <v>180900000</v>
      </c>
    </row>
    <row r="319">
      <c r="A319" s="14" t="s">
        <v>359</v>
      </c>
      <c r="B319" s="14">
        <v>127.0</v>
      </c>
      <c r="C319" s="15">
        <f t="shared" si="4"/>
        <v>11</v>
      </c>
      <c r="D319" s="14" t="s">
        <v>36</v>
      </c>
      <c r="E319" s="16">
        <f t="shared" ref="E319:G319" si="954">ROUNDUP((XLOOKUP($D319,$T$3:$T$10,$U$3:$U$10)*XLOOKUP(E$2,$AA$3:$AA$5,$AB$3:$AB$5)-ABS(XLOOKUP($C319,$Q$3:$Q$16,$R$3:$R$16)))*$B319,-5)</f>
        <v>33300000</v>
      </c>
      <c r="F319" s="16">
        <f t="shared" si="954"/>
        <v>57300000</v>
      </c>
      <c r="G319" s="16">
        <f t="shared" si="954"/>
        <v>62200000</v>
      </c>
      <c r="H319" s="17">
        <f t="shared" ref="H319:J319" si="955">roundup((XLOOKUP($D319,$T$3:$T$10,$U$3:$U$10)*XLOOKUP(H$2,$AA$3:$AA$5,$AC$3:$AC$5)-ABS(XLOOKUP($C319,$Q$3:$Q$16,$R$3:$R$16)))*$B319,-5)</f>
        <v>27900000</v>
      </c>
      <c r="I319" s="17">
        <f t="shared" si="955"/>
        <v>70300000</v>
      </c>
      <c r="J319" s="17">
        <f t="shared" si="955"/>
        <v>76100000</v>
      </c>
      <c r="K319" s="17">
        <f t="shared" ref="K319:M319" si="956">roundup((XLOOKUP($D319,$T$3:$T$10,$U$3:$U$10)*XLOOKUP(K$2,$AA$3:$AA$5,$AD$3:$AD$5)-ABS(XLOOKUP($C319,$Q$3:$Q$16,$R$3:$R$16)))*$B319,-5)</f>
        <v>32600000</v>
      </c>
      <c r="L319" s="17">
        <f t="shared" si="956"/>
        <v>79100000</v>
      </c>
      <c r="M319" s="17">
        <f t="shared" si="956"/>
        <v>85500000</v>
      </c>
    </row>
    <row r="320">
      <c r="A320" s="14" t="s">
        <v>360</v>
      </c>
      <c r="B320" s="14">
        <v>294.0</v>
      </c>
      <c r="C320" s="15">
        <f t="shared" si="4"/>
        <v>14</v>
      </c>
      <c r="D320" s="14" t="s">
        <v>36</v>
      </c>
      <c r="E320" s="16">
        <f t="shared" ref="E320:G320" si="957">ROUNDUP((XLOOKUP($D320,$T$3:$T$10,$U$3:$U$10)*XLOOKUP(E$2,$AA$3:$AA$5,$AB$3:$AB$5)-ABS(XLOOKUP($C320,$Q$3:$Q$16,$R$3:$R$16)))*$B320,-5)</f>
        <v>68600000</v>
      </c>
      <c r="F320" s="16">
        <f t="shared" si="957"/>
        <v>124000000</v>
      </c>
      <c r="G320" s="16">
        <f t="shared" si="957"/>
        <v>135400000</v>
      </c>
      <c r="H320" s="17">
        <f t="shared" ref="H320:J320" si="958">roundup((XLOOKUP($D320,$T$3:$T$10,$U$3:$U$10)*XLOOKUP(H$2,$AA$3:$AA$5,$AC$3:$AC$5)-ABS(XLOOKUP($C320,$Q$3:$Q$16,$R$3:$R$16)))*$B320,-5)</f>
        <v>56000000</v>
      </c>
      <c r="I320" s="17">
        <f t="shared" si="958"/>
        <v>154200000</v>
      </c>
      <c r="J320" s="17">
        <f t="shared" si="958"/>
        <v>167500000</v>
      </c>
      <c r="K320" s="17">
        <f t="shared" ref="K320:M320" si="959">roundup((XLOOKUP($D320,$T$3:$T$10,$U$3:$U$10)*XLOOKUP(K$2,$AA$3:$AA$5,$AD$3:$AD$5)-ABS(XLOOKUP($C320,$Q$3:$Q$16,$R$3:$R$16)))*$B320,-5)</f>
        <v>66900000</v>
      </c>
      <c r="L320" s="17">
        <f t="shared" si="959"/>
        <v>174600000</v>
      </c>
      <c r="M320" s="17">
        <f t="shared" si="959"/>
        <v>189300000</v>
      </c>
    </row>
    <row r="321">
      <c r="A321" s="14" t="s">
        <v>361</v>
      </c>
      <c r="B321" s="14">
        <v>195.0</v>
      </c>
      <c r="C321" s="15">
        <f t="shared" si="4"/>
        <v>13</v>
      </c>
      <c r="D321" s="14" t="s">
        <v>36</v>
      </c>
      <c r="E321" s="16">
        <f t="shared" ref="E321:G321" si="960">ROUNDUP((XLOOKUP($D321,$T$3:$T$10,$U$3:$U$10)*XLOOKUP(E$2,$AA$3:$AA$5,$AB$3:$AB$5)-ABS(XLOOKUP($C321,$Q$3:$Q$16,$R$3:$R$16)))*$B321,-5)</f>
        <v>47300000</v>
      </c>
      <c r="F321" s="16">
        <f t="shared" si="960"/>
        <v>84000000</v>
      </c>
      <c r="G321" s="16">
        <f t="shared" si="960"/>
        <v>91600000</v>
      </c>
      <c r="H321" s="17">
        <f t="shared" ref="H321:J321" si="961">roundup((XLOOKUP($D321,$T$3:$T$10,$U$3:$U$10)*XLOOKUP(H$2,$AA$3:$AA$5,$AC$3:$AC$5)-ABS(XLOOKUP($C321,$Q$3:$Q$16,$R$3:$R$16)))*$B321,-5)</f>
        <v>38900000</v>
      </c>
      <c r="I321" s="17">
        <f t="shared" si="961"/>
        <v>104000000</v>
      </c>
      <c r="J321" s="17">
        <f t="shared" si="961"/>
        <v>112900000</v>
      </c>
      <c r="K321" s="17">
        <f t="shared" ref="K321:M321" si="962">roundup((XLOOKUP($D321,$T$3:$T$10,$U$3:$U$10)*XLOOKUP(K$2,$AA$3:$AA$5,$AD$3:$AD$5)-ABS(XLOOKUP($C321,$Q$3:$Q$16,$R$3:$R$16)))*$B321,-5)</f>
        <v>46100000</v>
      </c>
      <c r="L321" s="17">
        <f t="shared" si="962"/>
        <v>117600000</v>
      </c>
      <c r="M321" s="17">
        <f t="shared" si="962"/>
        <v>127300000</v>
      </c>
    </row>
    <row r="322">
      <c r="A322" s="14" t="s">
        <v>362</v>
      </c>
      <c r="B322" s="14">
        <v>270.0</v>
      </c>
      <c r="C322" s="15">
        <f t="shared" si="4"/>
        <v>14</v>
      </c>
      <c r="D322" s="14" t="s">
        <v>36</v>
      </c>
      <c r="E322" s="16">
        <f t="shared" ref="E322:G322" si="963">ROUNDUP((XLOOKUP($D322,$T$3:$T$10,$U$3:$U$10)*XLOOKUP(E$2,$AA$3:$AA$5,$AB$3:$AB$5)-ABS(XLOOKUP($C322,$Q$3:$Q$16,$R$3:$R$16)))*$B322,-5)</f>
        <v>63000000</v>
      </c>
      <c r="F322" s="16">
        <f t="shared" si="963"/>
        <v>113900000</v>
      </c>
      <c r="G322" s="16">
        <f t="shared" si="963"/>
        <v>124400000</v>
      </c>
      <c r="H322" s="17">
        <f t="shared" ref="H322:J322" si="964">roundup((XLOOKUP($D322,$T$3:$T$10,$U$3:$U$10)*XLOOKUP(H$2,$AA$3:$AA$5,$AC$3:$AC$5)-ABS(XLOOKUP($C322,$Q$3:$Q$16,$R$3:$R$16)))*$B322,-5)</f>
        <v>51400000</v>
      </c>
      <c r="I322" s="17">
        <f t="shared" si="964"/>
        <v>141600000</v>
      </c>
      <c r="J322" s="17">
        <f t="shared" si="964"/>
        <v>153800000</v>
      </c>
      <c r="K322" s="17">
        <f t="shared" ref="K322:M322" si="965">roundup((XLOOKUP($D322,$T$3:$T$10,$U$3:$U$10)*XLOOKUP(K$2,$AA$3:$AA$5,$AD$3:$AD$5)-ABS(XLOOKUP($C322,$Q$3:$Q$16,$R$3:$R$16)))*$B322,-5)</f>
        <v>61400000</v>
      </c>
      <c r="L322" s="17">
        <f t="shared" si="965"/>
        <v>160300000</v>
      </c>
      <c r="M322" s="17">
        <f t="shared" si="965"/>
        <v>173800000</v>
      </c>
    </row>
    <row r="323">
      <c r="A323" s="14" t="s">
        <v>363</v>
      </c>
      <c r="B323" s="14">
        <v>237.0</v>
      </c>
      <c r="C323" s="15">
        <f t="shared" si="4"/>
        <v>14</v>
      </c>
      <c r="D323" s="14" t="s">
        <v>36</v>
      </c>
      <c r="E323" s="16">
        <f t="shared" ref="E323:G323" si="966">ROUNDUP((XLOOKUP($D323,$T$3:$T$10,$U$3:$U$10)*XLOOKUP(E$2,$AA$3:$AA$5,$AB$3:$AB$5)-ABS(XLOOKUP($C323,$Q$3:$Q$16,$R$3:$R$16)))*$B323,-5)</f>
        <v>55300000</v>
      </c>
      <c r="F323" s="16">
        <f t="shared" si="966"/>
        <v>100000000</v>
      </c>
      <c r="G323" s="16">
        <f t="shared" si="966"/>
        <v>109200000</v>
      </c>
      <c r="H323" s="17">
        <f t="shared" ref="H323:J323" si="967">roundup((XLOOKUP($D323,$T$3:$T$10,$U$3:$U$10)*XLOOKUP(H$2,$AA$3:$AA$5,$AC$3:$AC$5)-ABS(XLOOKUP($C323,$Q$3:$Q$16,$R$3:$R$16)))*$B323,-5)</f>
        <v>45200000</v>
      </c>
      <c r="I323" s="17">
        <f t="shared" si="967"/>
        <v>124300000</v>
      </c>
      <c r="J323" s="17">
        <f t="shared" si="967"/>
        <v>135000000</v>
      </c>
      <c r="K323" s="17">
        <f t="shared" ref="K323:M323" si="968">roundup((XLOOKUP($D323,$T$3:$T$10,$U$3:$U$10)*XLOOKUP(K$2,$AA$3:$AA$5,$AD$3:$AD$5)-ABS(XLOOKUP($C323,$Q$3:$Q$16,$R$3:$R$16)))*$B323,-5)</f>
        <v>53900000</v>
      </c>
      <c r="L323" s="17">
        <f t="shared" si="968"/>
        <v>140700000</v>
      </c>
      <c r="M323" s="17">
        <f t="shared" si="968"/>
        <v>152600000</v>
      </c>
    </row>
    <row r="324">
      <c r="A324" s="14" t="s">
        <v>364</v>
      </c>
      <c r="B324" s="14">
        <v>257.0</v>
      </c>
      <c r="C324" s="15">
        <f t="shared" si="4"/>
        <v>14</v>
      </c>
      <c r="D324" s="14" t="s">
        <v>36</v>
      </c>
      <c r="E324" s="16">
        <f t="shared" ref="E324:G324" si="969">ROUNDUP((XLOOKUP($D324,$T$3:$T$10,$U$3:$U$10)*XLOOKUP(E$2,$AA$3:$AA$5,$AB$3:$AB$5)-ABS(XLOOKUP($C324,$Q$3:$Q$16,$R$3:$R$16)))*$B324,-5)</f>
        <v>60000000</v>
      </c>
      <c r="F324" s="16">
        <f t="shared" si="969"/>
        <v>108400000</v>
      </c>
      <c r="G324" s="16">
        <f t="shared" si="969"/>
        <v>118400000</v>
      </c>
      <c r="H324" s="17">
        <f t="shared" ref="H324:J324" si="970">roundup((XLOOKUP($D324,$T$3:$T$10,$U$3:$U$10)*XLOOKUP(H$2,$AA$3:$AA$5,$AC$3:$AC$5)-ABS(XLOOKUP($C324,$Q$3:$Q$16,$R$3:$R$16)))*$B324,-5)</f>
        <v>49000000</v>
      </c>
      <c r="I324" s="17">
        <f t="shared" si="970"/>
        <v>134800000</v>
      </c>
      <c r="J324" s="17">
        <f t="shared" si="970"/>
        <v>146400000</v>
      </c>
      <c r="K324" s="17">
        <f t="shared" ref="K324:M324" si="971">roundup((XLOOKUP($D324,$T$3:$T$10,$U$3:$U$10)*XLOOKUP(K$2,$AA$3:$AA$5,$AD$3:$AD$5)-ABS(XLOOKUP($C324,$Q$3:$Q$16,$R$3:$R$16)))*$B324,-5)</f>
        <v>58500000</v>
      </c>
      <c r="L324" s="17">
        <f t="shared" si="971"/>
        <v>152600000</v>
      </c>
      <c r="M324" s="17">
        <f t="shared" si="971"/>
        <v>165500000</v>
      </c>
    </row>
    <row r="325">
      <c r="A325" s="14" t="s">
        <v>365</v>
      </c>
      <c r="B325" s="14">
        <v>165.0</v>
      </c>
      <c r="C325" s="15">
        <f t="shared" si="4"/>
        <v>12</v>
      </c>
      <c r="D325" s="14" t="s">
        <v>36</v>
      </c>
      <c r="E325" s="16">
        <f t="shared" ref="E325:G325" si="972">ROUNDUP((XLOOKUP($D325,$T$3:$T$10,$U$3:$U$10)*XLOOKUP(E$2,$AA$3:$AA$5,$AB$3:$AB$5)-ABS(XLOOKUP($C325,$Q$3:$Q$16,$R$3:$R$16)))*$B325,-5)</f>
        <v>42500000</v>
      </c>
      <c r="F325" s="16">
        <f t="shared" si="972"/>
        <v>73600000</v>
      </c>
      <c r="G325" s="16">
        <f t="shared" si="972"/>
        <v>80000000</v>
      </c>
      <c r="H325" s="17">
        <f t="shared" ref="H325:J325" si="973">roundup((XLOOKUP($D325,$T$3:$T$10,$U$3:$U$10)*XLOOKUP(H$2,$AA$3:$AA$5,$AC$3:$AC$5)-ABS(XLOOKUP($C325,$Q$3:$Q$16,$R$3:$R$16)))*$B325,-5)</f>
        <v>35400000</v>
      </c>
      <c r="I325" s="17">
        <f t="shared" si="973"/>
        <v>90500000</v>
      </c>
      <c r="J325" s="17">
        <f t="shared" si="973"/>
        <v>98000000</v>
      </c>
      <c r="K325" s="17">
        <f t="shared" ref="K325:M325" si="974">roundup((XLOOKUP($D325,$T$3:$T$10,$U$3:$U$10)*XLOOKUP(K$2,$AA$3:$AA$5,$AD$3:$AD$5)-ABS(XLOOKUP($C325,$Q$3:$Q$16,$R$3:$R$16)))*$B325,-5)</f>
        <v>41500000</v>
      </c>
      <c r="L325" s="17">
        <f t="shared" si="974"/>
        <v>102000000</v>
      </c>
      <c r="M325" s="17">
        <f t="shared" si="974"/>
        <v>110200000</v>
      </c>
    </row>
    <row r="326">
      <c r="A326" s="14" t="s">
        <v>366</v>
      </c>
      <c r="B326" s="14">
        <v>267.0</v>
      </c>
      <c r="C326" s="15">
        <f t="shared" si="4"/>
        <v>14</v>
      </c>
      <c r="D326" s="14" t="s">
        <v>36</v>
      </c>
      <c r="E326" s="16">
        <f t="shared" ref="E326:G326" si="975">ROUNDUP((XLOOKUP($D326,$T$3:$T$10,$U$3:$U$10)*XLOOKUP(E$2,$AA$3:$AA$5,$AB$3:$AB$5)-ABS(XLOOKUP($C326,$Q$3:$Q$16,$R$3:$R$16)))*$B326,-5)</f>
        <v>62300000</v>
      </c>
      <c r="F326" s="16">
        <f t="shared" si="975"/>
        <v>112600000</v>
      </c>
      <c r="G326" s="16">
        <f t="shared" si="975"/>
        <v>123000000</v>
      </c>
      <c r="H326" s="17">
        <f t="shared" ref="H326:J326" si="976">roundup((XLOOKUP($D326,$T$3:$T$10,$U$3:$U$10)*XLOOKUP(H$2,$AA$3:$AA$5,$AC$3:$AC$5)-ABS(XLOOKUP($C326,$Q$3:$Q$16,$R$3:$R$16)))*$B326,-5)</f>
        <v>50900000</v>
      </c>
      <c r="I326" s="17">
        <f t="shared" si="976"/>
        <v>140000000</v>
      </c>
      <c r="J326" s="17">
        <f t="shared" si="976"/>
        <v>152100000</v>
      </c>
      <c r="K326" s="17">
        <f t="shared" ref="K326:M326" si="977">roundup((XLOOKUP($D326,$T$3:$T$10,$U$3:$U$10)*XLOOKUP(K$2,$AA$3:$AA$5,$AD$3:$AD$5)-ABS(XLOOKUP($C326,$Q$3:$Q$16,$R$3:$R$16)))*$B326,-5)</f>
        <v>60700000</v>
      </c>
      <c r="L326" s="17">
        <f t="shared" si="977"/>
        <v>158600000</v>
      </c>
      <c r="M326" s="17">
        <f t="shared" si="977"/>
        <v>171900000</v>
      </c>
    </row>
    <row r="327">
      <c r="A327" s="14" t="s">
        <v>367</v>
      </c>
      <c r="B327" s="14">
        <v>170.0</v>
      </c>
      <c r="C327" s="15">
        <f t="shared" si="4"/>
        <v>12</v>
      </c>
      <c r="D327" s="14" t="s">
        <v>36</v>
      </c>
      <c r="E327" s="16">
        <f t="shared" ref="E327:G327" si="978">ROUNDUP((XLOOKUP($D327,$T$3:$T$10,$U$3:$U$10)*XLOOKUP(E$2,$AA$3:$AA$5,$AB$3:$AB$5)-ABS(XLOOKUP($C327,$Q$3:$Q$16,$R$3:$R$16)))*$B327,-5)</f>
        <v>43800000</v>
      </c>
      <c r="F327" s="16">
        <f t="shared" si="978"/>
        <v>75800000</v>
      </c>
      <c r="G327" s="16">
        <f t="shared" si="978"/>
        <v>82400000</v>
      </c>
      <c r="H327" s="17">
        <f t="shared" ref="H327:J327" si="979">roundup((XLOOKUP($D327,$T$3:$T$10,$U$3:$U$10)*XLOOKUP(H$2,$AA$3:$AA$5,$AC$3:$AC$5)-ABS(XLOOKUP($C327,$Q$3:$Q$16,$R$3:$R$16)))*$B327,-5)</f>
        <v>36500000</v>
      </c>
      <c r="I327" s="17">
        <f t="shared" si="979"/>
        <v>93200000</v>
      </c>
      <c r="J327" s="17">
        <f t="shared" si="979"/>
        <v>101000000</v>
      </c>
      <c r="K327" s="17">
        <f t="shared" ref="K327:M327" si="980">roundup((XLOOKUP($D327,$T$3:$T$10,$U$3:$U$10)*XLOOKUP(K$2,$AA$3:$AA$5,$AD$3:$AD$5)-ABS(XLOOKUP($C327,$Q$3:$Q$16,$R$3:$R$16)))*$B327,-5)</f>
        <v>42800000</v>
      </c>
      <c r="L327" s="17">
        <f t="shared" si="980"/>
        <v>105100000</v>
      </c>
      <c r="M327" s="17">
        <f t="shared" si="980"/>
        <v>113600000</v>
      </c>
    </row>
    <row r="328">
      <c r="A328" s="14" t="s">
        <v>368</v>
      </c>
      <c r="B328" s="14">
        <v>246.0</v>
      </c>
      <c r="C328" s="15">
        <f t="shared" si="4"/>
        <v>14</v>
      </c>
      <c r="D328" s="14" t="s">
        <v>33</v>
      </c>
      <c r="E328" s="16">
        <f t="shared" ref="E328:G328" si="981">ROUNDUP((XLOOKUP($D328,$T$3:$T$10,$U$3:$U$10)*XLOOKUP(E$2,$AA$3:$AA$5,$AB$3:$AB$5)-ABS(XLOOKUP($C328,$Q$3:$Q$16,$R$3:$R$16)))*$B328,-5)</f>
        <v>46200000</v>
      </c>
      <c r="F328" s="16">
        <f t="shared" si="981"/>
        <v>87600000</v>
      </c>
      <c r="G328" s="16">
        <f t="shared" si="981"/>
        <v>96100000</v>
      </c>
      <c r="H328" s="17">
        <f t="shared" ref="H328:J328" si="982">roundup((XLOOKUP($D328,$T$3:$T$10,$U$3:$U$10)*XLOOKUP(H$2,$AA$3:$AA$5,$AC$3:$AC$5)-ABS(XLOOKUP($C328,$Q$3:$Q$16,$R$3:$R$16)))*$B328,-5)</f>
        <v>36800000</v>
      </c>
      <c r="I328" s="17">
        <f t="shared" si="982"/>
        <v>110100000</v>
      </c>
      <c r="J328" s="17">
        <f t="shared" si="982"/>
        <v>120100000</v>
      </c>
      <c r="K328" s="17">
        <f t="shared" ref="K328:M328" si="983">roundup((XLOOKUP($D328,$T$3:$T$10,$U$3:$U$10)*XLOOKUP(K$2,$AA$3:$AA$5,$AD$3:$AD$5)-ABS(XLOOKUP($C328,$Q$3:$Q$16,$R$3:$R$16)))*$B328,-5)</f>
        <v>44900000</v>
      </c>
      <c r="L328" s="17">
        <f t="shared" si="983"/>
        <v>125300000</v>
      </c>
      <c r="M328" s="17">
        <f t="shared" si="983"/>
        <v>136300000</v>
      </c>
    </row>
    <row r="329">
      <c r="A329" s="14" t="s">
        <v>369</v>
      </c>
      <c r="B329" s="14">
        <v>246.0</v>
      </c>
      <c r="C329" s="15">
        <f t="shared" si="4"/>
        <v>14</v>
      </c>
      <c r="D329" s="14" t="s">
        <v>36</v>
      </c>
      <c r="E329" s="16">
        <f t="shared" ref="E329:G329" si="984">ROUNDUP((XLOOKUP($D329,$T$3:$T$10,$U$3:$U$10)*XLOOKUP(E$2,$AA$3:$AA$5,$AB$3:$AB$5)-ABS(XLOOKUP($C329,$Q$3:$Q$16,$R$3:$R$16)))*$B329,-5)</f>
        <v>57400000</v>
      </c>
      <c r="F329" s="16">
        <f t="shared" si="984"/>
        <v>103700000</v>
      </c>
      <c r="G329" s="16">
        <f t="shared" si="984"/>
        <v>113300000</v>
      </c>
      <c r="H329" s="17">
        <f t="shared" ref="H329:J329" si="985">roundup((XLOOKUP($D329,$T$3:$T$10,$U$3:$U$10)*XLOOKUP(H$2,$AA$3:$AA$5,$AC$3:$AC$5)-ABS(XLOOKUP($C329,$Q$3:$Q$16,$R$3:$R$16)))*$B329,-5)</f>
        <v>46900000</v>
      </c>
      <c r="I329" s="17">
        <f t="shared" si="985"/>
        <v>129000000</v>
      </c>
      <c r="J329" s="17">
        <f t="shared" si="985"/>
        <v>140200000</v>
      </c>
      <c r="K329" s="17">
        <f t="shared" ref="K329:M329" si="986">roundup((XLOOKUP($D329,$T$3:$T$10,$U$3:$U$10)*XLOOKUP(K$2,$AA$3:$AA$5,$AD$3:$AD$5)-ABS(XLOOKUP($C329,$Q$3:$Q$16,$R$3:$R$16)))*$B329,-5)</f>
        <v>56000000</v>
      </c>
      <c r="L329" s="17">
        <f t="shared" si="986"/>
        <v>146100000</v>
      </c>
      <c r="M329" s="17">
        <f t="shared" si="986"/>
        <v>158400000</v>
      </c>
    </row>
    <row r="330">
      <c r="A330" s="14" t="s">
        <v>370</v>
      </c>
      <c r="B330" s="14">
        <v>252.0</v>
      </c>
      <c r="C330" s="15">
        <f t="shared" si="4"/>
        <v>14</v>
      </c>
      <c r="D330" s="14" t="s">
        <v>36</v>
      </c>
      <c r="E330" s="16">
        <f t="shared" ref="E330:G330" si="987">ROUNDUP((XLOOKUP($D330,$T$3:$T$10,$U$3:$U$10)*XLOOKUP(E$2,$AA$3:$AA$5,$AB$3:$AB$5)-ABS(XLOOKUP($C330,$Q$3:$Q$16,$R$3:$R$16)))*$B330,-5)</f>
        <v>58800000</v>
      </c>
      <c r="F330" s="16">
        <f t="shared" si="987"/>
        <v>106300000</v>
      </c>
      <c r="G330" s="16">
        <f t="shared" si="987"/>
        <v>116100000</v>
      </c>
      <c r="H330" s="17">
        <f t="shared" ref="H330:J330" si="988">roundup((XLOOKUP($D330,$T$3:$T$10,$U$3:$U$10)*XLOOKUP(H$2,$AA$3:$AA$5,$AC$3:$AC$5)-ABS(XLOOKUP($C330,$Q$3:$Q$16,$R$3:$R$16)))*$B330,-5)</f>
        <v>48000000</v>
      </c>
      <c r="I330" s="17">
        <f t="shared" si="988"/>
        <v>132100000</v>
      </c>
      <c r="J330" s="17">
        <f t="shared" si="988"/>
        <v>143600000</v>
      </c>
      <c r="K330" s="17">
        <f t="shared" ref="K330:M330" si="989">roundup((XLOOKUP($D330,$T$3:$T$10,$U$3:$U$10)*XLOOKUP(K$2,$AA$3:$AA$5,$AD$3:$AD$5)-ABS(XLOOKUP($C330,$Q$3:$Q$16,$R$3:$R$16)))*$B330,-5)</f>
        <v>57300000</v>
      </c>
      <c r="L330" s="17">
        <f t="shared" si="989"/>
        <v>149600000</v>
      </c>
      <c r="M330" s="17">
        <f t="shared" si="989"/>
        <v>162300000</v>
      </c>
    </row>
    <row r="331">
      <c r="A331" s="14" t="s">
        <v>371</v>
      </c>
      <c r="B331" s="14">
        <v>245.0</v>
      </c>
      <c r="C331" s="15">
        <f t="shared" si="4"/>
        <v>14</v>
      </c>
      <c r="D331" s="14" t="s">
        <v>36</v>
      </c>
      <c r="E331" s="16">
        <f t="shared" ref="E331:G331" si="990">ROUNDUP((XLOOKUP($D331,$T$3:$T$10,$U$3:$U$10)*XLOOKUP(E$2,$AA$3:$AA$5,$AB$3:$AB$5)-ABS(XLOOKUP($C331,$Q$3:$Q$16,$R$3:$R$16)))*$B331,-5)</f>
        <v>57200000</v>
      </c>
      <c r="F331" s="16">
        <f t="shared" si="990"/>
        <v>103300000</v>
      </c>
      <c r="G331" s="16">
        <f t="shared" si="990"/>
        <v>112900000</v>
      </c>
      <c r="H331" s="17">
        <f t="shared" ref="H331:J331" si="991">roundup((XLOOKUP($D331,$T$3:$T$10,$U$3:$U$10)*XLOOKUP(H$2,$AA$3:$AA$5,$AC$3:$AC$5)-ABS(XLOOKUP($C331,$Q$3:$Q$16,$R$3:$R$16)))*$B331,-5)</f>
        <v>46700000</v>
      </c>
      <c r="I331" s="17">
        <f t="shared" si="991"/>
        <v>128500000</v>
      </c>
      <c r="J331" s="17">
        <f t="shared" si="991"/>
        <v>139600000</v>
      </c>
      <c r="K331" s="17">
        <f t="shared" ref="K331:M331" si="992">roundup((XLOOKUP($D331,$T$3:$T$10,$U$3:$U$10)*XLOOKUP(K$2,$AA$3:$AA$5,$AD$3:$AD$5)-ABS(XLOOKUP($C331,$Q$3:$Q$16,$R$3:$R$16)))*$B331,-5)</f>
        <v>55700000</v>
      </c>
      <c r="L331" s="17">
        <f t="shared" si="992"/>
        <v>145500000</v>
      </c>
      <c r="M331" s="17">
        <f t="shared" si="992"/>
        <v>157700000</v>
      </c>
    </row>
    <row r="332">
      <c r="A332" s="14" t="s">
        <v>372</v>
      </c>
      <c r="B332" s="14">
        <v>243.0</v>
      </c>
      <c r="C332" s="15">
        <f t="shared" si="4"/>
        <v>14</v>
      </c>
      <c r="D332" s="14" t="s">
        <v>36</v>
      </c>
      <c r="E332" s="16">
        <f t="shared" ref="E332:G332" si="993">ROUNDUP((XLOOKUP($D332,$T$3:$T$10,$U$3:$U$10)*XLOOKUP(E$2,$AA$3:$AA$5,$AB$3:$AB$5)-ABS(XLOOKUP($C332,$Q$3:$Q$16,$R$3:$R$16)))*$B332,-5)</f>
        <v>56700000</v>
      </c>
      <c r="F332" s="16">
        <f t="shared" si="993"/>
        <v>102500000</v>
      </c>
      <c r="G332" s="16">
        <f t="shared" si="993"/>
        <v>112000000</v>
      </c>
      <c r="H332" s="17">
        <f t="shared" ref="H332:J332" si="994">roundup((XLOOKUP($D332,$T$3:$T$10,$U$3:$U$10)*XLOOKUP(H$2,$AA$3:$AA$5,$AC$3:$AC$5)-ABS(XLOOKUP($C332,$Q$3:$Q$16,$R$3:$R$16)))*$B332,-5)</f>
        <v>46300000</v>
      </c>
      <c r="I332" s="17">
        <f t="shared" si="994"/>
        <v>127400000</v>
      </c>
      <c r="J332" s="17">
        <f t="shared" si="994"/>
        <v>138500000</v>
      </c>
      <c r="K332" s="17">
        <f t="shared" ref="K332:M332" si="995">roundup((XLOOKUP($D332,$T$3:$T$10,$U$3:$U$10)*XLOOKUP(K$2,$AA$3:$AA$5,$AD$3:$AD$5)-ABS(XLOOKUP($C332,$Q$3:$Q$16,$R$3:$R$16)))*$B332,-5)</f>
        <v>55300000</v>
      </c>
      <c r="L332" s="17">
        <f t="shared" si="995"/>
        <v>144300000</v>
      </c>
      <c r="M332" s="17">
        <f t="shared" si="995"/>
        <v>156500000</v>
      </c>
    </row>
    <row r="333">
      <c r="A333" s="14" t="s">
        <v>373</v>
      </c>
      <c r="B333" s="14">
        <v>240.0</v>
      </c>
      <c r="C333" s="15">
        <f t="shared" si="4"/>
        <v>14</v>
      </c>
      <c r="D333" s="14" t="s">
        <v>33</v>
      </c>
      <c r="E333" s="16">
        <f t="shared" ref="E333:G333" si="996">ROUNDUP((XLOOKUP($D333,$T$3:$T$10,$U$3:$U$10)*XLOOKUP(E$2,$AA$3:$AA$5,$AB$3:$AB$5)-ABS(XLOOKUP($C333,$Q$3:$Q$16,$R$3:$R$16)))*$B333,-5)</f>
        <v>45100000</v>
      </c>
      <c r="F333" s="16">
        <f t="shared" si="996"/>
        <v>85400000</v>
      </c>
      <c r="G333" s="16">
        <f t="shared" si="996"/>
        <v>93800000</v>
      </c>
      <c r="H333" s="17">
        <f t="shared" ref="H333:J333" si="997">roundup((XLOOKUP($D333,$T$3:$T$10,$U$3:$U$10)*XLOOKUP(H$2,$AA$3:$AA$5,$AC$3:$AC$5)-ABS(XLOOKUP($C333,$Q$3:$Q$16,$R$3:$R$16)))*$B333,-5)</f>
        <v>35900000</v>
      </c>
      <c r="I333" s="17">
        <f t="shared" si="997"/>
        <v>107400000</v>
      </c>
      <c r="J333" s="17">
        <f t="shared" si="997"/>
        <v>117100000</v>
      </c>
      <c r="K333" s="17">
        <f t="shared" ref="K333:M333" si="998">roundup((XLOOKUP($D333,$T$3:$T$10,$U$3:$U$10)*XLOOKUP(K$2,$AA$3:$AA$5,$AD$3:$AD$5)-ABS(XLOOKUP($C333,$Q$3:$Q$16,$R$3:$R$16)))*$B333,-5)</f>
        <v>43800000</v>
      </c>
      <c r="L333" s="17">
        <f t="shared" si="998"/>
        <v>122300000</v>
      </c>
      <c r="M333" s="17">
        <f t="shared" si="998"/>
        <v>133000000</v>
      </c>
    </row>
    <row r="334">
      <c r="A334" s="14" t="s">
        <v>374</v>
      </c>
      <c r="B334" s="14">
        <v>240.0</v>
      </c>
      <c r="C334" s="15">
        <f t="shared" si="4"/>
        <v>14</v>
      </c>
      <c r="D334" s="14" t="s">
        <v>36</v>
      </c>
      <c r="E334" s="16">
        <f t="shared" ref="E334:G334" si="999">ROUNDUP((XLOOKUP($D334,$T$3:$T$10,$U$3:$U$10)*XLOOKUP(E$2,$AA$3:$AA$5,$AB$3:$AB$5)-ABS(XLOOKUP($C334,$Q$3:$Q$16,$R$3:$R$16)))*$B334,-5)</f>
        <v>56000000</v>
      </c>
      <c r="F334" s="16">
        <f t="shared" si="999"/>
        <v>101200000</v>
      </c>
      <c r="G334" s="16">
        <f t="shared" si="999"/>
        <v>110600000</v>
      </c>
      <c r="H334" s="17">
        <f t="shared" ref="H334:J334" si="1000">roundup((XLOOKUP($D334,$T$3:$T$10,$U$3:$U$10)*XLOOKUP(H$2,$AA$3:$AA$5,$AC$3:$AC$5)-ABS(XLOOKUP($C334,$Q$3:$Q$16,$R$3:$R$16)))*$B334,-5)</f>
        <v>45700000</v>
      </c>
      <c r="I334" s="17">
        <f t="shared" si="1000"/>
        <v>125800000</v>
      </c>
      <c r="J334" s="17">
        <f t="shared" si="1000"/>
        <v>136800000</v>
      </c>
      <c r="K334" s="17">
        <f t="shared" ref="K334:M334" si="1001">roundup((XLOOKUP($D334,$T$3:$T$10,$U$3:$U$10)*XLOOKUP(K$2,$AA$3:$AA$5,$AD$3:$AD$5)-ABS(XLOOKUP($C334,$Q$3:$Q$16,$R$3:$R$16)))*$B334,-5)</f>
        <v>54600000</v>
      </c>
      <c r="L334" s="17">
        <f t="shared" si="1001"/>
        <v>142500000</v>
      </c>
      <c r="M334" s="17">
        <f t="shared" si="1001"/>
        <v>154500000</v>
      </c>
    </row>
    <row r="335">
      <c r="A335" s="14" t="s">
        <v>375</v>
      </c>
      <c r="B335" s="14">
        <v>249.0</v>
      </c>
      <c r="C335" s="15">
        <f t="shared" si="4"/>
        <v>14</v>
      </c>
      <c r="D335" s="14" t="s">
        <v>33</v>
      </c>
      <c r="E335" s="16">
        <f t="shared" ref="E335:G335" si="1002">ROUNDUP((XLOOKUP($D335,$T$3:$T$10,$U$3:$U$10)*XLOOKUP(E$2,$AA$3:$AA$5,$AB$3:$AB$5)-ABS(XLOOKUP($C335,$Q$3:$Q$16,$R$3:$R$16)))*$B335,-5)</f>
        <v>46800000</v>
      </c>
      <c r="F335" s="16">
        <f t="shared" si="1002"/>
        <v>88600000</v>
      </c>
      <c r="G335" s="16">
        <f t="shared" si="1002"/>
        <v>97300000</v>
      </c>
      <c r="H335" s="17">
        <f t="shared" ref="H335:J335" si="1003">roundup((XLOOKUP($D335,$T$3:$T$10,$U$3:$U$10)*XLOOKUP(H$2,$AA$3:$AA$5,$AC$3:$AC$5)-ABS(XLOOKUP($C335,$Q$3:$Q$16,$R$3:$R$16)))*$B335,-5)</f>
        <v>37300000</v>
      </c>
      <c r="I335" s="17">
        <f t="shared" si="1003"/>
        <v>111400000</v>
      </c>
      <c r="J335" s="17">
        <f t="shared" si="1003"/>
        <v>121500000</v>
      </c>
      <c r="K335" s="17">
        <f t="shared" ref="K335:M335" si="1004">roundup((XLOOKUP($D335,$T$3:$T$10,$U$3:$U$10)*XLOOKUP(K$2,$AA$3:$AA$5,$AD$3:$AD$5)-ABS(XLOOKUP($C335,$Q$3:$Q$16,$R$3:$R$16)))*$B335,-5)</f>
        <v>45500000</v>
      </c>
      <c r="L335" s="17">
        <f t="shared" si="1004"/>
        <v>126900000</v>
      </c>
      <c r="M335" s="17">
        <f t="shared" si="1004"/>
        <v>138000000</v>
      </c>
    </row>
    <row r="336">
      <c r="A336" s="14" t="s">
        <v>376</v>
      </c>
      <c r="B336" s="14">
        <v>240.0</v>
      </c>
      <c r="C336" s="15">
        <f t="shared" si="4"/>
        <v>14</v>
      </c>
      <c r="D336" s="14" t="s">
        <v>33</v>
      </c>
      <c r="E336" s="16">
        <f t="shared" ref="E336:G336" si="1005">ROUNDUP((XLOOKUP($D336,$T$3:$T$10,$U$3:$U$10)*XLOOKUP(E$2,$AA$3:$AA$5,$AB$3:$AB$5)-ABS(XLOOKUP($C336,$Q$3:$Q$16,$R$3:$R$16)))*$B336,-5)</f>
        <v>45100000</v>
      </c>
      <c r="F336" s="16">
        <f t="shared" si="1005"/>
        <v>85400000</v>
      </c>
      <c r="G336" s="16">
        <f t="shared" si="1005"/>
        <v>93800000</v>
      </c>
      <c r="H336" s="17">
        <f t="shared" ref="H336:J336" si="1006">roundup((XLOOKUP($D336,$T$3:$T$10,$U$3:$U$10)*XLOOKUP(H$2,$AA$3:$AA$5,$AC$3:$AC$5)-ABS(XLOOKUP($C336,$Q$3:$Q$16,$R$3:$R$16)))*$B336,-5)</f>
        <v>35900000</v>
      </c>
      <c r="I336" s="17">
        <f t="shared" si="1006"/>
        <v>107400000</v>
      </c>
      <c r="J336" s="17">
        <f t="shared" si="1006"/>
        <v>117100000</v>
      </c>
      <c r="K336" s="17">
        <f t="shared" ref="K336:M336" si="1007">roundup((XLOOKUP($D336,$T$3:$T$10,$U$3:$U$10)*XLOOKUP(K$2,$AA$3:$AA$5,$AD$3:$AD$5)-ABS(XLOOKUP($C336,$Q$3:$Q$16,$R$3:$R$16)))*$B336,-5)</f>
        <v>43800000</v>
      </c>
      <c r="L336" s="17">
        <f t="shared" si="1007"/>
        <v>122300000</v>
      </c>
      <c r="M336" s="17">
        <f t="shared" si="1007"/>
        <v>133000000</v>
      </c>
    </row>
    <row r="337">
      <c r="A337" s="14" t="s">
        <v>377</v>
      </c>
      <c r="B337" s="14">
        <v>233.0</v>
      </c>
      <c r="C337" s="15">
        <f t="shared" si="4"/>
        <v>14</v>
      </c>
      <c r="D337" s="14" t="s">
        <v>33</v>
      </c>
      <c r="E337" s="16">
        <f t="shared" ref="E337:G337" si="1008">ROUNDUP((XLOOKUP($D337,$T$3:$T$10,$U$3:$U$10)*XLOOKUP(E$2,$AA$3:$AA$5,$AB$3:$AB$5)-ABS(XLOOKUP($C337,$Q$3:$Q$16,$R$3:$R$16)))*$B337,-5)</f>
        <v>43800000</v>
      </c>
      <c r="F337" s="16">
        <f t="shared" si="1008"/>
        <v>82900000</v>
      </c>
      <c r="G337" s="16">
        <f t="shared" si="1008"/>
        <v>91000000</v>
      </c>
      <c r="H337" s="17">
        <f t="shared" ref="H337:J337" si="1009">roundup((XLOOKUP($D337,$T$3:$T$10,$U$3:$U$10)*XLOOKUP(H$2,$AA$3:$AA$5,$AC$3:$AC$5)-ABS(XLOOKUP($C337,$Q$3:$Q$16,$R$3:$R$16)))*$B337,-5)</f>
        <v>34900000</v>
      </c>
      <c r="I337" s="17">
        <f t="shared" si="1009"/>
        <v>104300000</v>
      </c>
      <c r="J337" s="17">
        <f t="shared" si="1009"/>
        <v>113700000</v>
      </c>
      <c r="K337" s="17">
        <f t="shared" ref="K337:M337" si="1010">roundup((XLOOKUP($D337,$T$3:$T$10,$U$3:$U$10)*XLOOKUP(K$2,$AA$3:$AA$5,$AD$3:$AD$5)-ABS(XLOOKUP($C337,$Q$3:$Q$16,$R$3:$R$16)))*$B337,-5)</f>
        <v>42600000</v>
      </c>
      <c r="L337" s="17">
        <f t="shared" si="1010"/>
        <v>118700000</v>
      </c>
      <c r="M337" s="17">
        <f t="shared" si="1010"/>
        <v>129100000</v>
      </c>
    </row>
    <row r="338">
      <c r="A338" s="14" t="s">
        <v>378</v>
      </c>
      <c r="B338" s="14">
        <v>233.0</v>
      </c>
      <c r="C338" s="15">
        <f t="shared" si="4"/>
        <v>14</v>
      </c>
      <c r="D338" s="14" t="s">
        <v>36</v>
      </c>
      <c r="E338" s="16">
        <f t="shared" ref="E338:G338" si="1011">ROUNDUP((XLOOKUP($D338,$T$3:$T$10,$U$3:$U$10)*XLOOKUP(E$2,$AA$3:$AA$5,$AB$3:$AB$5)-ABS(XLOOKUP($C338,$Q$3:$Q$16,$R$3:$R$16)))*$B338,-5)</f>
        <v>54400000</v>
      </c>
      <c r="F338" s="16">
        <f t="shared" si="1011"/>
        <v>98300000</v>
      </c>
      <c r="G338" s="16">
        <f t="shared" si="1011"/>
        <v>107300000</v>
      </c>
      <c r="H338" s="17">
        <f t="shared" ref="H338:J338" si="1012">roundup((XLOOKUP($D338,$T$3:$T$10,$U$3:$U$10)*XLOOKUP(H$2,$AA$3:$AA$5,$AC$3:$AC$5)-ABS(XLOOKUP($C338,$Q$3:$Q$16,$R$3:$R$16)))*$B338,-5)</f>
        <v>44400000</v>
      </c>
      <c r="I338" s="17">
        <f t="shared" si="1012"/>
        <v>122200000</v>
      </c>
      <c r="J338" s="17">
        <f t="shared" si="1012"/>
        <v>132800000</v>
      </c>
      <c r="K338" s="17">
        <f t="shared" ref="K338:M338" si="1013">roundup((XLOOKUP($D338,$T$3:$T$10,$U$3:$U$10)*XLOOKUP(K$2,$AA$3:$AA$5,$AD$3:$AD$5)-ABS(XLOOKUP($C338,$Q$3:$Q$16,$R$3:$R$16)))*$B338,-5)</f>
        <v>53000000</v>
      </c>
      <c r="L338" s="17">
        <f t="shared" si="1013"/>
        <v>138400000</v>
      </c>
      <c r="M338" s="17">
        <f t="shared" si="1013"/>
        <v>150000000</v>
      </c>
    </row>
    <row r="339">
      <c r="A339" s="14" t="s">
        <v>379</v>
      </c>
      <c r="B339" s="14">
        <v>212.0</v>
      </c>
      <c r="C339" s="15">
        <f t="shared" si="4"/>
        <v>13</v>
      </c>
      <c r="D339" s="14" t="s">
        <v>36</v>
      </c>
      <c r="E339" s="16">
        <f t="shared" ref="E339:G339" si="1014">ROUNDUP((XLOOKUP($D339,$T$3:$T$10,$U$3:$U$10)*XLOOKUP(E$2,$AA$3:$AA$5,$AB$3:$AB$5)-ABS(XLOOKUP($C339,$Q$3:$Q$16,$R$3:$R$16)))*$B339,-5)</f>
        <v>51400000</v>
      </c>
      <c r="F339" s="16">
        <f t="shared" si="1014"/>
        <v>91300000</v>
      </c>
      <c r="G339" s="16">
        <f t="shared" si="1014"/>
        <v>99600000</v>
      </c>
      <c r="H339" s="17">
        <f t="shared" ref="H339:J339" si="1015">roundup((XLOOKUP($D339,$T$3:$T$10,$U$3:$U$10)*XLOOKUP(H$2,$AA$3:$AA$5,$AC$3:$AC$5)-ABS(XLOOKUP($C339,$Q$3:$Q$16,$R$3:$R$16)))*$B339,-5)</f>
        <v>42300000</v>
      </c>
      <c r="I339" s="17">
        <f t="shared" si="1015"/>
        <v>113100000</v>
      </c>
      <c r="J339" s="17">
        <f t="shared" si="1015"/>
        <v>122700000</v>
      </c>
      <c r="K339" s="17">
        <f t="shared" ref="K339:M339" si="1016">roundup((XLOOKUP($D339,$T$3:$T$10,$U$3:$U$10)*XLOOKUP(K$2,$AA$3:$AA$5,$AD$3:$AD$5)-ABS(XLOOKUP($C339,$Q$3:$Q$16,$R$3:$R$16)))*$B339,-5)</f>
        <v>50200000</v>
      </c>
      <c r="L339" s="17">
        <f t="shared" si="1016"/>
        <v>127800000</v>
      </c>
      <c r="M339" s="17">
        <f t="shared" si="1016"/>
        <v>138400000</v>
      </c>
    </row>
    <row r="340">
      <c r="A340" s="14" t="s">
        <v>380</v>
      </c>
      <c r="B340" s="14">
        <v>232.0</v>
      </c>
      <c r="C340" s="15">
        <f t="shared" si="4"/>
        <v>14</v>
      </c>
      <c r="D340" s="14" t="s">
        <v>36</v>
      </c>
      <c r="E340" s="16">
        <f t="shared" ref="E340:G340" si="1017">ROUNDUP((XLOOKUP($D340,$T$3:$T$10,$U$3:$U$10)*XLOOKUP(E$2,$AA$3:$AA$5,$AB$3:$AB$5)-ABS(XLOOKUP($C340,$Q$3:$Q$16,$R$3:$R$16)))*$B340,-5)</f>
        <v>54100000</v>
      </c>
      <c r="F340" s="16">
        <f t="shared" si="1017"/>
        <v>97800000</v>
      </c>
      <c r="G340" s="16">
        <f t="shared" si="1017"/>
        <v>106900000</v>
      </c>
      <c r="H340" s="17">
        <f t="shared" ref="H340:J340" si="1018">roundup((XLOOKUP($D340,$T$3:$T$10,$U$3:$U$10)*XLOOKUP(H$2,$AA$3:$AA$5,$AC$3:$AC$5)-ABS(XLOOKUP($C340,$Q$3:$Q$16,$R$3:$R$16)))*$B340,-5)</f>
        <v>44200000</v>
      </c>
      <c r="I340" s="17">
        <f t="shared" si="1018"/>
        <v>121700000</v>
      </c>
      <c r="J340" s="17">
        <f t="shared" si="1018"/>
        <v>132200000</v>
      </c>
      <c r="K340" s="17">
        <f t="shared" ref="K340:M340" si="1019">roundup((XLOOKUP($D340,$T$3:$T$10,$U$3:$U$10)*XLOOKUP(K$2,$AA$3:$AA$5,$AD$3:$AD$5)-ABS(XLOOKUP($C340,$Q$3:$Q$16,$R$3:$R$16)))*$B340,-5)</f>
        <v>52800000</v>
      </c>
      <c r="L340" s="17">
        <f t="shared" si="1019"/>
        <v>137800000</v>
      </c>
      <c r="M340" s="17">
        <f t="shared" si="1019"/>
        <v>149400000</v>
      </c>
    </row>
    <row r="341">
      <c r="A341" s="14" t="s">
        <v>381</v>
      </c>
      <c r="B341" s="14">
        <v>225.0</v>
      </c>
      <c r="C341" s="15">
        <f t="shared" si="4"/>
        <v>14</v>
      </c>
      <c r="D341" s="14" t="s">
        <v>36</v>
      </c>
      <c r="E341" s="16">
        <f t="shared" ref="E341:G341" si="1020">ROUNDUP((XLOOKUP($D341,$T$3:$T$10,$U$3:$U$10)*XLOOKUP(E$2,$AA$3:$AA$5,$AB$3:$AB$5)-ABS(XLOOKUP($C341,$Q$3:$Q$16,$R$3:$R$16)))*$B341,-5)</f>
        <v>52500000</v>
      </c>
      <c r="F341" s="16">
        <f t="shared" si="1020"/>
        <v>94900000</v>
      </c>
      <c r="G341" s="16">
        <f t="shared" si="1020"/>
        <v>103700000</v>
      </c>
      <c r="H341" s="17">
        <f t="shared" ref="H341:J341" si="1021">roundup((XLOOKUP($D341,$T$3:$T$10,$U$3:$U$10)*XLOOKUP(H$2,$AA$3:$AA$5,$AC$3:$AC$5)-ABS(XLOOKUP($C341,$Q$3:$Q$16,$R$3:$R$16)))*$B341,-5)</f>
        <v>42900000</v>
      </c>
      <c r="I341" s="17">
        <f t="shared" si="1021"/>
        <v>118000000</v>
      </c>
      <c r="J341" s="17">
        <f t="shared" si="1021"/>
        <v>128200000</v>
      </c>
      <c r="K341" s="17">
        <f t="shared" ref="K341:M341" si="1022">roundup((XLOOKUP($D341,$T$3:$T$10,$U$3:$U$10)*XLOOKUP(K$2,$AA$3:$AA$5,$AD$3:$AD$5)-ABS(XLOOKUP($C341,$Q$3:$Q$16,$R$3:$R$16)))*$B341,-5)</f>
        <v>51200000</v>
      </c>
      <c r="L341" s="17">
        <f t="shared" si="1022"/>
        <v>133600000</v>
      </c>
      <c r="M341" s="17">
        <f t="shared" si="1022"/>
        <v>144900000</v>
      </c>
    </row>
    <row r="342">
      <c r="A342" s="14" t="s">
        <v>382</v>
      </c>
      <c r="B342" s="14">
        <v>82.0</v>
      </c>
      <c r="C342" s="15">
        <f t="shared" si="4"/>
        <v>11</v>
      </c>
      <c r="D342" s="14" t="s">
        <v>36</v>
      </c>
      <c r="E342" s="16">
        <f t="shared" ref="E342:G342" si="1023">ROUNDUP((XLOOKUP($D342,$T$3:$T$10,$U$3:$U$10)*XLOOKUP(E$2,$AA$3:$AA$5,$AB$3:$AB$5)-ABS(XLOOKUP($C342,$Q$3:$Q$16,$R$3:$R$16)))*$B342,-5)</f>
        <v>21500000</v>
      </c>
      <c r="F342" s="16">
        <f t="shared" si="1023"/>
        <v>37000000</v>
      </c>
      <c r="G342" s="16">
        <f t="shared" si="1023"/>
        <v>40200000</v>
      </c>
      <c r="H342" s="17">
        <f t="shared" ref="H342:J342" si="1024">roundup((XLOOKUP($D342,$T$3:$T$10,$U$3:$U$10)*XLOOKUP(H$2,$AA$3:$AA$5,$AC$3:$AC$5)-ABS(XLOOKUP($C342,$Q$3:$Q$16,$R$3:$R$16)))*$B342,-5)</f>
        <v>18000000</v>
      </c>
      <c r="I342" s="17">
        <f t="shared" si="1024"/>
        <v>45400000</v>
      </c>
      <c r="J342" s="17">
        <f t="shared" si="1024"/>
        <v>49100000</v>
      </c>
      <c r="K342" s="17">
        <f t="shared" ref="K342:M342" si="1025">roundup((XLOOKUP($D342,$T$3:$T$10,$U$3:$U$10)*XLOOKUP(K$2,$AA$3:$AA$5,$AD$3:$AD$5)-ABS(XLOOKUP($C342,$Q$3:$Q$16,$R$3:$R$16)))*$B342,-5)</f>
        <v>21100000</v>
      </c>
      <c r="L342" s="17">
        <f t="shared" si="1025"/>
        <v>51100000</v>
      </c>
      <c r="M342" s="17">
        <f t="shared" si="1025"/>
        <v>55200000</v>
      </c>
    </row>
    <row r="343">
      <c r="A343" s="14" t="s">
        <v>383</v>
      </c>
      <c r="B343" s="14">
        <v>72.0</v>
      </c>
      <c r="C343" s="15">
        <f t="shared" si="4"/>
        <v>9</v>
      </c>
      <c r="D343" s="14" t="s">
        <v>36</v>
      </c>
      <c r="E343" s="16">
        <f t="shared" ref="E343:G343" si="1026">ROUNDUP((XLOOKUP($D343,$T$3:$T$10,$U$3:$U$10)*XLOOKUP(E$2,$AA$3:$AA$5,$AB$3:$AB$5)-ABS(XLOOKUP($C343,$Q$3:$Q$16,$R$3:$R$16)))*$B343,-5)</f>
        <v>25500000</v>
      </c>
      <c r="F343" s="16">
        <f t="shared" si="1026"/>
        <v>39000000</v>
      </c>
      <c r="G343" s="16">
        <f t="shared" si="1026"/>
        <v>41800000</v>
      </c>
      <c r="H343" s="17">
        <f t="shared" ref="H343:J343" si="1027">roundup((XLOOKUP($D343,$T$3:$T$10,$U$3:$U$10)*XLOOKUP(H$2,$AA$3:$AA$5,$AC$3:$AC$5)-ABS(XLOOKUP($C343,$Q$3:$Q$16,$R$3:$R$16)))*$B343,-5)</f>
        <v>22400000</v>
      </c>
      <c r="I343" s="17">
        <f t="shared" si="1027"/>
        <v>46400000</v>
      </c>
      <c r="J343" s="17">
        <f t="shared" si="1027"/>
        <v>49700000</v>
      </c>
      <c r="K343" s="17">
        <f t="shared" ref="K343:M343" si="1028">roundup((XLOOKUP($D343,$T$3:$T$10,$U$3:$U$10)*XLOOKUP(K$2,$AA$3:$AA$5,$AD$3:$AD$5)-ABS(XLOOKUP($C343,$Q$3:$Q$16,$R$3:$R$16)))*$B343,-5)</f>
        <v>25100000</v>
      </c>
      <c r="L343" s="17">
        <f t="shared" si="1028"/>
        <v>51400000</v>
      </c>
      <c r="M343" s="17">
        <f t="shared" si="1028"/>
        <v>55000000</v>
      </c>
    </row>
    <row r="344">
      <c r="A344" s="14" t="s">
        <v>384</v>
      </c>
      <c r="B344" s="14">
        <v>55.0</v>
      </c>
      <c r="C344" s="15">
        <f t="shared" si="4"/>
        <v>7</v>
      </c>
      <c r="D344" s="14" t="s">
        <v>36</v>
      </c>
      <c r="E344" s="16">
        <f t="shared" ref="E344:G344" si="1029">ROUNDUP((XLOOKUP($D344,$T$3:$T$10,$U$3:$U$10)*XLOOKUP(E$2,$AA$3:$AA$5,$AB$3:$AB$5)-ABS(XLOOKUP($C344,$Q$3:$Q$16,$R$3:$R$16)))*$B344,-5)</f>
        <v>20500000</v>
      </c>
      <c r="F344" s="16">
        <f t="shared" si="1029"/>
        <v>30900000</v>
      </c>
      <c r="G344" s="16">
        <f t="shared" si="1029"/>
        <v>33000000</v>
      </c>
      <c r="H344" s="17">
        <f t="shared" ref="H344:J344" si="1030">roundup((XLOOKUP($D344,$T$3:$T$10,$U$3:$U$10)*XLOOKUP(H$2,$AA$3:$AA$5,$AC$3:$AC$5)-ABS(XLOOKUP($C344,$Q$3:$Q$16,$R$3:$R$16)))*$B344,-5)</f>
        <v>18200000</v>
      </c>
      <c r="I344" s="17">
        <f t="shared" si="1030"/>
        <v>36500000</v>
      </c>
      <c r="J344" s="17">
        <f t="shared" si="1030"/>
        <v>39000000</v>
      </c>
      <c r="K344" s="17">
        <f t="shared" ref="K344:M344" si="1031">roundup((XLOOKUP($D344,$T$3:$T$10,$U$3:$U$10)*XLOOKUP(K$2,$AA$3:$AA$5,$AD$3:$AD$5)-ABS(XLOOKUP($C344,$Q$3:$Q$16,$R$3:$R$16)))*$B344,-5)</f>
        <v>20200000</v>
      </c>
      <c r="L344" s="17">
        <f t="shared" si="1031"/>
        <v>40300000</v>
      </c>
      <c r="M344" s="17">
        <f t="shared" si="1031"/>
        <v>43100000</v>
      </c>
    </row>
    <row r="345">
      <c r="A345" s="14" t="s">
        <v>385</v>
      </c>
      <c r="B345" s="14">
        <v>54.0</v>
      </c>
      <c r="C345" s="15">
        <f t="shared" si="4"/>
        <v>7</v>
      </c>
      <c r="D345" s="14" t="s">
        <v>33</v>
      </c>
      <c r="E345" s="16">
        <f t="shared" ref="E345:G345" si="1032">ROUNDUP((XLOOKUP($D345,$T$3:$T$10,$U$3:$U$10)*XLOOKUP(E$2,$AA$3:$AA$5,$AB$3:$AB$5)-ABS(XLOOKUP($C345,$Q$3:$Q$16,$R$3:$R$16)))*$B345,-5)</f>
        <v>17700000</v>
      </c>
      <c r="F345" s="16">
        <f t="shared" si="1032"/>
        <v>26800000</v>
      </c>
      <c r="G345" s="16">
        <f t="shared" si="1032"/>
        <v>28600000</v>
      </c>
      <c r="H345" s="17">
        <f t="shared" ref="H345:J345" si="1033">roundup((XLOOKUP($D345,$T$3:$T$10,$U$3:$U$10)*XLOOKUP(H$2,$AA$3:$AA$5,$AC$3:$AC$5)-ABS(XLOOKUP($C345,$Q$3:$Q$16,$R$3:$R$16)))*$B345,-5)</f>
        <v>15600000</v>
      </c>
      <c r="I345" s="17">
        <f t="shared" si="1033"/>
        <v>31700000</v>
      </c>
      <c r="J345" s="17">
        <f t="shared" si="1033"/>
        <v>33900000</v>
      </c>
      <c r="K345" s="17">
        <f t="shared" ref="K345:M345" si="1034">roundup((XLOOKUP($D345,$T$3:$T$10,$U$3:$U$10)*XLOOKUP(K$2,$AA$3:$AA$5,$AD$3:$AD$5)-ABS(XLOOKUP($C345,$Q$3:$Q$16,$R$3:$R$16)))*$B345,-5)</f>
        <v>17400000</v>
      </c>
      <c r="L345" s="17">
        <f t="shared" si="1034"/>
        <v>35100000</v>
      </c>
      <c r="M345" s="17">
        <f t="shared" si="1034"/>
        <v>37500000</v>
      </c>
    </row>
    <row r="346">
      <c r="A346" s="14" t="s">
        <v>386</v>
      </c>
      <c r="B346" s="14">
        <v>154.0</v>
      </c>
      <c r="C346" s="15">
        <f t="shared" si="4"/>
        <v>11</v>
      </c>
      <c r="D346" s="14" t="s">
        <v>36</v>
      </c>
      <c r="E346" s="16">
        <f t="shared" ref="E346:G346" si="1035">ROUNDUP((XLOOKUP($D346,$T$3:$T$10,$U$3:$U$10)*XLOOKUP(E$2,$AA$3:$AA$5,$AB$3:$AB$5)-ABS(XLOOKUP($C346,$Q$3:$Q$16,$R$3:$R$16)))*$B346,-5)</f>
        <v>40400000</v>
      </c>
      <c r="F346" s="16">
        <f t="shared" si="1035"/>
        <v>69400000</v>
      </c>
      <c r="G346" s="16">
        <f t="shared" si="1035"/>
        <v>75400000</v>
      </c>
      <c r="H346" s="17">
        <f t="shared" ref="H346:J346" si="1036">roundup((XLOOKUP($D346,$T$3:$T$10,$U$3:$U$10)*XLOOKUP(H$2,$AA$3:$AA$5,$AC$3:$AC$5)-ABS(XLOOKUP($C346,$Q$3:$Q$16,$R$3:$R$16)))*$B346,-5)</f>
        <v>33800000</v>
      </c>
      <c r="I346" s="17">
        <f t="shared" si="1036"/>
        <v>85200000</v>
      </c>
      <c r="J346" s="17">
        <f t="shared" si="1036"/>
        <v>92200000</v>
      </c>
      <c r="K346" s="17">
        <f t="shared" ref="K346:M346" si="1037">roundup((XLOOKUP($D346,$T$3:$T$10,$U$3:$U$10)*XLOOKUP(K$2,$AA$3:$AA$5,$AD$3:$AD$5)-ABS(XLOOKUP($C346,$Q$3:$Q$16,$R$3:$R$16)))*$B346,-5)</f>
        <v>39500000</v>
      </c>
      <c r="L346" s="17">
        <f t="shared" si="1037"/>
        <v>95900000</v>
      </c>
      <c r="M346" s="17">
        <f t="shared" si="1037"/>
        <v>103600000</v>
      </c>
    </row>
    <row r="347">
      <c r="A347" s="14" t="s">
        <v>387</v>
      </c>
      <c r="B347" s="14">
        <v>81.0</v>
      </c>
      <c r="C347" s="15">
        <f t="shared" si="4"/>
        <v>11</v>
      </c>
      <c r="D347" s="14" t="s">
        <v>36</v>
      </c>
      <c r="E347" s="16">
        <f t="shared" ref="E347:G347" si="1038">ROUNDUP((XLOOKUP($D347,$T$3:$T$10,$U$3:$U$10)*XLOOKUP(E$2,$AA$3:$AA$5,$AB$3:$AB$5)-ABS(XLOOKUP($C347,$Q$3:$Q$16,$R$3:$R$16)))*$B347,-5)</f>
        <v>21300000</v>
      </c>
      <c r="F347" s="16">
        <f t="shared" si="1038"/>
        <v>36500000</v>
      </c>
      <c r="G347" s="16">
        <f t="shared" si="1038"/>
        <v>39700000</v>
      </c>
      <c r="H347" s="17">
        <f t="shared" ref="H347:J347" si="1039">roundup((XLOOKUP($D347,$T$3:$T$10,$U$3:$U$10)*XLOOKUP(H$2,$AA$3:$AA$5,$AC$3:$AC$5)-ABS(XLOOKUP($C347,$Q$3:$Q$16,$R$3:$R$16)))*$B347,-5)</f>
        <v>17800000</v>
      </c>
      <c r="I347" s="17">
        <f t="shared" si="1039"/>
        <v>44900000</v>
      </c>
      <c r="J347" s="17">
        <f t="shared" si="1039"/>
        <v>48500000</v>
      </c>
      <c r="K347" s="17">
        <f t="shared" ref="K347:M347" si="1040">roundup((XLOOKUP($D347,$T$3:$T$10,$U$3:$U$10)*XLOOKUP(K$2,$AA$3:$AA$5,$AD$3:$AD$5)-ABS(XLOOKUP($C347,$Q$3:$Q$16,$R$3:$R$16)))*$B347,-5)</f>
        <v>20800000</v>
      </c>
      <c r="L347" s="17">
        <f t="shared" si="1040"/>
        <v>50500000</v>
      </c>
      <c r="M347" s="17">
        <f t="shared" si="1040"/>
        <v>54500000</v>
      </c>
    </row>
    <row r="348">
      <c r="A348" s="14" t="s">
        <v>388</v>
      </c>
      <c r="B348" s="14">
        <v>471.0</v>
      </c>
      <c r="C348" s="15">
        <f t="shared" si="4"/>
        <v>14</v>
      </c>
      <c r="D348" s="14" t="s">
        <v>36</v>
      </c>
      <c r="E348" s="16">
        <f t="shared" ref="E348:G348" si="1041">ROUNDUP((XLOOKUP($D348,$T$3:$T$10,$U$3:$U$10)*XLOOKUP(E$2,$AA$3:$AA$5,$AB$3:$AB$5)-ABS(XLOOKUP($C348,$Q$3:$Q$16,$R$3:$R$16)))*$B348,-5)</f>
        <v>109900000</v>
      </c>
      <c r="F348" s="16">
        <f t="shared" si="1041"/>
        <v>198600000</v>
      </c>
      <c r="G348" s="16">
        <f t="shared" si="1041"/>
        <v>216900000</v>
      </c>
      <c r="H348" s="17">
        <f t="shared" ref="H348:J348" si="1042">roundup((XLOOKUP($D348,$T$3:$T$10,$U$3:$U$10)*XLOOKUP(H$2,$AA$3:$AA$5,$AC$3:$AC$5)-ABS(XLOOKUP($C348,$Q$3:$Q$16,$R$3:$R$16)))*$B348,-5)</f>
        <v>89700000</v>
      </c>
      <c r="I348" s="17">
        <f t="shared" si="1042"/>
        <v>246900000</v>
      </c>
      <c r="J348" s="17">
        <f t="shared" si="1042"/>
        <v>268300000</v>
      </c>
      <c r="K348" s="17">
        <f t="shared" ref="K348:M348" si="1043">roundup((XLOOKUP($D348,$T$3:$T$10,$U$3:$U$10)*XLOOKUP(K$2,$AA$3:$AA$5,$AD$3:$AD$5)-ABS(XLOOKUP($C348,$Q$3:$Q$16,$R$3:$R$16)))*$B348,-5)</f>
        <v>107100000</v>
      </c>
      <c r="L348" s="17">
        <f t="shared" si="1043"/>
        <v>279700000</v>
      </c>
      <c r="M348" s="17">
        <f t="shared" si="1043"/>
        <v>303200000</v>
      </c>
    </row>
    <row r="349">
      <c r="A349" s="14" t="s">
        <v>389</v>
      </c>
      <c r="B349" s="14">
        <v>439.0</v>
      </c>
      <c r="C349" s="15">
        <f t="shared" si="4"/>
        <v>14</v>
      </c>
      <c r="D349" s="14" t="s">
        <v>33</v>
      </c>
      <c r="E349" s="16">
        <f t="shared" ref="E349:G349" si="1044">ROUNDUP((XLOOKUP($D349,$T$3:$T$10,$U$3:$U$10)*XLOOKUP(E$2,$AA$3:$AA$5,$AB$3:$AB$5)-ABS(XLOOKUP($C349,$Q$3:$Q$16,$R$3:$R$16)))*$B349,-5)</f>
        <v>82400000</v>
      </c>
      <c r="F349" s="16">
        <f t="shared" si="1044"/>
        <v>156200000</v>
      </c>
      <c r="G349" s="16">
        <f t="shared" si="1044"/>
        <v>171500000</v>
      </c>
      <c r="H349" s="17">
        <f t="shared" ref="H349:J349" si="1045">roundup((XLOOKUP($D349,$T$3:$T$10,$U$3:$U$10)*XLOOKUP(H$2,$AA$3:$AA$5,$AC$3:$AC$5)-ABS(XLOOKUP($C349,$Q$3:$Q$16,$R$3:$R$16)))*$B349,-5)</f>
        <v>65600000</v>
      </c>
      <c r="I349" s="17">
        <f t="shared" si="1045"/>
        <v>196400000</v>
      </c>
      <c r="J349" s="17">
        <f t="shared" si="1045"/>
        <v>214200000</v>
      </c>
      <c r="K349" s="17">
        <f t="shared" ref="K349:M349" si="1046">roundup((XLOOKUP($D349,$T$3:$T$10,$U$3:$U$10)*XLOOKUP(K$2,$AA$3:$AA$5,$AD$3:$AD$5)-ABS(XLOOKUP($C349,$Q$3:$Q$16,$R$3:$R$16)))*$B349,-5)</f>
        <v>80100000</v>
      </c>
      <c r="L349" s="17">
        <f t="shared" si="1046"/>
        <v>223600000</v>
      </c>
      <c r="M349" s="17">
        <f t="shared" si="1046"/>
        <v>243200000</v>
      </c>
    </row>
    <row r="350">
      <c r="A350" s="14" t="s">
        <v>390</v>
      </c>
      <c r="B350" s="14">
        <v>225.0</v>
      </c>
      <c r="C350" s="15">
        <f t="shared" si="4"/>
        <v>14</v>
      </c>
      <c r="D350" s="14" t="s">
        <v>36</v>
      </c>
      <c r="E350" s="16">
        <f t="shared" ref="E350:G350" si="1047">ROUNDUP((XLOOKUP($D350,$T$3:$T$10,$U$3:$U$10)*XLOOKUP(E$2,$AA$3:$AA$5,$AB$3:$AB$5)-ABS(XLOOKUP($C350,$Q$3:$Q$16,$R$3:$R$16)))*$B350,-5)</f>
        <v>52500000</v>
      </c>
      <c r="F350" s="16">
        <f t="shared" si="1047"/>
        <v>94900000</v>
      </c>
      <c r="G350" s="16">
        <f t="shared" si="1047"/>
        <v>103700000</v>
      </c>
      <c r="H350" s="17">
        <f t="shared" ref="H350:J350" si="1048">roundup((XLOOKUP($D350,$T$3:$T$10,$U$3:$U$10)*XLOOKUP(H$2,$AA$3:$AA$5,$AC$3:$AC$5)-ABS(XLOOKUP($C350,$Q$3:$Q$16,$R$3:$R$16)))*$B350,-5)</f>
        <v>42900000</v>
      </c>
      <c r="I350" s="17">
        <f t="shared" si="1048"/>
        <v>118000000</v>
      </c>
      <c r="J350" s="17">
        <f t="shared" si="1048"/>
        <v>128200000</v>
      </c>
      <c r="K350" s="17">
        <f t="shared" ref="K350:M350" si="1049">roundup((XLOOKUP($D350,$T$3:$T$10,$U$3:$U$10)*XLOOKUP(K$2,$AA$3:$AA$5,$AD$3:$AD$5)-ABS(XLOOKUP($C350,$Q$3:$Q$16,$R$3:$R$16)))*$B350,-5)</f>
        <v>51200000</v>
      </c>
      <c r="L350" s="17">
        <f t="shared" si="1049"/>
        <v>133600000</v>
      </c>
      <c r="M350" s="17">
        <f t="shared" si="1049"/>
        <v>144900000</v>
      </c>
    </row>
    <row r="351">
      <c r="A351" s="14" t="s">
        <v>391</v>
      </c>
      <c r="B351" s="14">
        <v>224.0</v>
      </c>
      <c r="C351" s="15">
        <f t="shared" si="4"/>
        <v>14</v>
      </c>
      <c r="D351" s="14" t="s">
        <v>36</v>
      </c>
      <c r="E351" s="16">
        <f t="shared" ref="E351:G351" si="1050">ROUNDUP((XLOOKUP($D351,$T$3:$T$10,$U$3:$U$10)*XLOOKUP(E$2,$AA$3:$AA$5,$AB$3:$AB$5)-ABS(XLOOKUP($C351,$Q$3:$Q$16,$R$3:$R$16)))*$B351,-5)</f>
        <v>52300000</v>
      </c>
      <c r="F351" s="16">
        <f t="shared" si="1050"/>
        <v>94500000</v>
      </c>
      <c r="G351" s="16">
        <f t="shared" si="1050"/>
        <v>103200000</v>
      </c>
      <c r="H351" s="17">
        <f t="shared" ref="H351:J351" si="1051">roundup((XLOOKUP($D351,$T$3:$T$10,$U$3:$U$10)*XLOOKUP(H$2,$AA$3:$AA$5,$AC$3:$AC$5)-ABS(XLOOKUP($C351,$Q$3:$Q$16,$R$3:$R$16)))*$B351,-5)</f>
        <v>42700000</v>
      </c>
      <c r="I351" s="17">
        <f t="shared" si="1051"/>
        <v>117500000</v>
      </c>
      <c r="J351" s="17">
        <f t="shared" si="1051"/>
        <v>127600000</v>
      </c>
      <c r="K351" s="17">
        <f t="shared" ref="K351:M351" si="1052">roundup((XLOOKUP($D351,$T$3:$T$10,$U$3:$U$10)*XLOOKUP(K$2,$AA$3:$AA$5,$AD$3:$AD$5)-ABS(XLOOKUP($C351,$Q$3:$Q$16,$R$3:$R$16)))*$B351,-5)</f>
        <v>51000000</v>
      </c>
      <c r="L351" s="17">
        <f t="shared" si="1052"/>
        <v>133000000</v>
      </c>
      <c r="M351" s="17">
        <f t="shared" si="1052"/>
        <v>144200000</v>
      </c>
    </row>
    <row r="352">
      <c r="A352" s="14" t="s">
        <v>392</v>
      </c>
      <c r="B352" s="14">
        <v>214.0</v>
      </c>
      <c r="C352" s="15">
        <f t="shared" si="4"/>
        <v>13</v>
      </c>
      <c r="D352" s="14" t="s">
        <v>36</v>
      </c>
      <c r="E352" s="16">
        <f t="shared" ref="E352:G352" si="1053">ROUNDUP((XLOOKUP($D352,$T$3:$T$10,$U$3:$U$10)*XLOOKUP(E$2,$AA$3:$AA$5,$AB$3:$AB$5)-ABS(XLOOKUP($C352,$Q$3:$Q$16,$R$3:$R$16)))*$B352,-5)</f>
        <v>51900000</v>
      </c>
      <c r="F352" s="16">
        <f t="shared" si="1053"/>
        <v>92200000</v>
      </c>
      <c r="G352" s="16">
        <f t="shared" si="1053"/>
        <v>100500000</v>
      </c>
      <c r="H352" s="17">
        <f t="shared" ref="H352:J352" si="1054">roundup((XLOOKUP($D352,$T$3:$T$10,$U$3:$U$10)*XLOOKUP(H$2,$AA$3:$AA$5,$AC$3:$AC$5)-ABS(XLOOKUP($C352,$Q$3:$Q$16,$R$3:$R$16)))*$B352,-5)</f>
        <v>42700000</v>
      </c>
      <c r="I352" s="17">
        <f t="shared" si="1054"/>
        <v>114100000</v>
      </c>
      <c r="J352" s="17">
        <f t="shared" si="1054"/>
        <v>123900000</v>
      </c>
      <c r="K352" s="17">
        <f t="shared" ref="K352:M352" si="1055">roundup((XLOOKUP($D352,$T$3:$T$10,$U$3:$U$10)*XLOOKUP(K$2,$AA$3:$AA$5,$AD$3:$AD$5)-ABS(XLOOKUP($C352,$Q$3:$Q$16,$R$3:$R$16)))*$B352,-5)</f>
        <v>50600000</v>
      </c>
      <c r="L352" s="17">
        <f t="shared" si="1055"/>
        <v>129000000</v>
      </c>
      <c r="M352" s="17">
        <f t="shared" si="1055"/>
        <v>139700000</v>
      </c>
    </row>
    <row r="353">
      <c r="A353" s="14" t="s">
        <v>393</v>
      </c>
      <c r="B353" s="14">
        <v>240.0</v>
      </c>
      <c r="C353" s="15">
        <f t="shared" si="4"/>
        <v>14</v>
      </c>
      <c r="D353" s="14" t="s">
        <v>36</v>
      </c>
      <c r="E353" s="16">
        <f t="shared" ref="E353:G353" si="1056">ROUNDUP((XLOOKUP($D353,$T$3:$T$10,$U$3:$U$10)*XLOOKUP(E$2,$AA$3:$AA$5,$AB$3:$AB$5)-ABS(XLOOKUP($C353,$Q$3:$Q$16,$R$3:$R$16)))*$B353,-5)</f>
        <v>56000000</v>
      </c>
      <c r="F353" s="16">
        <f t="shared" si="1056"/>
        <v>101200000</v>
      </c>
      <c r="G353" s="16">
        <f t="shared" si="1056"/>
        <v>110600000</v>
      </c>
      <c r="H353" s="17">
        <f t="shared" ref="H353:J353" si="1057">roundup((XLOOKUP($D353,$T$3:$T$10,$U$3:$U$10)*XLOOKUP(H$2,$AA$3:$AA$5,$AC$3:$AC$5)-ABS(XLOOKUP($C353,$Q$3:$Q$16,$R$3:$R$16)))*$B353,-5)</f>
        <v>45700000</v>
      </c>
      <c r="I353" s="17">
        <f t="shared" si="1057"/>
        <v>125800000</v>
      </c>
      <c r="J353" s="17">
        <f t="shared" si="1057"/>
        <v>136800000</v>
      </c>
      <c r="K353" s="17">
        <f t="shared" ref="K353:M353" si="1058">roundup((XLOOKUP($D353,$T$3:$T$10,$U$3:$U$10)*XLOOKUP(K$2,$AA$3:$AA$5,$AD$3:$AD$5)-ABS(XLOOKUP($C353,$Q$3:$Q$16,$R$3:$R$16)))*$B353,-5)</f>
        <v>54600000</v>
      </c>
      <c r="L353" s="17">
        <f t="shared" si="1058"/>
        <v>142500000</v>
      </c>
      <c r="M353" s="17">
        <f t="shared" si="1058"/>
        <v>154500000</v>
      </c>
    </row>
    <row r="354">
      <c r="A354" s="14" t="s">
        <v>394</v>
      </c>
      <c r="B354" s="14">
        <v>213.0</v>
      </c>
      <c r="C354" s="15">
        <f t="shared" si="4"/>
        <v>13</v>
      </c>
      <c r="D354" s="14" t="s">
        <v>33</v>
      </c>
      <c r="E354" s="16">
        <f t="shared" ref="E354:G354" si="1059">ROUNDUP((XLOOKUP($D354,$T$3:$T$10,$U$3:$U$10)*XLOOKUP(E$2,$AA$3:$AA$5,$AB$3:$AB$5)-ABS(XLOOKUP($C354,$Q$3:$Q$16,$R$3:$R$16)))*$B354,-5)</f>
        <v>41900000</v>
      </c>
      <c r="F354" s="16">
        <f t="shared" si="1059"/>
        <v>77700000</v>
      </c>
      <c r="G354" s="16">
        <f t="shared" si="1059"/>
        <v>85100000</v>
      </c>
      <c r="H354" s="17">
        <f t="shared" ref="H354:J354" si="1060">roundup((XLOOKUP($D354,$T$3:$T$10,$U$3:$U$10)*XLOOKUP(H$2,$AA$3:$AA$5,$AC$3:$AC$5)-ABS(XLOOKUP($C354,$Q$3:$Q$16,$R$3:$R$16)))*$B354,-5)</f>
        <v>33800000</v>
      </c>
      <c r="I354" s="17">
        <f t="shared" si="1060"/>
        <v>97200000</v>
      </c>
      <c r="J354" s="17">
        <f t="shared" si="1060"/>
        <v>105900000</v>
      </c>
      <c r="K354" s="17">
        <f t="shared" ref="K354:M354" si="1061">roundup((XLOOKUP($D354,$T$3:$T$10,$U$3:$U$10)*XLOOKUP(K$2,$AA$3:$AA$5,$AD$3:$AD$5)-ABS(XLOOKUP($C354,$Q$3:$Q$16,$R$3:$R$16)))*$B354,-5)</f>
        <v>40800000</v>
      </c>
      <c r="L354" s="17">
        <f t="shared" si="1061"/>
        <v>110400000</v>
      </c>
      <c r="M354" s="17">
        <f t="shared" si="1061"/>
        <v>120000000</v>
      </c>
    </row>
    <row r="355">
      <c r="A355" s="14" t="s">
        <v>395</v>
      </c>
      <c r="B355" s="14">
        <v>203.0</v>
      </c>
      <c r="C355" s="15">
        <f t="shared" si="4"/>
        <v>13</v>
      </c>
      <c r="D355" s="14" t="s">
        <v>36</v>
      </c>
      <c r="E355" s="16">
        <f t="shared" ref="E355:G355" si="1062">ROUNDUP((XLOOKUP($D355,$T$3:$T$10,$U$3:$U$10)*XLOOKUP(E$2,$AA$3:$AA$5,$AB$3:$AB$5)-ABS(XLOOKUP($C355,$Q$3:$Q$16,$R$3:$R$16)))*$B355,-5)</f>
        <v>49200000</v>
      </c>
      <c r="F355" s="16">
        <f t="shared" si="1062"/>
        <v>87400000</v>
      </c>
      <c r="G355" s="16">
        <f t="shared" si="1062"/>
        <v>95400000</v>
      </c>
      <c r="H355" s="17">
        <f t="shared" ref="H355:J355" si="1063">roundup((XLOOKUP($D355,$T$3:$T$10,$U$3:$U$10)*XLOOKUP(H$2,$AA$3:$AA$5,$AC$3:$AC$5)-ABS(XLOOKUP($C355,$Q$3:$Q$16,$R$3:$R$16)))*$B355,-5)</f>
        <v>40500000</v>
      </c>
      <c r="I355" s="17">
        <f t="shared" si="1063"/>
        <v>108300000</v>
      </c>
      <c r="J355" s="17">
        <f t="shared" si="1063"/>
        <v>117500000</v>
      </c>
      <c r="K355" s="17">
        <f t="shared" ref="K355:M355" si="1064">roundup((XLOOKUP($D355,$T$3:$T$10,$U$3:$U$10)*XLOOKUP(K$2,$AA$3:$AA$5,$AD$3:$AD$5)-ABS(XLOOKUP($C355,$Q$3:$Q$16,$R$3:$R$16)))*$B355,-5)</f>
        <v>48000000</v>
      </c>
      <c r="L355" s="17">
        <f t="shared" si="1064"/>
        <v>122400000</v>
      </c>
      <c r="M355" s="17">
        <f t="shared" si="1064"/>
        <v>132500000</v>
      </c>
    </row>
    <row r="356">
      <c r="A356" s="14" t="s">
        <v>396</v>
      </c>
      <c r="B356" s="14">
        <v>209.0</v>
      </c>
      <c r="C356" s="15">
        <f t="shared" si="4"/>
        <v>13</v>
      </c>
      <c r="D356" s="14" t="s">
        <v>33</v>
      </c>
      <c r="E356" s="16">
        <f t="shared" ref="E356:G356" si="1065">ROUNDUP((XLOOKUP($D356,$T$3:$T$10,$U$3:$U$10)*XLOOKUP(E$2,$AA$3:$AA$5,$AB$3:$AB$5)-ABS(XLOOKUP($C356,$Q$3:$Q$16,$R$3:$R$16)))*$B356,-5)</f>
        <v>41200000</v>
      </c>
      <c r="F356" s="16">
        <f t="shared" si="1065"/>
        <v>76300000</v>
      </c>
      <c r="G356" s="16">
        <f t="shared" si="1065"/>
        <v>83500000</v>
      </c>
      <c r="H356" s="17">
        <f t="shared" ref="H356:J356" si="1066">roundup((XLOOKUP($D356,$T$3:$T$10,$U$3:$U$10)*XLOOKUP(H$2,$AA$3:$AA$5,$AC$3:$AC$5)-ABS(XLOOKUP($C356,$Q$3:$Q$16,$R$3:$R$16)))*$B356,-5)</f>
        <v>33200000</v>
      </c>
      <c r="I356" s="17">
        <f t="shared" si="1066"/>
        <v>95400000</v>
      </c>
      <c r="J356" s="17">
        <f t="shared" si="1066"/>
        <v>103900000</v>
      </c>
      <c r="K356" s="17">
        <f t="shared" ref="K356:M356" si="1067">roundup((XLOOKUP($D356,$T$3:$T$10,$U$3:$U$10)*XLOOKUP(K$2,$AA$3:$AA$5,$AD$3:$AD$5)-ABS(XLOOKUP($C356,$Q$3:$Q$16,$R$3:$R$16)))*$B356,-5)</f>
        <v>40100000</v>
      </c>
      <c r="L356" s="17">
        <f t="shared" si="1067"/>
        <v>108400000</v>
      </c>
      <c r="M356" s="17">
        <f t="shared" si="1067"/>
        <v>117700000</v>
      </c>
    </row>
    <row r="357">
      <c r="A357" s="14" t="s">
        <v>397</v>
      </c>
      <c r="B357" s="14">
        <v>210.0</v>
      </c>
      <c r="C357" s="15">
        <f t="shared" si="4"/>
        <v>13</v>
      </c>
      <c r="D357" s="14" t="s">
        <v>36</v>
      </c>
      <c r="E357" s="16">
        <f t="shared" ref="E357:G357" si="1068">ROUNDUP((XLOOKUP($D357,$T$3:$T$10,$U$3:$U$10)*XLOOKUP(E$2,$AA$3:$AA$5,$AB$3:$AB$5)-ABS(XLOOKUP($C357,$Q$3:$Q$16,$R$3:$R$16)))*$B357,-5)</f>
        <v>50900000</v>
      </c>
      <c r="F357" s="16">
        <f t="shared" si="1068"/>
        <v>90500000</v>
      </c>
      <c r="G357" s="16">
        <f t="shared" si="1068"/>
        <v>98600000</v>
      </c>
      <c r="H357" s="17">
        <f t="shared" ref="H357:J357" si="1069">roundup((XLOOKUP($D357,$T$3:$T$10,$U$3:$U$10)*XLOOKUP(H$2,$AA$3:$AA$5,$AC$3:$AC$5)-ABS(XLOOKUP($C357,$Q$3:$Q$16,$R$3:$R$16)))*$B357,-5)</f>
        <v>41900000</v>
      </c>
      <c r="I357" s="17">
        <f t="shared" si="1069"/>
        <v>112000000</v>
      </c>
      <c r="J357" s="17">
        <f t="shared" si="1069"/>
        <v>121600000</v>
      </c>
      <c r="K357" s="17">
        <f t="shared" ref="K357:M357" si="1070">roundup((XLOOKUP($D357,$T$3:$T$10,$U$3:$U$10)*XLOOKUP(K$2,$AA$3:$AA$5,$AD$3:$AD$5)-ABS(XLOOKUP($C357,$Q$3:$Q$16,$R$3:$R$16)))*$B357,-5)</f>
        <v>49700000</v>
      </c>
      <c r="L357" s="17">
        <f t="shared" si="1070"/>
        <v>126600000</v>
      </c>
      <c r="M357" s="17">
        <f t="shared" si="1070"/>
        <v>137100000</v>
      </c>
    </row>
    <row r="358">
      <c r="A358" s="14" t="s">
        <v>398</v>
      </c>
      <c r="B358" s="14">
        <v>219.0</v>
      </c>
      <c r="C358" s="15">
        <f t="shared" si="4"/>
        <v>13</v>
      </c>
      <c r="D358" s="14" t="s">
        <v>36</v>
      </c>
      <c r="E358" s="16">
        <f t="shared" ref="E358:G358" si="1071">ROUNDUP((XLOOKUP($D358,$T$3:$T$10,$U$3:$U$10)*XLOOKUP(E$2,$AA$3:$AA$5,$AB$3:$AB$5)-ABS(XLOOKUP($C358,$Q$3:$Q$16,$R$3:$R$16)))*$B358,-5)</f>
        <v>53100000</v>
      </c>
      <c r="F358" s="16">
        <f t="shared" si="1071"/>
        <v>94300000</v>
      </c>
      <c r="G358" s="16">
        <f t="shared" si="1071"/>
        <v>102900000</v>
      </c>
      <c r="H358" s="17">
        <f t="shared" ref="H358:J358" si="1072">roundup((XLOOKUP($D358,$T$3:$T$10,$U$3:$U$10)*XLOOKUP(H$2,$AA$3:$AA$5,$AC$3:$AC$5)-ABS(XLOOKUP($C358,$Q$3:$Q$16,$R$3:$R$16)))*$B358,-5)</f>
        <v>43700000</v>
      </c>
      <c r="I358" s="17">
        <f t="shared" si="1072"/>
        <v>116800000</v>
      </c>
      <c r="J358" s="17">
        <f t="shared" si="1072"/>
        <v>126800000</v>
      </c>
      <c r="K358" s="17">
        <f t="shared" ref="K358:M358" si="1073">roundup((XLOOKUP($D358,$T$3:$T$10,$U$3:$U$10)*XLOOKUP(K$2,$AA$3:$AA$5,$AD$3:$AD$5)-ABS(XLOOKUP($C358,$Q$3:$Q$16,$R$3:$R$16)))*$B358,-5)</f>
        <v>51800000</v>
      </c>
      <c r="L358" s="17">
        <f t="shared" si="1073"/>
        <v>132000000</v>
      </c>
      <c r="M358" s="17">
        <f t="shared" si="1073"/>
        <v>143000000</v>
      </c>
    </row>
    <row r="359">
      <c r="A359" s="14" t="s">
        <v>399</v>
      </c>
      <c r="B359" s="14">
        <v>210.0</v>
      </c>
      <c r="C359" s="15">
        <f t="shared" si="4"/>
        <v>13</v>
      </c>
      <c r="D359" s="14" t="s">
        <v>36</v>
      </c>
      <c r="E359" s="16">
        <f t="shared" ref="E359:G359" si="1074">ROUNDUP((XLOOKUP($D359,$T$3:$T$10,$U$3:$U$10)*XLOOKUP(E$2,$AA$3:$AA$5,$AB$3:$AB$5)-ABS(XLOOKUP($C359,$Q$3:$Q$16,$R$3:$R$16)))*$B359,-5)</f>
        <v>50900000</v>
      </c>
      <c r="F359" s="16">
        <f t="shared" si="1074"/>
        <v>90500000</v>
      </c>
      <c r="G359" s="16">
        <f t="shared" si="1074"/>
        <v>98600000</v>
      </c>
      <c r="H359" s="17">
        <f t="shared" ref="H359:J359" si="1075">roundup((XLOOKUP($D359,$T$3:$T$10,$U$3:$U$10)*XLOOKUP(H$2,$AA$3:$AA$5,$AC$3:$AC$5)-ABS(XLOOKUP($C359,$Q$3:$Q$16,$R$3:$R$16)))*$B359,-5)</f>
        <v>41900000</v>
      </c>
      <c r="I359" s="17">
        <f t="shared" si="1075"/>
        <v>112000000</v>
      </c>
      <c r="J359" s="17">
        <f t="shared" si="1075"/>
        <v>121600000</v>
      </c>
      <c r="K359" s="17">
        <f t="shared" ref="K359:M359" si="1076">roundup((XLOOKUP($D359,$T$3:$T$10,$U$3:$U$10)*XLOOKUP(K$2,$AA$3:$AA$5,$AD$3:$AD$5)-ABS(XLOOKUP($C359,$Q$3:$Q$16,$R$3:$R$16)))*$B359,-5)</f>
        <v>49700000</v>
      </c>
      <c r="L359" s="17">
        <f t="shared" si="1076"/>
        <v>126600000</v>
      </c>
      <c r="M359" s="17">
        <f t="shared" si="1076"/>
        <v>137100000</v>
      </c>
    </row>
    <row r="360">
      <c r="A360" s="14" t="s">
        <v>400</v>
      </c>
      <c r="B360" s="14">
        <v>222.0</v>
      </c>
      <c r="C360" s="15">
        <f t="shared" si="4"/>
        <v>14</v>
      </c>
      <c r="D360" s="14" t="s">
        <v>33</v>
      </c>
      <c r="E360" s="16">
        <f t="shared" ref="E360:G360" si="1077">ROUNDUP((XLOOKUP($D360,$T$3:$T$10,$U$3:$U$10)*XLOOKUP(E$2,$AA$3:$AA$5,$AB$3:$AB$5)-ABS(XLOOKUP($C360,$Q$3:$Q$16,$R$3:$R$16)))*$B360,-5)</f>
        <v>41700000</v>
      </c>
      <c r="F360" s="16">
        <f t="shared" si="1077"/>
        <v>79000000</v>
      </c>
      <c r="G360" s="16">
        <f t="shared" si="1077"/>
        <v>86700000</v>
      </c>
      <c r="H360" s="17">
        <f t="shared" ref="H360:J360" si="1078">roundup((XLOOKUP($D360,$T$3:$T$10,$U$3:$U$10)*XLOOKUP(H$2,$AA$3:$AA$5,$AC$3:$AC$5)-ABS(XLOOKUP($C360,$Q$3:$Q$16,$R$3:$R$16)))*$B360,-5)</f>
        <v>33200000</v>
      </c>
      <c r="I360" s="17">
        <f t="shared" si="1078"/>
        <v>99300000</v>
      </c>
      <c r="J360" s="17">
        <f t="shared" si="1078"/>
        <v>108400000</v>
      </c>
      <c r="K360" s="17">
        <f t="shared" ref="K360:M360" si="1079">roundup((XLOOKUP($D360,$T$3:$T$10,$U$3:$U$10)*XLOOKUP(K$2,$AA$3:$AA$5,$AD$3:$AD$5)-ABS(XLOOKUP($C360,$Q$3:$Q$16,$R$3:$R$16)))*$B360,-5)</f>
        <v>40600000</v>
      </c>
      <c r="L360" s="17">
        <f t="shared" si="1079"/>
        <v>113100000</v>
      </c>
      <c r="M360" s="17">
        <f t="shared" si="1079"/>
        <v>123000000</v>
      </c>
    </row>
    <row r="361">
      <c r="A361" s="14" t="s">
        <v>401</v>
      </c>
      <c r="B361" s="14">
        <v>197.0</v>
      </c>
      <c r="C361" s="15">
        <f t="shared" si="4"/>
        <v>13</v>
      </c>
      <c r="D361" s="14" t="s">
        <v>33</v>
      </c>
      <c r="E361" s="16">
        <f t="shared" ref="E361:G361" si="1080">ROUNDUP((XLOOKUP($D361,$T$3:$T$10,$U$3:$U$10)*XLOOKUP(E$2,$AA$3:$AA$5,$AB$3:$AB$5)-ABS(XLOOKUP($C361,$Q$3:$Q$16,$R$3:$R$16)))*$B361,-5)</f>
        <v>38800000</v>
      </c>
      <c r="F361" s="16">
        <f t="shared" si="1080"/>
        <v>71900000</v>
      </c>
      <c r="G361" s="16">
        <f t="shared" si="1080"/>
        <v>78800000</v>
      </c>
      <c r="H361" s="17">
        <f t="shared" ref="H361:J361" si="1081">roundup((XLOOKUP($D361,$T$3:$T$10,$U$3:$U$10)*XLOOKUP(H$2,$AA$3:$AA$5,$AC$3:$AC$5)-ABS(XLOOKUP($C361,$Q$3:$Q$16,$R$3:$R$16)))*$B361,-5)</f>
        <v>31300000</v>
      </c>
      <c r="I361" s="17">
        <f t="shared" si="1081"/>
        <v>89900000</v>
      </c>
      <c r="J361" s="17">
        <f t="shared" si="1081"/>
        <v>97900000</v>
      </c>
      <c r="K361" s="17">
        <f t="shared" ref="K361:M361" si="1082">roundup((XLOOKUP($D361,$T$3:$T$10,$U$3:$U$10)*XLOOKUP(K$2,$AA$3:$AA$5,$AD$3:$AD$5)-ABS(XLOOKUP($C361,$Q$3:$Q$16,$R$3:$R$16)))*$B361,-5)</f>
        <v>37800000</v>
      </c>
      <c r="L361" s="17">
        <f t="shared" si="1082"/>
        <v>102200000</v>
      </c>
      <c r="M361" s="17">
        <f t="shared" si="1082"/>
        <v>110900000</v>
      </c>
    </row>
    <row r="362">
      <c r="A362" s="14" t="s">
        <v>402</v>
      </c>
      <c r="B362" s="14">
        <v>203.0</v>
      </c>
      <c r="C362" s="15">
        <f t="shared" si="4"/>
        <v>13</v>
      </c>
      <c r="D362" s="14" t="s">
        <v>36</v>
      </c>
      <c r="E362" s="16">
        <f t="shared" ref="E362:G362" si="1083">ROUNDUP((XLOOKUP($D362,$T$3:$T$10,$U$3:$U$10)*XLOOKUP(E$2,$AA$3:$AA$5,$AB$3:$AB$5)-ABS(XLOOKUP($C362,$Q$3:$Q$16,$R$3:$R$16)))*$B362,-5)</f>
        <v>49200000</v>
      </c>
      <c r="F362" s="16">
        <f t="shared" si="1083"/>
        <v>87400000</v>
      </c>
      <c r="G362" s="16">
        <f t="shared" si="1083"/>
        <v>95400000</v>
      </c>
      <c r="H362" s="17">
        <f t="shared" ref="H362:J362" si="1084">roundup((XLOOKUP($D362,$T$3:$T$10,$U$3:$U$10)*XLOOKUP(H$2,$AA$3:$AA$5,$AC$3:$AC$5)-ABS(XLOOKUP($C362,$Q$3:$Q$16,$R$3:$R$16)))*$B362,-5)</f>
        <v>40500000</v>
      </c>
      <c r="I362" s="17">
        <f t="shared" si="1084"/>
        <v>108300000</v>
      </c>
      <c r="J362" s="17">
        <f t="shared" si="1084"/>
        <v>117500000</v>
      </c>
      <c r="K362" s="17">
        <f t="shared" ref="K362:M362" si="1085">roundup((XLOOKUP($D362,$T$3:$T$10,$U$3:$U$10)*XLOOKUP(K$2,$AA$3:$AA$5,$AD$3:$AD$5)-ABS(XLOOKUP($C362,$Q$3:$Q$16,$R$3:$R$16)))*$B362,-5)</f>
        <v>48000000</v>
      </c>
      <c r="L362" s="17">
        <f t="shared" si="1085"/>
        <v>122400000</v>
      </c>
      <c r="M362" s="17">
        <f t="shared" si="1085"/>
        <v>132500000</v>
      </c>
    </row>
    <row r="363">
      <c r="A363" s="14" t="s">
        <v>403</v>
      </c>
      <c r="B363" s="14">
        <v>215.0</v>
      </c>
      <c r="C363" s="15">
        <f t="shared" si="4"/>
        <v>13</v>
      </c>
      <c r="D363" s="14" t="s">
        <v>36</v>
      </c>
      <c r="E363" s="16">
        <f t="shared" ref="E363:G363" si="1086">ROUNDUP((XLOOKUP($D363,$T$3:$T$10,$U$3:$U$10)*XLOOKUP(E$2,$AA$3:$AA$5,$AB$3:$AB$5)-ABS(XLOOKUP($C363,$Q$3:$Q$16,$R$3:$R$16)))*$B363,-5)</f>
        <v>52100000</v>
      </c>
      <c r="F363" s="16">
        <f t="shared" si="1086"/>
        <v>92600000</v>
      </c>
      <c r="G363" s="16">
        <f t="shared" si="1086"/>
        <v>101000000</v>
      </c>
      <c r="H363" s="17">
        <f t="shared" ref="H363:J363" si="1087">roundup((XLOOKUP($D363,$T$3:$T$10,$U$3:$U$10)*XLOOKUP(H$2,$AA$3:$AA$5,$AC$3:$AC$5)-ABS(XLOOKUP($C363,$Q$3:$Q$16,$R$3:$R$16)))*$B363,-5)</f>
        <v>42900000</v>
      </c>
      <c r="I363" s="17">
        <f t="shared" si="1087"/>
        <v>114700000</v>
      </c>
      <c r="J363" s="17">
        <f t="shared" si="1087"/>
        <v>124500000</v>
      </c>
      <c r="K363" s="17">
        <f t="shared" ref="K363:M363" si="1088">roundup((XLOOKUP($D363,$T$3:$T$10,$U$3:$U$10)*XLOOKUP(K$2,$AA$3:$AA$5,$AD$3:$AD$5)-ABS(XLOOKUP($C363,$Q$3:$Q$16,$R$3:$R$16)))*$B363,-5)</f>
        <v>50900000</v>
      </c>
      <c r="L363" s="17">
        <f t="shared" si="1088"/>
        <v>129600000</v>
      </c>
      <c r="M363" s="17">
        <f t="shared" si="1088"/>
        <v>140400000</v>
      </c>
    </row>
    <row r="364">
      <c r="A364" s="14" t="s">
        <v>404</v>
      </c>
      <c r="B364" s="14">
        <v>173.0</v>
      </c>
      <c r="C364" s="15">
        <f t="shared" si="4"/>
        <v>12</v>
      </c>
      <c r="D364" s="14" t="s">
        <v>36</v>
      </c>
      <c r="E364" s="16">
        <f t="shared" ref="E364:G364" si="1089">ROUNDUP((XLOOKUP($D364,$T$3:$T$10,$U$3:$U$10)*XLOOKUP(E$2,$AA$3:$AA$5,$AB$3:$AB$5)-ABS(XLOOKUP($C364,$Q$3:$Q$16,$R$3:$R$16)))*$B364,-5)</f>
        <v>44500000</v>
      </c>
      <c r="F364" s="16">
        <f t="shared" si="1089"/>
        <v>77100000</v>
      </c>
      <c r="G364" s="16">
        <f t="shared" si="1089"/>
        <v>83900000</v>
      </c>
      <c r="H364" s="17">
        <f t="shared" ref="H364:J364" si="1090">roundup((XLOOKUP($D364,$T$3:$T$10,$U$3:$U$10)*XLOOKUP(H$2,$AA$3:$AA$5,$AC$3:$AC$5)-ABS(XLOOKUP($C364,$Q$3:$Q$16,$R$3:$R$16)))*$B364,-5)</f>
        <v>37100000</v>
      </c>
      <c r="I364" s="17">
        <f t="shared" si="1090"/>
        <v>94900000</v>
      </c>
      <c r="J364" s="17">
        <f t="shared" si="1090"/>
        <v>102700000</v>
      </c>
      <c r="K364" s="17">
        <f t="shared" ref="K364:M364" si="1091">roundup((XLOOKUP($D364,$T$3:$T$10,$U$3:$U$10)*XLOOKUP(K$2,$AA$3:$AA$5,$AD$3:$AD$5)-ABS(XLOOKUP($C364,$Q$3:$Q$16,$R$3:$R$16)))*$B364,-5)</f>
        <v>43500000</v>
      </c>
      <c r="L364" s="17">
        <f t="shared" si="1091"/>
        <v>106900000</v>
      </c>
      <c r="M364" s="17">
        <f t="shared" si="1091"/>
        <v>115600000</v>
      </c>
    </row>
    <row r="365">
      <c r="A365" s="14" t="s">
        <v>405</v>
      </c>
      <c r="B365" s="14">
        <v>187.0</v>
      </c>
      <c r="C365" s="15">
        <f t="shared" si="4"/>
        <v>13</v>
      </c>
      <c r="D365" s="14" t="s">
        <v>36</v>
      </c>
      <c r="E365" s="16">
        <f t="shared" ref="E365:G365" si="1092">ROUNDUP((XLOOKUP($D365,$T$3:$T$10,$U$3:$U$10)*XLOOKUP(E$2,$AA$3:$AA$5,$AB$3:$AB$5)-ABS(XLOOKUP($C365,$Q$3:$Q$16,$R$3:$R$16)))*$B365,-5)</f>
        <v>45300000</v>
      </c>
      <c r="F365" s="16">
        <f t="shared" si="1092"/>
        <v>80600000</v>
      </c>
      <c r="G365" s="16">
        <f t="shared" si="1092"/>
        <v>87800000</v>
      </c>
      <c r="H365" s="17">
        <f t="shared" ref="H365:J365" si="1093">roundup((XLOOKUP($D365,$T$3:$T$10,$U$3:$U$10)*XLOOKUP(H$2,$AA$3:$AA$5,$AC$3:$AC$5)-ABS(XLOOKUP($C365,$Q$3:$Q$16,$R$3:$R$16)))*$B365,-5)</f>
        <v>37300000</v>
      </c>
      <c r="I365" s="17">
        <f t="shared" si="1093"/>
        <v>99700000</v>
      </c>
      <c r="J365" s="17">
        <f t="shared" si="1093"/>
        <v>108300000</v>
      </c>
      <c r="K365" s="17">
        <f t="shared" ref="K365:M365" si="1094">roundup((XLOOKUP($D365,$T$3:$T$10,$U$3:$U$10)*XLOOKUP(K$2,$AA$3:$AA$5,$AD$3:$AD$5)-ABS(XLOOKUP($C365,$Q$3:$Q$16,$R$3:$R$16)))*$B365,-5)</f>
        <v>44200000</v>
      </c>
      <c r="L365" s="17">
        <f t="shared" si="1094"/>
        <v>112700000</v>
      </c>
      <c r="M365" s="17">
        <f t="shared" si="1094"/>
        <v>122100000</v>
      </c>
    </row>
    <row r="366">
      <c r="A366" s="14" t="s">
        <v>406</v>
      </c>
      <c r="B366" s="14">
        <v>204.0</v>
      </c>
      <c r="C366" s="15">
        <f t="shared" si="4"/>
        <v>13</v>
      </c>
      <c r="D366" s="14" t="s">
        <v>36</v>
      </c>
      <c r="E366" s="16">
        <f t="shared" ref="E366:G366" si="1095">ROUNDUP((XLOOKUP($D366,$T$3:$T$10,$U$3:$U$10)*XLOOKUP(E$2,$AA$3:$AA$5,$AB$3:$AB$5)-ABS(XLOOKUP($C366,$Q$3:$Q$16,$R$3:$R$16)))*$B366,-5)</f>
        <v>49500000</v>
      </c>
      <c r="F366" s="16">
        <f t="shared" si="1095"/>
        <v>87900000</v>
      </c>
      <c r="G366" s="16">
        <f t="shared" si="1095"/>
        <v>95800000</v>
      </c>
      <c r="H366" s="17">
        <f t="shared" ref="H366:J366" si="1096">roundup((XLOOKUP($D366,$T$3:$T$10,$U$3:$U$10)*XLOOKUP(H$2,$AA$3:$AA$5,$AC$3:$AC$5)-ABS(XLOOKUP($C366,$Q$3:$Q$16,$R$3:$R$16)))*$B366,-5)</f>
        <v>40700000</v>
      </c>
      <c r="I366" s="17">
        <f t="shared" si="1096"/>
        <v>108800000</v>
      </c>
      <c r="J366" s="17">
        <f t="shared" si="1096"/>
        <v>118100000</v>
      </c>
      <c r="K366" s="17">
        <f t="shared" ref="K366:M366" si="1097">roundup((XLOOKUP($D366,$T$3:$T$10,$U$3:$U$10)*XLOOKUP(K$2,$AA$3:$AA$5,$AD$3:$AD$5)-ABS(XLOOKUP($C366,$Q$3:$Q$16,$R$3:$R$16)))*$B366,-5)</f>
        <v>48300000</v>
      </c>
      <c r="L366" s="17">
        <f t="shared" si="1097"/>
        <v>123000000</v>
      </c>
      <c r="M366" s="17">
        <f t="shared" si="1097"/>
        <v>133200000</v>
      </c>
    </row>
    <row r="367">
      <c r="A367" s="14" t="s">
        <v>407</v>
      </c>
      <c r="B367" s="14">
        <v>186.0</v>
      </c>
      <c r="C367" s="15">
        <f t="shared" si="4"/>
        <v>13</v>
      </c>
      <c r="D367" s="14" t="s">
        <v>36</v>
      </c>
      <c r="E367" s="16">
        <f t="shared" ref="E367:G367" si="1098">ROUNDUP((XLOOKUP($D367,$T$3:$T$10,$U$3:$U$10)*XLOOKUP(E$2,$AA$3:$AA$5,$AB$3:$AB$5)-ABS(XLOOKUP($C367,$Q$3:$Q$16,$R$3:$R$16)))*$B367,-5)</f>
        <v>45100000</v>
      </c>
      <c r="F367" s="16">
        <f t="shared" si="1098"/>
        <v>80100000</v>
      </c>
      <c r="G367" s="16">
        <f t="shared" si="1098"/>
        <v>87400000</v>
      </c>
      <c r="H367" s="17">
        <f t="shared" ref="H367:J367" si="1099">roundup((XLOOKUP($D367,$T$3:$T$10,$U$3:$U$10)*XLOOKUP(H$2,$AA$3:$AA$5,$AC$3:$AC$5)-ABS(XLOOKUP($C367,$Q$3:$Q$16,$R$3:$R$16)))*$B367,-5)</f>
        <v>37100000</v>
      </c>
      <c r="I367" s="17">
        <f t="shared" si="1099"/>
        <v>99200000</v>
      </c>
      <c r="J367" s="17">
        <f t="shared" si="1099"/>
        <v>107700000</v>
      </c>
      <c r="K367" s="17">
        <f t="shared" ref="K367:M367" si="1100">roundup((XLOOKUP($D367,$T$3:$T$10,$U$3:$U$10)*XLOOKUP(K$2,$AA$3:$AA$5,$AD$3:$AD$5)-ABS(XLOOKUP($C367,$Q$3:$Q$16,$R$3:$R$16)))*$B367,-5)</f>
        <v>44000000</v>
      </c>
      <c r="L367" s="17">
        <f t="shared" si="1100"/>
        <v>112100000</v>
      </c>
      <c r="M367" s="17">
        <f t="shared" si="1100"/>
        <v>121400000</v>
      </c>
    </row>
    <row r="368">
      <c r="A368" s="14" t="s">
        <v>408</v>
      </c>
      <c r="B368" s="14">
        <v>203.0</v>
      </c>
      <c r="C368" s="15">
        <f t="shared" si="4"/>
        <v>13</v>
      </c>
      <c r="D368" s="14" t="s">
        <v>36</v>
      </c>
      <c r="E368" s="16">
        <f t="shared" ref="E368:G368" si="1101">ROUNDUP((XLOOKUP($D368,$T$3:$T$10,$U$3:$U$10)*XLOOKUP(E$2,$AA$3:$AA$5,$AB$3:$AB$5)-ABS(XLOOKUP($C368,$Q$3:$Q$16,$R$3:$R$16)))*$B368,-5)</f>
        <v>49200000</v>
      </c>
      <c r="F368" s="16">
        <f t="shared" si="1101"/>
        <v>87400000</v>
      </c>
      <c r="G368" s="16">
        <f t="shared" si="1101"/>
        <v>95400000</v>
      </c>
      <c r="H368" s="17">
        <f t="shared" ref="H368:J368" si="1102">roundup((XLOOKUP($D368,$T$3:$T$10,$U$3:$U$10)*XLOOKUP(H$2,$AA$3:$AA$5,$AC$3:$AC$5)-ABS(XLOOKUP($C368,$Q$3:$Q$16,$R$3:$R$16)))*$B368,-5)</f>
        <v>40500000</v>
      </c>
      <c r="I368" s="17">
        <f t="shared" si="1102"/>
        <v>108300000</v>
      </c>
      <c r="J368" s="17">
        <f t="shared" si="1102"/>
        <v>117500000</v>
      </c>
      <c r="K368" s="17">
        <f t="shared" ref="K368:M368" si="1103">roundup((XLOOKUP($D368,$T$3:$T$10,$U$3:$U$10)*XLOOKUP(K$2,$AA$3:$AA$5,$AD$3:$AD$5)-ABS(XLOOKUP($C368,$Q$3:$Q$16,$R$3:$R$16)))*$B368,-5)</f>
        <v>48000000</v>
      </c>
      <c r="L368" s="17">
        <f t="shared" si="1103"/>
        <v>122400000</v>
      </c>
      <c r="M368" s="17">
        <f t="shared" si="1103"/>
        <v>132500000</v>
      </c>
    </row>
    <row r="369">
      <c r="A369" s="14" t="s">
        <v>409</v>
      </c>
      <c r="B369" s="14">
        <v>203.0</v>
      </c>
      <c r="C369" s="15">
        <f t="shared" si="4"/>
        <v>13</v>
      </c>
      <c r="D369" s="14" t="s">
        <v>33</v>
      </c>
      <c r="E369" s="16">
        <f t="shared" ref="E369:G369" si="1104">ROUNDUP((XLOOKUP($D369,$T$3:$T$10,$U$3:$U$10)*XLOOKUP(E$2,$AA$3:$AA$5,$AB$3:$AB$5)-ABS(XLOOKUP($C369,$Q$3:$Q$16,$R$3:$R$16)))*$B369,-5)</f>
        <v>40000000</v>
      </c>
      <c r="F369" s="16">
        <f t="shared" si="1104"/>
        <v>74100000</v>
      </c>
      <c r="G369" s="16">
        <f t="shared" si="1104"/>
        <v>81100000</v>
      </c>
      <c r="H369" s="17">
        <f t="shared" ref="H369:J369" si="1105">roundup((XLOOKUP($D369,$T$3:$T$10,$U$3:$U$10)*XLOOKUP(H$2,$AA$3:$AA$5,$AC$3:$AC$5)-ABS(XLOOKUP($C369,$Q$3:$Q$16,$R$3:$R$16)))*$B369,-5)</f>
        <v>32200000</v>
      </c>
      <c r="I369" s="17">
        <f t="shared" si="1105"/>
        <v>92700000</v>
      </c>
      <c r="J369" s="17">
        <f t="shared" si="1105"/>
        <v>100900000</v>
      </c>
      <c r="K369" s="17">
        <f t="shared" ref="K369:M369" si="1106">roundup((XLOOKUP($D369,$T$3:$T$10,$U$3:$U$10)*XLOOKUP(K$2,$AA$3:$AA$5,$AD$3:$AD$5)-ABS(XLOOKUP($C369,$Q$3:$Q$16,$R$3:$R$16)))*$B369,-5)</f>
        <v>38900000</v>
      </c>
      <c r="L369" s="17">
        <f t="shared" si="1106"/>
        <v>105300000</v>
      </c>
      <c r="M369" s="17">
        <f t="shared" si="1106"/>
        <v>114300000</v>
      </c>
    </row>
    <row r="370">
      <c r="A370" s="14" t="s">
        <v>410</v>
      </c>
      <c r="B370" s="14">
        <v>200.0</v>
      </c>
      <c r="C370" s="15">
        <f t="shared" si="4"/>
        <v>13</v>
      </c>
      <c r="D370" s="14" t="s">
        <v>36</v>
      </c>
      <c r="E370" s="16">
        <f t="shared" ref="E370:G370" si="1107">ROUNDUP((XLOOKUP($D370,$T$3:$T$10,$U$3:$U$10)*XLOOKUP(E$2,$AA$3:$AA$5,$AB$3:$AB$5)-ABS(XLOOKUP($C370,$Q$3:$Q$16,$R$3:$R$16)))*$B370,-5)</f>
        <v>48500000</v>
      </c>
      <c r="F370" s="16">
        <f t="shared" si="1107"/>
        <v>86200000</v>
      </c>
      <c r="G370" s="16">
        <f t="shared" si="1107"/>
        <v>93900000</v>
      </c>
      <c r="H370" s="17">
        <f t="shared" ref="H370:J370" si="1108">roundup((XLOOKUP($D370,$T$3:$T$10,$U$3:$U$10)*XLOOKUP(H$2,$AA$3:$AA$5,$AC$3:$AC$5)-ABS(XLOOKUP($C370,$Q$3:$Q$16,$R$3:$R$16)))*$B370,-5)</f>
        <v>39900000</v>
      </c>
      <c r="I370" s="17">
        <f t="shared" si="1108"/>
        <v>106700000</v>
      </c>
      <c r="J370" s="17">
        <f t="shared" si="1108"/>
        <v>115800000</v>
      </c>
      <c r="K370" s="17">
        <f t="shared" ref="K370:M370" si="1109">roundup((XLOOKUP($D370,$T$3:$T$10,$U$3:$U$10)*XLOOKUP(K$2,$AA$3:$AA$5,$AD$3:$AD$5)-ABS(XLOOKUP($C370,$Q$3:$Q$16,$R$3:$R$16)))*$B370,-5)</f>
        <v>47300000</v>
      </c>
      <c r="L370" s="17">
        <f t="shared" si="1109"/>
        <v>120600000</v>
      </c>
      <c r="M370" s="17">
        <f t="shared" si="1109"/>
        <v>130600000</v>
      </c>
    </row>
    <row r="371">
      <c r="A371" s="14" t="s">
        <v>411</v>
      </c>
      <c r="B371" s="14">
        <v>199.0</v>
      </c>
      <c r="C371" s="15">
        <f t="shared" si="4"/>
        <v>13</v>
      </c>
      <c r="D371" s="14" t="s">
        <v>36</v>
      </c>
      <c r="E371" s="16">
        <f t="shared" ref="E371:G371" si="1110">ROUNDUP((XLOOKUP($D371,$T$3:$T$10,$U$3:$U$10)*XLOOKUP(E$2,$AA$3:$AA$5,$AB$3:$AB$5)-ABS(XLOOKUP($C371,$Q$3:$Q$16,$R$3:$R$16)))*$B371,-5)</f>
        <v>48200000</v>
      </c>
      <c r="F371" s="16">
        <f t="shared" si="1110"/>
        <v>85700000</v>
      </c>
      <c r="G371" s="16">
        <f t="shared" si="1110"/>
        <v>93500000</v>
      </c>
      <c r="H371" s="17">
        <f t="shared" ref="H371:J371" si="1111">roundup((XLOOKUP($D371,$T$3:$T$10,$U$3:$U$10)*XLOOKUP(H$2,$AA$3:$AA$5,$AC$3:$AC$5)-ABS(XLOOKUP($C371,$Q$3:$Q$16,$R$3:$R$16)))*$B371,-5)</f>
        <v>39700000</v>
      </c>
      <c r="I371" s="17">
        <f t="shared" si="1111"/>
        <v>106100000</v>
      </c>
      <c r="J371" s="17">
        <f t="shared" si="1111"/>
        <v>115200000</v>
      </c>
      <c r="K371" s="17">
        <f t="shared" ref="K371:M371" si="1112">roundup((XLOOKUP($D371,$T$3:$T$10,$U$3:$U$10)*XLOOKUP(K$2,$AA$3:$AA$5,$AD$3:$AD$5)-ABS(XLOOKUP($C371,$Q$3:$Q$16,$R$3:$R$16)))*$B371,-5)</f>
        <v>47100000</v>
      </c>
      <c r="L371" s="17">
        <f t="shared" si="1112"/>
        <v>120000000</v>
      </c>
      <c r="M371" s="17">
        <f t="shared" si="1112"/>
        <v>129900000</v>
      </c>
    </row>
    <row r="372">
      <c r="A372" s="14" t="s">
        <v>412</v>
      </c>
      <c r="B372" s="14">
        <v>158.0</v>
      </c>
      <c r="C372" s="15">
        <f t="shared" si="4"/>
        <v>11</v>
      </c>
      <c r="D372" s="14" t="s">
        <v>33</v>
      </c>
      <c r="E372" s="16">
        <f t="shared" ref="E372:G372" si="1113">ROUNDUP((XLOOKUP($D372,$T$3:$T$10,$U$3:$U$10)*XLOOKUP(E$2,$AA$3:$AA$5,$AB$3:$AB$5)-ABS(XLOOKUP($C372,$Q$3:$Q$16,$R$3:$R$16)))*$B372,-5)</f>
        <v>34300000</v>
      </c>
      <c r="F372" s="16">
        <f t="shared" si="1113"/>
        <v>60800000</v>
      </c>
      <c r="G372" s="16">
        <f t="shared" si="1113"/>
        <v>66300000</v>
      </c>
      <c r="H372" s="17">
        <f t="shared" ref="H372:J372" si="1114">roundup((XLOOKUP($D372,$T$3:$T$10,$U$3:$U$10)*XLOOKUP(H$2,$AA$3:$AA$5,$AC$3:$AC$5)-ABS(XLOOKUP($C372,$Q$3:$Q$16,$R$3:$R$16)))*$B372,-5)</f>
        <v>28200000</v>
      </c>
      <c r="I372" s="17">
        <f t="shared" si="1114"/>
        <v>75300000</v>
      </c>
      <c r="J372" s="17">
        <f t="shared" si="1114"/>
        <v>81700000</v>
      </c>
      <c r="K372" s="17">
        <f t="shared" ref="K372:M372" si="1115">roundup((XLOOKUP($D372,$T$3:$T$10,$U$3:$U$10)*XLOOKUP(K$2,$AA$3:$AA$5,$AD$3:$AD$5)-ABS(XLOOKUP($C372,$Q$3:$Q$16,$R$3:$R$16)))*$B372,-5)</f>
        <v>33500000</v>
      </c>
      <c r="L372" s="17">
        <f t="shared" si="1115"/>
        <v>85100000</v>
      </c>
      <c r="M372" s="17">
        <f t="shared" si="1115"/>
        <v>92200000</v>
      </c>
    </row>
    <row r="373">
      <c r="A373" s="14" t="s">
        <v>413</v>
      </c>
      <c r="B373" s="14">
        <v>198.0</v>
      </c>
      <c r="C373" s="15">
        <f t="shared" si="4"/>
        <v>13</v>
      </c>
      <c r="D373" s="14" t="s">
        <v>36</v>
      </c>
      <c r="E373" s="16">
        <f t="shared" ref="E373:G373" si="1116">ROUNDUP((XLOOKUP($D373,$T$3:$T$10,$U$3:$U$10)*XLOOKUP(E$2,$AA$3:$AA$5,$AB$3:$AB$5)-ABS(XLOOKUP($C373,$Q$3:$Q$16,$R$3:$R$16)))*$B373,-5)</f>
        <v>48000000</v>
      </c>
      <c r="F373" s="16">
        <f t="shared" si="1116"/>
        <v>85300000</v>
      </c>
      <c r="G373" s="16">
        <f t="shared" si="1116"/>
        <v>93000000</v>
      </c>
      <c r="H373" s="17">
        <f t="shared" ref="H373:J373" si="1117">roundup((XLOOKUP($D373,$T$3:$T$10,$U$3:$U$10)*XLOOKUP(H$2,$AA$3:$AA$5,$AC$3:$AC$5)-ABS(XLOOKUP($C373,$Q$3:$Q$16,$R$3:$R$16)))*$B373,-5)</f>
        <v>39500000</v>
      </c>
      <c r="I373" s="17">
        <f t="shared" si="1117"/>
        <v>105600000</v>
      </c>
      <c r="J373" s="17">
        <f t="shared" si="1117"/>
        <v>114600000</v>
      </c>
      <c r="K373" s="17">
        <f t="shared" ref="K373:M373" si="1118">roundup((XLOOKUP($D373,$T$3:$T$10,$U$3:$U$10)*XLOOKUP(K$2,$AA$3:$AA$5,$AD$3:$AD$5)-ABS(XLOOKUP($C373,$Q$3:$Q$16,$R$3:$R$16)))*$B373,-5)</f>
        <v>46800000</v>
      </c>
      <c r="L373" s="17">
        <f t="shared" si="1118"/>
        <v>119400000</v>
      </c>
      <c r="M373" s="17">
        <f t="shared" si="1118"/>
        <v>129300000</v>
      </c>
    </row>
    <row r="374">
      <c r="A374" s="14" t="s">
        <v>414</v>
      </c>
      <c r="B374" s="14">
        <v>156.0</v>
      </c>
      <c r="C374" s="15">
        <f t="shared" si="4"/>
        <v>11</v>
      </c>
      <c r="D374" s="14" t="s">
        <v>36</v>
      </c>
      <c r="E374" s="16">
        <f t="shared" ref="E374:G374" si="1119">ROUNDUP((XLOOKUP($D374,$T$3:$T$10,$U$3:$U$10)*XLOOKUP(E$2,$AA$3:$AA$5,$AB$3:$AB$5)-ABS(XLOOKUP($C374,$Q$3:$Q$16,$R$3:$R$16)))*$B374,-5)</f>
        <v>40900000</v>
      </c>
      <c r="F374" s="16">
        <f t="shared" si="1119"/>
        <v>70300000</v>
      </c>
      <c r="G374" s="16">
        <f t="shared" si="1119"/>
        <v>76400000</v>
      </c>
      <c r="H374" s="17">
        <f t="shared" ref="H374:J374" si="1120">roundup((XLOOKUP($D374,$T$3:$T$10,$U$3:$U$10)*XLOOKUP(H$2,$AA$3:$AA$5,$AC$3:$AC$5)-ABS(XLOOKUP($C374,$Q$3:$Q$16,$R$3:$R$16)))*$B374,-5)</f>
        <v>34300000</v>
      </c>
      <c r="I374" s="17">
        <f t="shared" si="1120"/>
        <v>86300000</v>
      </c>
      <c r="J374" s="17">
        <f t="shared" si="1120"/>
        <v>93400000</v>
      </c>
      <c r="K374" s="17">
        <f t="shared" ref="K374:M374" si="1121">roundup((XLOOKUP($D374,$T$3:$T$10,$U$3:$U$10)*XLOOKUP(K$2,$AA$3:$AA$5,$AD$3:$AD$5)-ABS(XLOOKUP($C374,$Q$3:$Q$16,$R$3:$R$16)))*$B374,-5)</f>
        <v>40000000</v>
      </c>
      <c r="L374" s="17">
        <f t="shared" si="1121"/>
        <v>97200000</v>
      </c>
      <c r="M374" s="17">
        <f t="shared" si="1121"/>
        <v>105000000</v>
      </c>
    </row>
    <row r="375">
      <c r="A375" s="14" t="s">
        <v>415</v>
      </c>
      <c r="B375" s="14">
        <v>190.0</v>
      </c>
      <c r="C375" s="15">
        <f t="shared" si="4"/>
        <v>13</v>
      </c>
      <c r="D375" s="14" t="s">
        <v>36</v>
      </c>
      <c r="E375" s="16">
        <f t="shared" ref="E375:G375" si="1122">ROUNDUP((XLOOKUP($D375,$T$3:$T$10,$U$3:$U$10)*XLOOKUP(E$2,$AA$3:$AA$5,$AB$3:$AB$5)-ABS(XLOOKUP($C375,$Q$3:$Q$16,$R$3:$R$16)))*$B375,-5)</f>
        <v>46100000</v>
      </c>
      <c r="F375" s="16">
        <f t="shared" si="1122"/>
        <v>81900000</v>
      </c>
      <c r="G375" s="16">
        <f t="shared" si="1122"/>
        <v>89300000</v>
      </c>
      <c r="H375" s="17">
        <f t="shared" ref="H375:J375" si="1123">roundup((XLOOKUP($D375,$T$3:$T$10,$U$3:$U$10)*XLOOKUP(H$2,$AA$3:$AA$5,$AC$3:$AC$5)-ABS(XLOOKUP($C375,$Q$3:$Q$16,$R$3:$R$16)))*$B375,-5)</f>
        <v>37900000</v>
      </c>
      <c r="I375" s="17">
        <f t="shared" si="1123"/>
        <v>101300000</v>
      </c>
      <c r="J375" s="17">
        <f t="shared" si="1123"/>
        <v>110000000</v>
      </c>
      <c r="K375" s="17">
        <f t="shared" ref="K375:M375" si="1124">roundup((XLOOKUP($D375,$T$3:$T$10,$U$3:$U$10)*XLOOKUP(K$2,$AA$3:$AA$5,$AD$3:$AD$5)-ABS(XLOOKUP($C375,$Q$3:$Q$16,$R$3:$R$16)))*$B375,-5)</f>
        <v>45000000</v>
      </c>
      <c r="L375" s="17">
        <f t="shared" si="1124"/>
        <v>114600000</v>
      </c>
      <c r="M375" s="17">
        <f t="shared" si="1124"/>
        <v>124100000</v>
      </c>
    </row>
    <row r="376">
      <c r="A376" s="14" t="s">
        <v>416</v>
      </c>
      <c r="B376" s="14">
        <v>194.0</v>
      </c>
      <c r="C376" s="15">
        <f t="shared" si="4"/>
        <v>13</v>
      </c>
      <c r="D376" s="14" t="s">
        <v>36</v>
      </c>
      <c r="E376" s="16">
        <f t="shared" ref="E376:G376" si="1125">ROUNDUP((XLOOKUP($D376,$T$3:$T$10,$U$3:$U$10)*XLOOKUP(E$2,$AA$3:$AA$5,$AB$3:$AB$5)-ABS(XLOOKUP($C376,$Q$3:$Q$16,$R$3:$R$16)))*$B376,-5)</f>
        <v>47000000</v>
      </c>
      <c r="F376" s="16">
        <f t="shared" si="1125"/>
        <v>83600000</v>
      </c>
      <c r="G376" s="16">
        <f t="shared" si="1125"/>
        <v>91100000</v>
      </c>
      <c r="H376" s="17">
        <f t="shared" ref="H376:J376" si="1126">roundup((XLOOKUP($D376,$T$3:$T$10,$U$3:$U$10)*XLOOKUP(H$2,$AA$3:$AA$5,$AC$3:$AC$5)-ABS(XLOOKUP($C376,$Q$3:$Q$16,$R$3:$R$16)))*$B376,-5)</f>
        <v>38700000</v>
      </c>
      <c r="I376" s="17">
        <f t="shared" si="1126"/>
        <v>103500000</v>
      </c>
      <c r="J376" s="17">
        <f t="shared" si="1126"/>
        <v>112300000</v>
      </c>
      <c r="K376" s="17">
        <f t="shared" ref="K376:M376" si="1127">roundup((XLOOKUP($D376,$T$3:$T$10,$U$3:$U$10)*XLOOKUP(K$2,$AA$3:$AA$5,$AD$3:$AD$5)-ABS(XLOOKUP($C376,$Q$3:$Q$16,$R$3:$R$16)))*$B376,-5)</f>
        <v>45900000</v>
      </c>
      <c r="L376" s="17">
        <f t="shared" si="1127"/>
        <v>117000000</v>
      </c>
      <c r="M376" s="17">
        <f t="shared" si="1127"/>
        <v>126700000</v>
      </c>
    </row>
    <row r="377">
      <c r="A377" s="14" t="s">
        <v>417</v>
      </c>
      <c r="B377" s="14">
        <v>174.0</v>
      </c>
      <c r="C377" s="15">
        <f t="shared" si="4"/>
        <v>12</v>
      </c>
      <c r="D377" s="14" t="s">
        <v>33</v>
      </c>
      <c r="E377" s="16">
        <f t="shared" ref="E377:G377" si="1128">ROUNDUP((XLOOKUP($D377,$T$3:$T$10,$U$3:$U$10)*XLOOKUP(E$2,$AA$3:$AA$5,$AB$3:$AB$5)-ABS(XLOOKUP($C377,$Q$3:$Q$16,$R$3:$R$16)))*$B377,-5)</f>
        <v>36900000</v>
      </c>
      <c r="F377" s="16">
        <f t="shared" si="1128"/>
        <v>66100000</v>
      </c>
      <c r="G377" s="16">
        <f t="shared" si="1128"/>
        <v>72200000</v>
      </c>
      <c r="H377" s="17">
        <f t="shared" ref="H377:J377" si="1129">roundup((XLOOKUP($D377,$T$3:$T$10,$U$3:$U$10)*XLOOKUP(H$2,$AA$3:$AA$5,$AC$3:$AC$5)-ABS(XLOOKUP($C377,$Q$3:$Q$16,$R$3:$R$16)))*$B377,-5)</f>
        <v>30200000</v>
      </c>
      <c r="I377" s="17">
        <f t="shared" si="1129"/>
        <v>82100000</v>
      </c>
      <c r="J377" s="17">
        <f t="shared" si="1129"/>
        <v>89100000</v>
      </c>
      <c r="K377" s="17">
        <f t="shared" ref="K377:M377" si="1130">roundup((XLOOKUP($D377,$T$3:$T$10,$U$3:$U$10)*XLOOKUP(K$2,$AA$3:$AA$5,$AD$3:$AD$5)-ABS(XLOOKUP($C377,$Q$3:$Q$16,$R$3:$R$16)))*$B377,-5)</f>
        <v>36000000</v>
      </c>
      <c r="L377" s="17">
        <f t="shared" si="1130"/>
        <v>92800000</v>
      </c>
      <c r="M377" s="17">
        <f t="shared" si="1130"/>
        <v>100600000</v>
      </c>
    </row>
    <row r="378">
      <c r="A378" s="14" t="s">
        <v>418</v>
      </c>
      <c r="B378" s="14">
        <v>156.0</v>
      </c>
      <c r="C378" s="15">
        <f t="shared" si="4"/>
        <v>11</v>
      </c>
      <c r="D378" s="14" t="s">
        <v>33</v>
      </c>
      <c r="E378" s="16">
        <f t="shared" ref="E378:G378" si="1131">ROUNDUP((XLOOKUP($D378,$T$3:$T$10,$U$3:$U$10)*XLOOKUP(E$2,$AA$3:$AA$5,$AB$3:$AB$5)-ABS(XLOOKUP($C378,$Q$3:$Q$16,$R$3:$R$16)))*$B378,-5)</f>
        <v>33900000</v>
      </c>
      <c r="F378" s="16">
        <f t="shared" si="1131"/>
        <v>60100000</v>
      </c>
      <c r="G378" s="16">
        <f t="shared" si="1131"/>
        <v>65500000</v>
      </c>
      <c r="H378" s="17">
        <f t="shared" ref="H378:J378" si="1132">roundup((XLOOKUP($D378,$T$3:$T$10,$U$3:$U$10)*XLOOKUP(H$2,$AA$3:$AA$5,$AC$3:$AC$5)-ABS(XLOOKUP($C378,$Q$3:$Q$16,$R$3:$R$16)))*$B378,-5)</f>
        <v>27900000</v>
      </c>
      <c r="I378" s="17">
        <f t="shared" si="1132"/>
        <v>74400000</v>
      </c>
      <c r="J378" s="17">
        <f t="shared" si="1132"/>
        <v>80700000</v>
      </c>
      <c r="K378" s="17">
        <f t="shared" ref="K378:M378" si="1133">roundup((XLOOKUP($D378,$T$3:$T$10,$U$3:$U$10)*XLOOKUP(K$2,$AA$3:$AA$5,$AD$3:$AD$5)-ABS(XLOOKUP($C378,$Q$3:$Q$16,$R$3:$R$16)))*$B378,-5)</f>
        <v>33000000</v>
      </c>
      <c r="L378" s="17">
        <f t="shared" si="1133"/>
        <v>84000000</v>
      </c>
      <c r="M378" s="17">
        <f t="shared" si="1133"/>
        <v>91000000</v>
      </c>
    </row>
    <row r="379">
      <c r="A379" s="14" t="s">
        <v>419</v>
      </c>
      <c r="B379" s="14">
        <v>186.0</v>
      </c>
      <c r="C379" s="15">
        <f t="shared" si="4"/>
        <v>13</v>
      </c>
      <c r="D379" s="14" t="s">
        <v>36</v>
      </c>
      <c r="E379" s="16">
        <f t="shared" ref="E379:G379" si="1134">ROUNDUP((XLOOKUP($D379,$T$3:$T$10,$U$3:$U$10)*XLOOKUP(E$2,$AA$3:$AA$5,$AB$3:$AB$5)-ABS(XLOOKUP($C379,$Q$3:$Q$16,$R$3:$R$16)))*$B379,-5)</f>
        <v>45100000</v>
      </c>
      <c r="F379" s="16">
        <f t="shared" si="1134"/>
        <v>80100000</v>
      </c>
      <c r="G379" s="16">
        <f t="shared" si="1134"/>
        <v>87400000</v>
      </c>
      <c r="H379" s="17">
        <f t="shared" ref="H379:J379" si="1135">roundup((XLOOKUP($D379,$T$3:$T$10,$U$3:$U$10)*XLOOKUP(H$2,$AA$3:$AA$5,$AC$3:$AC$5)-ABS(XLOOKUP($C379,$Q$3:$Q$16,$R$3:$R$16)))*$B379,-5)</f>
        <v>37100000</v>
      </c>
      <c r="I379" s="17">
        <f t="shared" si="1135"/>
        <v>99200000</v>
      </c>
      <c r="J379" s="17">
        <f t="shared" si="1135"/>
        <v>107700000</v>
      </c>
      <c r="K379" s="17">
        <f t="shared" ref="K379:M379" si="1136">roundup((XLOOKUP($D379,$T$3:$T$10,$U$3:$U$10)*XLOOKUP(K$2,$AA$3:$AA$5,$AD$3:$AD$5)-ABS(XLOOKUP($C379,$Q$3:$Q$16,$R$3:$R$16)))*$B379,-5)</f>
        <v>44000000</v>
      </c>
      <c r="L379" s="17">
        <f t="shared" si="1136"/>
        <v>112100000</v>
      </c>
      <c r="M379" s="17">
        <f t="shared" si="1136"/>
        <v>121400000</v>
      </c>
    </row>
    <row r="380">
      <c r="A380" s="14" t="s">
        <v>420</v>
      </c>
      <c r="B380" s="14">
        <v>168.0</v>
      </c>
      <c r="C380" s="15">
        <f t="shared" si="4"/>
        <v>12</v>
      </c>
      <c r="D380" s="14" t="s">
        <v>36</v>
      </c>
      <c r="E380" s="16">
        <f t="shared" ref="E380:G380" si="1137">ROUNDUP((XLOOKUP($D380,$T$3:$T$10,$U$3:$U$10)*XLOOKUP(E$2,$AA$3:$AA$5,$AB$3:$AB$5)-ABS(XLOOKUP($C380,$Q$3:$Q$16,$R$3:$R$16)))*$B380,-5)</f>
        <v>43300000</v>
      </c>
      <c r="F380" s="16">
        <f t="shared" si="1137"/>
        <v>74900000</v>
      </c>
      <c r="G380" s="16">
        <f t="shared" si="1137"/>
        <v>81400000</v>
      </c>
      <c r="H380" s="17">
        <f t="shared" ref="H380:J380" si="1138">roundup((XLOOKUP($D380,$T$3:$T$10,$U$3:$U$10)*XLOOKUP(H$2,$AA$3:$AA$5,$AC$3:$AC$5)-ABS(XLOOKUP($C380,$Q$3:$Q$16,$R$3:$R$16)))*$B380,-5)</f>
        <v>36100000</v>
      </c>
      <c r="I380" s="17">
        <f t="shared" si="1138"/>
        <v>92100000</v>
      </c>
      <c r="J380" s="17">
        <f t="shared" si="1138"/>
        <v>99800000</v>
      </c>
      <c r="K380" s="17">
        <f t="shared" ref="K380:M380" si="1139">roundup((XLOOKUP($D380,$T$3:$T$10,$U$3:$U$10)*XLOOKUP(K$2,$AA$3:$AA$5,$AD$3:$AD$5)-ABS(XLOOKUP($C380,$Q$3:$Q$16,$R$3:$R$16)))*$B380,-5)</f>
        <v>42300000</v>
      </c>
      <c r="L380" s="17">
        <f t="shared" si="1139"/>
        <v>103800000</v>
      </c>
      <c r="M380" s="17">
        <f t="shared" si="1139"/>
        <v>112200000</v>
      </c>
    </row>
    <row r="381">
      <c r="A381" s="14" t="s">
        <v>421</v>
      </c>
      <c r="B381" s="14">
        <v>167.0</v>
      </c>
      <c r="C381" s="15">
        <f t="shared" si="4"/>
        <v>12</v>
      </c>
      <c r="D381" s="14" t="s">
        <v>33</v>
      </c>
      <c r="E381" s="16">
        <f t="shared" ref="E381:G381" si="1140">ROUNDUP((XLOOKUP($D381,$T$3:$T$10,$U$3:$U$10)*XLOOKUP(E$2,$AA$3:$AA$5,$AB$3:$AB$5)-ABS(XLOOKUP($C381,$Q$3:$Q$16,$R$3:$R$16)))*$B381,-5)</f>
        <v>35400000</v>
      </c>
      <c r="F381" s="16">
        <f t="shared" si="1140"/>
        <v>63500000</v>
      </c>
      <c r="G381" s="16">
        <f t="shared" si="1140"/>
        <v>69300000</v>
      </c>
      <c r="H381" s="17">
        <f t="shared" ref="H381:J381" si="1141">roundup((XLOOKUP($D381,$T$3:$T$10,$U$3:$U$10)*XLOOKUP(H$2,$AA$3:$AA$5,$AC$3:$AC$5)-ABS(XLOOKUP($C381,$Q$3:$Q$16,$R$3:$R$16)))*$B381,-5)</f>
        <v>29000000</v>
      </c>
      <c r="I381" s="17">
        <f t="shared" si="1141"/>
        <v>78800000</v>
      </c>
      <c r="J381" s="17">
        <f t="shared" si="1141"/>
        <v>85500000</v>
      </c>
      <c r="K381" s="17">
        <f t="shared" ref="K381:M381" si="1142">roundup((XLOOKUP($D381,$T$3:$T$10,$U$3:$U$10)*XLOOKUP(K$2,$AA$3:$AA$5,$AD$3:$AD$5)-ABS(XLOOKUP($C381,$Q$3:$Q$16,$R$3:$R$16)))*$B381,-5)</f>
        <v>34500000</v>
      </c>
      <c r="L381" s="17">
        <f t="shared" si="1142"/>
        <v>89100000</v>
      </c>
      <c r="M381" s="17">
        <f t="shared" si="1142"/>
        <v>96600000</v>
      </c>
    </row>
    <row r="382">
      <c r="A382" s="14" t="s">
        <v>422</v>
      </c>
      <c r="B382" s="14">
        <v>184.0</v>
      </c>
      <c r="C382" s="15">
        <f t="shared" si="4"/>
        <v>13</v>
      </c>
      <c r="D382" s="14" t="s">
        <v>36</v>
      </c>
      <c r="E382" s="16">
        <f t="shared" ref="E382:G382" si="1143">ROUNDUP((XLOOKUP($D382,$T$3:$T$10,$U$3:$U$10)*XLOOKUP(E$2,$AA$3:$AA$5,$AB$3:$AB$5)-ABS(XLOOKUP($C382,$Q$3:$Q$16,$R$3:$R$16)))*$B382,-5)</f>
        <v>44600000</v>
      </c>
      <c r="F382" s="16">
        <f t="shared" si="1143"/>
        <v>79300000</v>
      </c>
      <c r="G382" s="16">
        <f t="shared" si="1143"/>
        <v>86400000</v>
      </c>
      <c r="H382" s="17">
        <f t="shared" ref="H382:J382" si="1144">roundup((XLOOKUP($D382,$T$3:$T$10,$U$3:$U$10)*XLOOKUP(H$2,$AA$3:$AA$5,$AC$3:$AC$5)-ABS(XLOOKUP($C382,$Q$3:$Q$16,$R$3:$R$16)))*$B382,-5)</f>
        <v>36700000</v>
      </c>
      <c r="I382" s="17">
        <f t="shared" si="1144"/>
        <v>98100000</v>
      </c>
      <c r="J382" s="17">
        <f t="shared" si="1144"/>
        <v>106500000</v>
      </c>
      <c r="K382" s="17">
        <f t="shared" ref="K382:M382" si="1145">roundup((XLOOKUP($D382,$T$3:$T$10,$U$3:$U$10)*XLOOKUP(K$2,$AA$3:$AA$5,$AD$3:$AD$5)-ABS(XLOOKUP($C382,$Q$3:$Q$16,$R$3:$R$16)))*$B382,-5)</f>
        <v>43500000</v>
      </c>
      <c r="L382" s="17">
        <f t="shared" si="1145"/>
        <v>110900000</v>
      </c>
      <c r="M382" s="17">
        <f t="shared" si="1145"/>
        <v>120100000</v>
      </c>
    </row>
    <row r="383">
      <c r="A383" s="14" t="s">
        <v>423</v>
      </c>
      <c r="B383" s="14">
        <v>184.0</v>
      </c>
      <c r="C383" s="15">
        <f t="shared" si="4"/>
        <v>13</v>
      </c>
      <c r="D383" s="14" t="s">
        <v>36</v>
      </c>
      <c r="E383" s="16">
        <f t="shared" ref="E383:G383" si="1146">ROUNDUP((XLOOKUP($D383,$T$3:$T$10,$U$3:$U$10)*XLOOKUP(E$2,$AA$3:$AA$5,$AB$3:$AB$5)-ABS(XLOOKUP($C383,$Q$3:$Q$16,$R$3:$R$16)))*$B383,-5)</f>
        <v>44600000</v>
      </c>
      <c r="F383" s="16">
        <f t="shared" si="1146"/>
        <v>79300000</v>
      </c>
      <c r="G383" s="16">
        <f t="shared" si="1146"/>
        <v>86400000</v>
      </c>
      <c r="H383" s="17">
        <f t="shared" ref="H383:J383" si="1147">roundup((XLOOKUP($D383,$T$3:$T$10,$U$3:$U$10)*XLOOKUP(H$2,$AA$3:$AA$5,$AC$3:$AC$5)-ABS(XLOOKUP($C383,$Q$3:$Q$16,$R$3:$R$16)))*$B383,-5)</f>
        <v>36700000</v>
      </c>
      <c r="I383" s="17">
        <f t="shared" si="1147"/>
        <v>98100000</v>
      </c>
      <c r="J383" s="17">
        <f t="shared" si="1147"/>
        <v>106500000</v>
      </c>
      <c r="K383" s="17">
        <f t="shared" ref="K383:M383" si="1148">roundup((XLOOKUP($D383,$T$3:$T$10,$U$3:$U$10)*XLOOKUP(K$2,$AA$3:$AA$5,$AD$3:$AD$5)-ABS(XLOOKUP($C383,$Q$3:$Q$16,$R$3:$R$16)))*$B383,-5)</f>
        <v>43500000</v>
      </c>
      <c r="L383" s="17">
        <f t="shared" si="1148"/>
        <v>110900000</v>
      </c>
      <c r="M383" s="17">
        <f t="shared" si="1148"/>
        <v>120100000</v>
      </c>
    </row>
    <row r="384">
      <c r="A384" s="14" t="s">
        <v>424</v>
      </c>
      <c r="B384" s="14">
        <v>179.0</v>
      </c>
      <c r="C384" s="15">
        <f t="shared" si="4"/>
        <v>12</v>
      </c>
      <c r="D384" s="14" t="s">
        <v>36</v>
      </c>
      <c r="E384" s="16">
        <f t="shared" ref="E384:G384" si="1149">ROUNDUP((XLOOKUP($D384,$T$3:$T$10,$U$3:$U$10)*XLOOKUP(E$2,$AA$3:$AA$5,$AB$3:$AB$5)-ABS(XLOOKUP($C384,$Q$3:$Q$16,$R$3:$R$16)))*$B384,-5)</f>
        <v>46100000</v>
      </c>
      <c r="F384" s="16">
        <f t="shared" si="1149"/>
        <v>79800000</v>
      </c>
      <c r="G384" s="16">
        <f t="shared" si="1149"/>
        <v>86800000</v>
      </c>
      <c r="H384" s="17">
        <f t="shared" ref="H384:J384" si="1150">roundup((XLOOKUP($D384,$T$3:$T$10,$U$3:$U$10)*XLOOKUP(H$2,$AA$3:$AA$5,$AC$3:$AC$5)-ABS(XLOOKUP($C384,$Q$3:$Q$16,$R$3:$R$16)))*$B384,-5)</f>
        <v>38400000</v>
      </c>
      <c r="I384" s="17">
        <f t="shared" si="1150"/>
        <v>98200000</v>
      </c>
      <c r="J384" s="17">
        <f t="shared" si="1150"/>
        <v>106300000</v>
      </c>
      <c r="K384" s="17">
        <f t="shared" ref="K384:M384" si="1151">roundup((XLOOKUP($D384,$T$3:$T$10,$U$3:$U$10)*XLOOKUP(K$2,$AA$3:$AA$5,$AD$3:$AD$5)-ABS(XLOOKUP($C384,$Q$3:$Q$16,$R$3:$R$16)))*$B384,-5)</f>
        <v>45000000</v>
      </c>
      <c r="L384" s="17">
        <f t="shared" si="1151"/>
        <v>110600000</v>
      </c>
      <c r="M384" s="17">
        <f t="shared" si="1151"/>
        <v>119600000</v>
      </c>
    </row>
    <row r="385">
      <c r="A385" s="14" t="s">
        <v>425</v>
      </c>
      <c r="B385" s="14">
        <v>178.0</v>
      </c>
      <c r="C385" s="15">
        <f t="shared" si="4"/>
        <v>12</v>
      </c>
      <c r="D385" s="14" t="s">
        <v>36</v>
      </c>
      <c r="E385" s="16">
        <f t="shared" ref="E385:G385" si="1152">ROUNDUP((XLOOKUP($D385,$T$3:$T$10,$U$3:$U$10)*XLOOKUP(E$2,$AA$3:$AA$5,$AB$3:$AB$5)-ABS(XLOOKUP($C385,$Q$3:$Q$16,$R$3:$R$16)))*$B385,-5)</f>
        <v>45800000</v>
      </c>
      <c r="F385" s="16">
        <f t="shared" si="1152"/>
        <v>79400000</v>
      </c>
      <c r="G385" s="16">
        <f t="shared" si="1152"/>
        <v>86300000</v>
      </c>
      <c r="H385" s="17">
        <f t="shared" ref="H385:J385" si="1153">roundup((XLOOKUP($D385,$T$3:$T$10,$U$3:$U$10)*XLOOKUP(H$2,$AA$3:$AA$5,$AC$3:$AC$5)-ABS(XLOOKUP($C385,$Q$3:$Q$16,$R$3:$R$16)))*$B385,-5)</f>
        <v>38200000</v>
      </c>
      <c r="I385" s="17">
        <f t="shared" si="1153"/>
        <v>97600000</v>
      </c>
      <c r="J385" s="17">
        <f t="shared" si="1153"/>
        <v>105700000</v>
      </c>
      <c r="K385" s="17">
        <f t="shared" ref="K385:M385" si="1154">roundup((XLOOKUP($D385,$T$3:$T$10,$U$3:$U$10)*XLOOKUP(K$2,$AA$3:$AA$5,$AD$3:$AD$5)-ABS(XLOOKUP($C385,$Q$3:$Q$16,$R$3:$R$16)))*$B385,-5)</f>
        <v>44800000</v>
      </c>
      <c r="L385" s="17">
        <f t="shared" si="1154"/>
        <v>110000000</v>
      </c>
      <c r="M385" s="17">
        <f t="shared" si="1154"/>
        <v>118900000</v>
      </c>
    </row>
    <row r="386">
      <c r="A386" s="14" t="s">
        <v>426</v>
      </c>
      <c r="B386" s="14">
        <v>178.0</v>
      </c>
      <c r="C386" s="15">
        <f t="shared" si="4"/>
        <v>12</v>
      </c>
      <c r="D386" s="14" t="s">
        <v>36</v>
      </c>
      <c r="E386" s="16">
        <f t="shared" ref="E386:G386" si="1155">ROUNDUP((XLOOKUP($D386,$T$3:$T$10,$U$3:$U$10)*XLOOKUP(E$2,$AA$3:$AA$5,$AB$3:$AB$5)-ABS(XLOOKUP($C386,$Q$3:$Q$16,$R$3:$R$16)))*$B386,-5)</f>
        <v>45800000</v>
      </c>
      <c r="F386" s="16">
        <f t="shared" si="1155"/>
        <v>79400000</v>
      </c>
      <c r="G386" s="16">
        <f t="shared" si="1155"/>
        <v>86300000</v>
      </c>
      <c r="H386" s="17">
        <f t="shared" ref="H386:J386" si="1156">roundup((XLOOKUP($D386,$T$3:$T$10,$U$3:$U$10)*XLOOKUP(H$2,$AA$3:$AA$5,$AC$3:$AC$5)-ABS(XLOOKUP($C386,$Q$3:$Q$16,$R$3:$R$16)))*$B386,-5)</f>
        <v>38200000</v>
      </c>
      <c r="I386" s="17">
        <f t="shared" si="1156"/>
        <v>97600000</v>
      </c>
      <c r="J386" s="17">
        <f t="shared" si="1156"/>
        <v>105700000</v>
      </c>
      <c r="K386" s="17">
        <f t="shared" ref="K386:M386" si="1157">roundup((XLOOKUP($D386,$T$3:$T$10,$U$3:$U$10)*XLOOKUP(K$2,$AA$3:$AA$5,$AD$3:$AD$5)-ABS(XLOOKUP($C386,$Q$3:$Q$16,$R$3:$R$16)))*$B386,-5)</f>
        <v>44800000</v>
      </c>
      <c r="L386" s="17">
        <f t="shared" si="1157"/>
        <v>110000000</v>
      </c>
      <c r="M386" s="17">
        <f t="shared" si="1157"/>
        <v>118900000</v>
      </c>
    </row>
    <row r="387">
      <c r="A387" s="14" t="s">
        <v>427</v>
      </c>
      <c r="B387" s="14">
        <v>177.0</v>
      </c>
      <c r="C387" s="15">
        <f t="shared" si="4"/>
        <v>12</v>
      </c>
      <c r="D387" s="14" t="s">
        <v>33</v>
      </c>
      <c r="E387" s="16">
        <f t="shared" ref="E387:G387" si="1158">ROUNDUP((XLOOKUP($D387,$T$3:$T$10,$U$3:$U$10)*XLOOKUP(E$2,$AA$3:$AA$5,$AB$3:$AB$5)-ABS(XLOOKUP($C387,$Q$3:$Q$16,$R$3:$R$16)))*$B387,-5)</f>
        <v>37500000</v>
      </c>
      <c r="F387" s="16">
        <f t="shared" si="1158"/>
        <v>67300000</v>
      </c>
      <c r="G387" s="16">
        <f t="shared" si="1158"/>
        <v>73400000</v>
      </c>
      <c r="H387" s="17">
        <f t="shared" ref="H387:J387" si="1159">roundup((XLOOKUP($D387,$T$3:$T$10,$U$3:$U$10)*XLOOKUP(H$2,$AA$3:$AA$5,$AC$3:$AC$5)-ABS(XLOOKUP($C387,$Q$3:$Q$16,$R$3:$R$16)))*$B387,-5)</f>
        <v>30700000</v>
      </c>
      <c r="I387" s="17">
        <f t="shared" si="1159"/>
        <v>83500000</v>
      </c>
      <c r="J387" s="17">
        <f t="shared" si="1159"/>
        <v>90600000</v>
      </c>
      <c r="K387" s="17">
        <f t="shared" ref="K387:M387" si="1160">roundup((XLOOKUP($D387,$T$3:$T$10,$U$3:$U$10)*XLOOKUP(K$2,$AA$3:$AA$5,$AD$3:$AD$5)-ABS(XLOOKUP($C387,$Q$3:$Q$16,$R$3:$R$16)))*$B387,-5)</f>
        <v>36600000</v>
      </c>
      <c r="L387" s="17">
        <f t="shared" si="1160"/>
        <v>94400000</v>
      </c>
      <c r="M387" s="17">
        <f t="shared" si="1160"/>
        <v>102300000</v>
      </c>
    </row>
    <row r="388">
      <c r="A388" s="14" t="s">
        <v>428</v>
      </c>
      <c r="B388" s="14">
        <v>177.0</v>
      </c>
      <c r="C388" s="15">
        <f t="shared" si="4"/>
        <v>12</v>
      </c>
      <c r="D388" s="14" t="s">
        <v>33</v>
      </c>
      <c r="E388" s="16">
        <f t="shared" ref="E388:G388" si="1161">ROUNDUP((XLOOKUP($D388,$T$3:$T$10,$U$3:$U$10)*XLOOKUP(E$2,$AA$3:$AA$5,$AB$3:$AB$5)-ABS(XLOOKUP($C388,$Q$3:$Q$16,$R$3:$R$16)))*$B388,-5)</f>
        <v>37500000</v>
      </c>
      <c r="F388" s="16">
        <f t="shared" si="1161"/>
        <v>67300000</v>
      </c>
      <c r="G388" s="16">
        <f t="shared" si="1161"/>
        <v>73400000</v>
      </c>
      <c r="H388" s="17">
        <f t="shared" ref="H388:J388" si="1162">roundup((XLOOKUP($D388,$T$3:$T$10,$U$3:$U$10)*XLOOKUP(H$2,$AA$3:$AA$5,$AC$3:$AC$5)-ABS(XLOOKUP($C388,$Q$3:$Q$16,$R$3:$R$16)))*$B388,-5)</f>
        <v>30700000</v>
      </c>
      <c r="I388" s="17">
        <f t="shared" si="1162"/>
        <v>83500000</v>
      </c>
      <c r="J388" s="17">
        <f t="shared" si="1162"/>
        <v>90600000</v>
      </c>
      <c r="K388" s="17">
        <f t="shared" ref="K388:M388" si="1163">roundup((XLOOKUP($D388,$T$3:$T$10,$U$3:$U$10)*XLOOKUP(K$2,$AA$3:$AA$5,$AD$3:$AD$5)-ABS(XLOOKUP($C388,$Q$3:$Q$16,$R$3:$R$16)))*$B388,-5)</f>
        <v>36600000</v>
      </c>
      <c r="L388" s="17">
        <f t="shared" si="1163"/>
        <v>94400000</v>
      </c>
      <c r="M388" s="17">
        <f t="shared" si="1163"/>
        <v>102300000</v>
      </c>
    </row>
    <row r="389">
      <c r="A389" s="14" t="s">
        <v>429</v>
      </c>
      <c r="B389" s="14">
        <v>161.0</v>
      </c>
      <c r="C389" s="15">
        <f t="shared" si="4"/>
        <v>12</v>
      </c>
      <c r="D389" s="14" t="s">
        <v>36</v>
      </c>
      <c r="E389" s="16">
        <f t="shared" ref="E389:G389" si="1164">ROUNDUP((XLOOKUP($D389,$T$3:$T$10,$U$3:$U$10)*XLOOKUP(E$2,$AA$3:$AA$5,$AB$3:$AB$5)-ABS(XLOOKUP($C389,$Q$3:$Q$16,$R$3:$R$16)))*$B389,-5)</f>
        <v>41500000</v>
      </c>
      <c r="F389" s="16">
        <f t="shared" si="1164"/>
        <v>71800000</v>
      </c>
      <c r="G389" s="16">
        <f t="shared" si="1164"/>
        <v>78100000</v>
      </c>
      <c r="H389" s="17">
        <f t="shared" ref="H389:J389" si="1165">roundup((XLOOKUP($D389,$T$3:$T$10,$U$3:$U$10)*XLOOKUP(H$2,$AA$3:$AA$5,$AC$3:$AC$5)-ABS(XLOOKUP($C389,$Q$3:$Q$16,$R$3:$R$16)))*$B389,-5)</f>
        <v>34600000</v>
      </c>
      <c r="I389" s="17">
        <f t="shared" si="1165"/>
        <v>88300000</v>
      </c>
      <c r="J389" s="17">
        <f t="shared" si="1165"/>
        <v>95600000</v>
      </c>
      <c r="K389" s="17">
        <f t="shared" ref="K389:M389" si="1166">roundup((XLOOKUP($D389,$T$3:$T$10,$U$3:$U$10)*XLOOKUP(K$2,$AA$3:$AA$5,$AD$3:$AD$5)-ABS(XLOOKUP($C389,$Q$3:$Q$16,$R$3:$R$16)))*$B389,-5)</f>
        <v>40500000</v>
      </c>
      <c r="L389" s="17">
        <f t="shared" si="1166"/>
        <v>99500000</v>
      </c>
      <c r="M389" s="17">
        <f t="shared" si="1166"/>
        <v>107500000</v>
      </c>
    </row>
    <row r="390">
      <c r="A390" s="14" t="s">
        <v>430</v>
      </c>
      <c r="B390" s="14">
        <v>176.0</v>
      </c>
      <c r="C390" s="15">
        <f t="shared" si="4"/>
        <v>12</v>
      </c>
      <c r="D390" s="14" t="s">
        <v>36</v>
      </c>
      <c r="E390" s="16">
        <f t="shared" ref="E390:G390" si="1167">ROUNDUP((XLOOKUP($D390,$T$3:$T$10,$U$3:$U$10)*XLOOKUP(E$2,$AA$3:$AA$5,$AB$3:$AB$5)-ABS(XLOOKUP($C390,$Q$3:$Q$16,$R$3:$R$16)))*$B390,-5)</f>
        <v>45300000</v>
      </c>
      <c r="F390" s="16">
        <f t="shared" si="1167"/>
        <v>78500000</v>
      </c>
      <c r="G390" s="16">
        <f t="shared" si="1167"/>
        <v>85300000</v>
      </c>
      <c r="H390" s="17">
        <f t="shared" ref="H390:J390" si="1168">roundup((XLOOKUP($D390,$T$3:$T$10,$U$3:$U$10)*XLOOKUP(H$2,$AA$3:$AA$5,$AC$3:$AC$5)-ABS(XLOOKUP($C390,$Q$3:$Q$16,$R$3:$R$16)))*$B390,-5)</f>
        <v>37800000</v>
      </c>
      <c r="I390" s="17">
        <f t="shared" si="1168"/>
        <v>96500000</v>
      </c>
      <c r="J390" s="17">
        <f t="shared" si="1168"/>
        <v>104500000</v>
      </c>
      <c r="K390" s="17">
        <f t="shared" ref="K390:M390" si="1169">roundup((XLOOKUP($D390,$T$3:$T$10,$U$3:$U$10)*XLOOKUP(K$2,$AA$3:$AA$5,$AD$3:$AD$5)-ABS(XLOOKUP($C390,$Q$3:$Q$16,$R$3:$R$16)))*$B390,-5)</f>
        <v>44300000</v>
      </c>
      <c r="L390" s="17">
        <f t="shared" si="1169"/>
        <v>108800000</v>
      </c>
      <c r="M390" s="17">
        <f t="shared" si="1169"/>
        <v>117600000</v>
      </c>
    </row>
    <row r="391">
      <c r="A391" s="14" t="s">
        <v>431</v>
      </c>
      <c r="B391" s="14">
        <v>160.0</v>
      </c>
      <c r="C391" s="15">
        <f t="shared" si="4"/>
        <v>11</v>
      </c>
      <c r="D391" s="14" t="s">
        <v>36</v>
      </c>
      <c r="E391" s="16">
        <f t="shared" ref="E391:G391" si="1170">ROUNDUP((XLOOKUP($D391,$T$3:$T$10,$U$3:$U$10)*XLOOKUP(E$2,$AA$3:$AA$5,$AB$3:$AB$5)-ABS(XLOOKUP($C391,$Q$3:$Q$16,$R$3:$R$16)))*$B391,-5)</f>
        <v>42000000</v>
      </c>
      <c r="F391" s="16">
        <f t="shared" si="1170"/>
        <v>72100000</v>
      </c>
      <c r="G391" s="16">
        <f t="shared" si="1170"/>
        <v>78400000</v>
      </c>
      <c r="H391" s="17">
        <f t="shared" ref="H391:J391" si="1171">roundup((XLOOKUP($D391,$T$3:$T$10,$U$3:$U$10)*XLOOKUP(H$2,$AA$3:$AA$5,$AC$3:$AC$5)-ABS(XLOOKUP($C391,$Q$3:$Q$16,$R$3:$R$16)))*$B391,-5)</f>
        <v>35100000</v>
      </c>
      <c r="I391" s="17">
        <f t="shared" si="1171"/>
        <v>88600000</v>
      </c>
      <c r="J391" s="17">
        <f t="shared" si="1171"/>
        <v>95800000</v>
      </c>
      <c r="K391" s="17">
        <f t="shared" ref="K391:M391" si="1172">roundup((XLOOKUP($D391,$T$3:$T$10,$U$3:$U$10)*XLOOKUP(K$2,$AA$3:$AA$5,$AD$3:$AD$5)-ABS(XLOOKUP($C391,$Q$3:$Q$16,$R$3:$R$16)))*$B391,-5)</f>
        <v>41100000</v>
      </c>
      <c r="L391" s="17">
        <f t="shared" si="1172"/>
        <v>99700000</v>
      </c>
      <c r="M391" s="17">
        <f t="shared" si="1172"/>
        <v>107700000</v>
      </c>
    </row>
    <row r="392">
      <c r="A392" s="14" t="s">
        <v>432</v>
      </c>
      <c r="B392" s="14">
        <v>176.0</v>
      </c>
      <c r="C392" s="15">
        <f t="shared" si="4"/>
        <v>12</v>
      </c>
      <c r="D392" s="14" t="s">
        <v>33</v>
      </c>
      <c r="E392" s="16">
        <f t="shared" ref="E392:G392" si="1173">ROUNDUP((XLOOKUP($D392,$T$3:$T$10,$U$3:$U$10)*XLOOKUP(E$2,$AA$3:$AA$5,$AB$3:$AB$5)-ABS(XLOOKUP($C392,$Q$3:$Q$16,$R$3:$R$16)))*$B392,-5)</f>
        <v>37300000</v>
      </c>
      <c r="F392" s="16">
        <f t="shared" si="1173"/>
        <v>66900000</v>
      </c>
      <c r="G392" s="16">
        <f t="shared" si="1173"/>
        <v>73000000</v>
      </c>
      <c r="H392" s="17">
        <f t="shared" ref="H392:J392" si="1174">roundup((XLOOKUP($D392,$T$3:$T$10,$U$3:$U$10)*XLOOKUP(H$2,$AA$3:$AA$5,$AC$3:$AC$5)-ABS(XLOOKUP($C392,$Q$3:$Q$16,$R$3:$R$16)))*$B392,-5)</f>
        <v>30600000</v>
      </c>
      <c r="I392" s="17">
        <f t="shared" si="1174"/>
        <v>83000000</v>
      </c>
      <c r="J392" s="17">
        <f t="shared" si="1174"/>
        <v>90100000</v>
      </c>
      <c r="K392" s="17">
        <f t="shared" ref="K392:M392" si="1175">roundup((XLOOKUP($D392,$T$3:$T$10,$U$3:$U$10)*XLOOKUP(K$2,$AA$3:$AA$5,$AD$3:$AD$5)-ABS(XLOOKUP($C392,$Q$3:$Q$16,$R$3:$R$16)))*$B392,-5)</f>
        <v>36400000</v>
      </c>
      <c r="L392" s="17">
        <f t="shared" si="1175"/>
        <v>93900000</v>
      </c>
      <c r="M392" s="17">
        <f t="shared" si="1175"/>
        <v>101800000</v>
      </c>
    </row>
    <row r="393">
      <c r="A393" s="14" t="s">
        <v>433</v>
      </c>
      <c r="B393" s="14">
        <v>176.0</v>
      </c>
      <c r="C393" s="15">
        <f t="shared" si="4"/>
        <v>12</v>
      </c>
      <c r="D393" s="14" t="s">
        <v>33</v>
      </c>
      <c r="E393" s="16">
        <f t="shared" ref="E393:G393" si="1176">ROUNDUP((XLOOKUP($D393,$T$3:$T$10,$U$3:$U$10)*XLOOKUP(E$2,$AA$3:$AA$5,$AB$3:$AB$5)-ABS(XLOOKUP($C393,$Q$3:$Q$16,$R$3:$R$16)))*$B393,-5)</f>
        <v>37300000</v>
      </c>
      <c r="F393" s="16">
        <f t="shared" si="1176"/>
        <v>66900000</v>
      </c>
      <c r="G393" s="16">
        <f t="shared" si="1176"/>
        <v>73000000</v>
      </c>
      <c r="H393" s="17">
        <f t="shared" ref="H393:J393" si="1177">roundup((XLOOKUP($D393,$T$3:$T$10,$U$3:$U$10)*XLOOKUP(H$2,$AA$3:$AA$5,$AC$3:$AC$5)-ABS(XLOOKUP($C393,$Q$3:$Q$16,$R$3:$R$16)))*$B393,-5)</f>
        <v>30600000</v>
      </c>
      <c r="I393" s="17">
        <f t="shared" si="1177"/>
        <v>83000000</v>
      </c>
      <c r="J393" s="17">
        <f t="shared" si="1177"/>
        <v>90100000</v>
      </c>
      <c r="K393" s="17">
        <f t="shared" ref="K393:M393" si="1178">roundup((XLOOKUP($D393,$T$3:$T$10,$U$3:$U$10)*XLOOKUP(K$2,$AA$3:$AA$5,$AD$3:$AD$5)-ABS(XLOOKUP($C393,$Q$3:$Q$16,$R$3:$R$16)))*$B393,-5)</f>
        <v>36400000</v>
      </c>
      <c r="L393" s="17">
        <f t="shared" si="1178"/>
        <v>93900000</v>
      </c>
      <c r="M393" s="17">
        <f t="shared" si="1178"/>
        <v>101800000</v>
      </c>
    </row>
    <row r="394">
      <c r="A394" s="14" t="s">
        <v>434</v>
      </c>
      <c r="B394" s="14">
        <v>174.0</v>
      </c>
      <c r="C394" s="15">
        <f t="shared" si="4"/>
        <v>12</v>
      </c>
      <c r="D394" s="14" t="s">
        <v>36</v>
      </c>
      <c r="E394" s="16">
        <f t="shared" ref="E394:G394" si="1179">ROUNDUP((XLOOKUP($D394,$T$3:$T$10,$U$3:$U$10)*XLOOKUP(E$2,$AA$3:$AA$5,$AB$3:$AB$5)-ABS(XLOOKUP($C394,$Q$3:$Q$16,$R$3:$R$16)))*$B394,-5)</f>
        <v>44800000</v>
      </c>
      <c r="F394" s="16">
        <f t="shared" si="1179"/>
        <v>77600000</v>
      </c>
      <c r="G394" s="16">
        <f t="shared" si="1179"/>
        <v>84400000</v>
      </c>
      <c r="H394" s="17">
        <f t="shared" ref="H394:J394" si="1180">roundup((XLOOKUP($D394,$T$3:$T$10,$U$3:$U$10)*XLOOKUP(H$2,$AA$3:$AA$5,$AC$3:$AC$5)-ABS(XLOOKUP($C394,$Q$3:$Q$16,$R$3:$R$16)))*$B394,-5)</f>
        <v>37300000</v>
      </c>
      <c r="I394" s="17">
        <f t="shared" si="1180"/>
        <v>95400000</v>
      </c>
      <c r="J394" s="17">
        <f t="shared" si="1180"/>
        <v>103300000</v>
      </c>
      <c r="K394" s="17">
        <f t="shared" ref="K394:M394" si="1181">roundup((XLOOKUP($D394,$T$3:$T$10,$U$3:$U$10)*XLOOKUP(K$2,$AA$3:$AA$5,$AD$3:$AD$5)-ABS(XLOOKUP($C394,$Q$3:$Q$16,$R$3:$R$16)))*$B394,-5)</f>
        <v>43800000</v>
      </c>
      <c r="L394" s="17">
        <f t="shared" si="1181"/>
        <v>107500000</v>
      </c>
      <c r="M394" s="17">
        <f t="shared" si="1181"/>
        <v>116200000</v>
      </c>
    </row>
    <row r="395">
      <c r="A395" s="14" t="s">
        <v>435</v>
      </c>
      <c r="B395" s="14">
        <v>162.0</v>
      </c>
      <c r="C395" s="15">
        <f t="shared" si="4"/>
        <v>12</v>
      </c>
      <c r="D395" s="14" t="s">
        <v>36</v>
      </c>
      <c r="E395" s="16">
        <f t="shared" ref="E395:G395" si="1182">ROUNDUP((XLOOKUP($D395,$T$3:$T$10,$U$3:$U$10)*XLOOKUP(E$2,$AA$3:$AA$5,$AB$3:$AB$5)-ABS(XLOOKUP($C395,$Q$3:$Q$16,$R$3:$R$16)))*$B395,-5)</f>
        <v>41700000</v>
      </c>
      <c r="F395" s="16">
        <f t="shared" si="1182"/>
        <v>72200000</v>
      </c>
      <c r="G395" s="16">
        <f t="shared" si="1182"/>
        <v>78500000</v>
      </c>
      <c r="H395" s="17">
        <f t="shared" ref="H395:J395" si="1183">roundup((XLOOKUP($D395,$T$3:$T$10,$U$3:$U$10)*XLOOKUP(H$2,$AA$3:$AA$5,$AC$3:$AC$5)-ABS(XLOOKUP($C395,$Q$3:$Q$16,$R$3:$R$16)))*$B395,-5)</f>
        <v>34800000</v>
      </c>
      <c r="I395" s="17">
        <f t="shared" si="1183"/>
        <v>88900000</v>
      </c>
      <c r="J395" s="17">
        <f t="shared" si="1183"/>
        <v>96200000</v>
      </c>
      <c r="K395" s="17">
        <f t="shared" ref="K395:M395" si="1184">roundup((XLOOKUP($D395,$T$3:$T$10,$U$3:$U$10)*XLOOKUP(K$2,$AA$3:$AA$5,$AD$3:$AD$5)-ABS(XLOOKUP($C395,$Q$3:$Q$16,$R$3:$R$16)))*$B395,-5)</f>
        <v>40800000</v>
      </c>
      <c r="L395" s="17">
        <f t="shared" si="1184"/>
        <v>100100000</v>
      </c>
      <c r="M395" s="17">
        <f t="shared" si="1184"/>
        <v>108200000</v>
      </c>
    </row>
    <row r="396">
      <c r="A396" s="14" t="s">
        <v>436</v>
      </c>
      <c r="B396" s="14">
        <v>173.0</v>
      </c>
      <c r="C396" s="15">
        <f t="shared" si="4"/>
        <v>12</v>
      </c>
      <c r="D396" s="14" t="s">
        <v>36</v>
      </c>
      <c r="E396" s="16">
        <f t="shared" ref="E396:G396" si="1185">ROUNDUP((XLOOKUP($D396,$T$3:$T$10,$U$3:$U$10)*XLOOKUP(E$2,$AA$3:$AA$5,$AB$3:$AB$5)-ABS(XLOOKUP($C396,$Q$3:$Q$16,$R$3:$R$16)))*$B396,-5)</f>
        <v>44500000</v>
      </c>
      <c r="F396" s="16">
        <f t="shared" si="1185"/>
        <v>77100000</v>
      </c>
      <c r="G396" s="16">
        <f t="shared" si="1185"/>
        <v>83900000</v>
      </c>
      <c r="H396" s="17">
        <f t="shared" ref="H396:J396" si="1186">roundup((XLOOKUP($D396,$T$3:$T$10,$U$3:$U$10)*XLOOKUP(H$2,$AA$3:$AA$5,$AC$3:$AC$5)-ABS(XLOOKUP($C396,$Q$3:$Q$16,$R$3:$R$16)))*$B396,-5)</f>
        <v>37100000</v>
      </c>
      <c r="I396" s="17">
        <f t="shared" si="1186"/>
        <v>94900000</v>
      </c>
      <c r="J396" s="17">
        <f t="shared" si="1186"/>
        <v>102700000</v>
      </c>
      <c r="K396" s="17">
        <f t="shared" ref="K396:M396" si="1187">roundup((XLOOKUP($D396,$T$3:$T$10,$U$3:$U$10)*XLOOKUP(K$2,$AA$3:$AA$5,$AD$3:$AD$5)-ABS(XLOOKUP($C396,$Q$3:$Q$16,$R$3:$R$16)))*$B396,-5)</f>
        <v>43500000</v>
      </c>
      <c r="L396" s="17">
        <f t="shared" si="1187"/>
        <v>106900000</v>
      </c>
      <c r="M396" s="17">
        <f t="shared" si="1187"/>
        <v>115600000</v>
      </c>
    </row>
    <row r="397">
      <c r="A397" s="14" t="s">
        <v>437</v>
      </c>
      <c r="B397" s="14">
        <v>173.0</v>
      </c>
      <c r="C397" s="15">
        <f t="shared" si="4"/>
        <v>12</v>
      </c>
      <c r="D397" s="14" t="s">
        <v>36</v>
      </c>
      <c r="E397" s="16">
        <f t="shared" ref="E397:G397" si="1188">ROUNDUP((XLOOKUP($D397,$T$3:$T$10,$U$3:$U$10)*XLOOKUP(E$2,$AA$3:$AA$5,$AB$3:$AB$5)-ABS(XLOOKUP($C397,$Q$3:$Q$16,$R$3:$R$16)))*$B397,-5)</f>
        <v>44500000</v>
      </c>
      <c r="F397" s="16">
        <f t="shared" si="1188"/>
        <v>77100000</v>
      </c>
      <c r="G397" s="16">
        <f t="shared" si="1188"/>
        <v>83900000</v>
      </c>
      <c r="H397" s="17">
        <f t="shared" ref="H397:J397" si="1189">roundup((XLOOKUP($D397,$T$3:$T$10,$U$3:$U$10)*XLOOKUP(H$2,$AA$3:$AA$5,$AC$3:$AC$5)-ABS(XLOOKUP($C397,$Q$3:$Q$16,$R$3:$R$16)))*$B397,-5)</f>
        <v>37100000</v>
      </c>
      <c r="I397" s="17">
        <f t="shared" si="1189"/>
        <v>94900000</v>
      </c>
      <c r="J397" s="17">
        <f t="shared" si="1189"/>
        <v>102700000</v>
      </c>
      <c r="K397" s="17">
        <f t="shared" ref="K397:M397" si="1190">roundup((XLOOKUP($D397,$T$3:$T$10,$U$3:$U$10)*XLOOKUP(K$2,$AA$3:$AA$5,$AD$3:$AD$5)-ABS(XLOOKUP($C397,$Q$3:$Q$16,$R$3:$R$16)))*$B397,-5)</f>
        <v>43500000</v>
      </c>
      <c r="L397" s="17">
        <f t="shared" si="1190"/>
        <v>106900000</v>
      </c>
      <c r="M397" s="17">
        <f t="shared" si="1190"/>
        <v>115600000</v>
      </c>
    </row>
    <row r="398">
      <c r="A398" s="14" t="s">
        <v>438</v>
      </c>
      <c r="B398" s="14">
        <v>198.0</v>
      </c>
      <c r="C398" s="15">
        <f t="shared" si="4"/>
        <v>13</v>
      </c>
      <c r="D398" s="14" t="s">
        <v>36</v>
      </c>
      <c r="E398" s="16">
        <f t="shared" ref="E398:G398" si="1191">ROUNDUP((XLOOKUP($D398,$T$3:$T$10,$U$3:$U$10)*XLOOKUP(E$2,$AA$3:$AA$5,$AB$3:$AB$5)-ABS(XLOOKUP($C398,$Q$3:$Q$16,$R$3:$R$16)))*$B398,-5)</f>
        <v>48000000</v>
      </c>
      <c r="F398" s="16">
        <f t="shared" si="1191"/>
        <v>85300000</v>
      </c>
      <c r="G398" s="16">
        <f t="shared" si="1191"/>
        <v>93000000</v>
      </c>
      <c r="H398" s="17">
        <f t="shared" ref="H398:J398" si="1192">roundup((XLOOKUP($D398,$T$3:$T$10,$U$3:$U$10)*XLOOKUP(H$2,$AA$3:$AA$5,$AC$3:$AC$5)-ABS(XLOOKUP($C398,$Q$3:$Q$16,$R$3:$R$16)))*$B398,-5)</f>
        <v>39500000</v>
      </c>
      <c r="I398" s="17">
        <f t="shared" si="1192"/>
        <v>105600000</v>
      </c>
      <c r="J398" s="17">
        <f t="shared" si="1192"/>
        <v>114600000</v>
      </c>
      <c r="K398" s="17">
        <f t="shared" ref="K398:M398" si="1193">roundup((XLOOKUP($D398,$T$3:$T$10,$U$3:$U$10)*XLOOKUP(K$2,$AA$3:$AA$5,$AD$3:$AD$5)-ABS(XLOOKUP($C398,$Q$3:$Q$16,$R$3:$R$16)))*$B398,-5)</f>
        <v>46800000</v>
      </c>
      <c r="L398" s="17">
        <f t="shared" si="1193"/>
        <v>119400000</v>
      </c>
      <c r="M398" s="17">
        <f t="shared" si="1193"/>
        <v>129300000</v>
      </c>
    </row>
    <row r="399">
      <c r="A399" s="14" t="s">
        <v>439</v>
      </c>
      <c r="B399" s="14">
        <v>173.0</v>
      </c>
      <c r="C399" s="15">
        <f t="shared" si="4"/>
        <v>12</v>
      </c>
      <c r="D399" s="14" t="s">
        <v>36</v>
      </c>
      <c r="E399" s="16">
        <f t="shared" ref="E399:G399" si="1194">ROUNDUP((XLOOKUP($D399,$T$3:$T$10,$U$3:$U$10)*XLOOKUP(E$2,$AA$3:$AA$5,$AB$3:$AB$5)-ABS(XLOOKUP($C399,$Q$3:$Q$16,$R$3:$R$16)))*$B399,-5)</f>
        <v>44500000</v>
      </c>
      <c r="F399" s="16">
        <f t="shared" si="1194"/>
        <v>77100000</v>
      </c>
      <c r="G399" s="16">
        <f t="shared" si="1194"/>
        <v>83900000</v>
      </c>
      <c r="H399" s="17">
        <f t="shared" ref="H399:J399" si="1195">roundup((XLOOKUP($D399,$T$3:$T$10,$U$3:$U$10)*XLOOKUP(H$2,$AA$3:$AA$5,$AC$3:$AC$5)-ABS(XLOOKUP($C399,$Q$3:$Q$16,$R$3:$R$16)))*$B399,-5)</f>
        <v>37100000</v>
      </c>
      <c r="I399" s="17">
        <f t="shared" si="1195"/>
        <v>94900000</v>
      </c>
      <c r="J399" s="17">
        <f t="shared" si="1195"/>
        <v>102700000</v>
      </c>
      <c r="K399" s="17">
        <f t="shared" ref="K399:M399" si="1196">roundup((XLOOKUP($D399,$T$3:$T$10,$U$3:$U$10)*XLOOKUP(K$2,$AA$3:$AA$5,$AD$3:$AD$5)-ABS(XLOOKUP($C399,$Q$3:$Q$16,$R$3:$R$16)))*$B399,-5)</f>
        <v>43500000</v>
      </c>
      <c r="L399" s="17">
        <f t="shared" si="1196"/>
        <v>106900000</v>
      </c>
      <c r="M399" s="17">
        <f t="shared" si="1196"/>
        <v>115600000</v>
      </c>
    </row>
    <row r="400">
      <c r="A400" s="14" t="s">
        <v>440</v>
      </c>
      <c r="B400" s="14">
        <v>171.0</v>
      </c>
      <c r="C400" s="15">
        <f t="shared" si="4"/>
        <v>12</v>
      </c>
      <c r="D400" s="14" t="s">
        <v>33</v>
      </c>
      <c r="E400" s="16">
        <f t="shared" ref="E400:G400" si="1197">ROUNDUP((XLOOKUP($D400,$T$3:$T$10,$U$3:$U$10)*XLOOKUP(E$2,$AA$3:$AA$5,$AB$3:$AB$5)-ABS(XLOOKUP($C400,$Q$3:$Q$16,$R$3:$R$16)))*$B400,-5)</f>
        <v>36200000</v>
      </c>
      <c r="F400" s="16">
        <f t="shared" si="1197"/>
        <v>65000000</v>
      </c>
      <c r="G400" s="16">
        <f t="shared" si="1197"/>
        <v>70900000</v>
      </c>
      <c r="H400" s="17">
        <f t="shared" ref="H400:J400" si="1198">roundup((XLOOKUP($D400,$T$3:$T$10,$U$3:$U$10)*XLOOKUP(H$2,$AA$3:$AA$5,$AC$3:$AC$5)-ABS(XLOOKUP($C400,$Q$3:$Q$16,$R$3:$R$16)))*$B400,-5)</f>
        <v>29700000</v>
      </c>
      <c r="I400" s="17">
        <f t="shared" si="1198"/>
        <v>80600000</v>
      </c>
      <c r="J400" s="17">
        <f t="shared" si="1198"/>
        <v>87600000</v>
      </c>
      <c r="K400" s="17">
        <f t="shared" ref="K400:M400" si="1199">roundup((XLOOKUP($D400,$T$3:$T$10,$U$3:$U$10)*XLOOKUP(K$2,$AA$3:$AA$5,$AD$3:$AD$5)-ABS(XLOOKUP($C400,$Q$3:$Q$16,$R$3:$R$16)))*$B400,-5)</f>
        <v>35400000</v>
      </c>
      <c r="L400" s="17">
        <f t="shared" si="1199"/>
        <v>91200000</v>
      </c>
      <c r="M400" s="17">
        <f t="shared" si="1199"/>
        <v>98900000</v>
      </c>
    </row>
    <row r="401">
      <c r="A401" s="14" t="s">
        <v>441</v>
      </c>
      <c r="B401" s="14">
        <v>171.0</v>
      </c>
      <c r="C401" s="15">
        <f t="shared" si="4"/>
        <v>12</v>
      </c>
      <c r="D401" s="14" t="s">
        <v>36</v>
      </c>
      <c r="E401" s="16">
        <f t="shared" ref="E401:G401" si="1200">ROUNDUP((XLOOKUP($D401,$T$3:$T$10,$U$3:$U$10)*XLOOKUP(E$2,$AA$3:$AA$5,$AB$3:$AB$5)-ABS(XLOOKUP($C401,$Q$3:$Q$16,$R$3:$R$16)))*$B401,-5)</f>
        <v>44000000</v>
      </c>
      <c r="F401" s="16">
        <f t="shared" si="1200"/>
        <v>76200000</v>
      </c>
      <c r="G401" s="16">
        <f t="shared" si="1200"/>
        <v>82900000</v>
      </c>
      <c r="H401" s="17">
        <f t="shared" ref="H401:J401" si="1201">roundup((XLOOKUP($D401,$T$3:$T$10,$U$3:$U$10)*XLOOKUP(H$2,$AA$3:$AA$5,$AC$3:$AC$5)-ABS(XLOOKUP($C401,$Q$3:$Q$16,$R$3:$R$16)))*$B401,-5)</f>
        <v>36700000</v>
      </c>
      <c r="I401" s="17">
        <f t="shared" si="1201"/>
        <v>93800000</v>
      </c>
      <c r="J401" s="17">
        <f t="shared" si="1201"/>
        <v>101600000</v>
      </c>
      <c r="K401" s="17">
        <f t="shared" ref="K401:M401" si="1202">roundup((XLOOKUP($D401,$T$3:$T$10,$U$3:$U$10)*XLOOKUP(K$2,$AA$3:$AA$5,$AD$3:$AD$5)-ABS(XLOOKUP($C401,$Q$3:$Q$16,$R$3:$R$16)))*$B401,-5)</f>
        <v>43000000</v>
      </c>
      <c r="L401" s="17">
        <f t="shared" si="1202"/>
        <v>105700000</v>
      </c>
      <c r="M401" s="17">
        <f t="shared" si="1202"/>
        <v>114200000</v>
      </c>
    </row>
    <row r="402">
      <c r="A402" s="14" t="s">
        <v>442</v>
      </c>
      <c r="B402" s="14">
        <v>171.0</v>
      </c>
      <c r="C402" s="15">
        <f t="shared" si="4"/>
        <v>12</v>
      </c>
      <c r="D402" s="14" t="s">
        <v>33</v>
      </c>
      <c r="E402" s="16">
        <f t="shared" ref="E402:G402" si="1203">ROUNDUP((XLOOKUP($D402,$T$3:$T$10,$U$3:$U$10)*XLOOKUP(E$2,$AA$3:$AA$5,$AB$3:$AB$5)-ABS(XLOOKUP($C402,$Q$3:$Q$16,$R$3:$R$16)))*$B402,-5)</f>
        <v>36200000</v>
      </c>
      <c r="F402" s="16">
        <f t="shared" si="1203"/>
        <v>65000000</v>
      </c>
      <c r="G402" s="16">
        <f t="shared" si="1203"/>
        <v>70900000</v>
      </c>
      <c r="H402" s="17">
        <f t="shared" ref="H402:J402" si="1204">roundup((XLOOKUP($D402,$T$3:$T$10,$U$3:$U$10)*XLOOKUP(H$2,$AA$3:$AA$5,$AC$3:$AC$5)-ABS(XLOOKUP($C402,$Q$3:$Q$16,$R$3:$R$16)))*$B402,-5)</f>
        <v>29700000</v>
      </c>
      <c r="I402" s="17">
        <f t="shared" si="1204"/>
        <v>80600000</v>
      </c>
      <c r="J402" s="17">
        <f t="shared" si="1204"/>
        <v>87600000</v>
      </c>
      <c r="K402" s="17">
        <f t="shared" ref="K402:M402" si="1205">roundup((XLOOKUP($D402,$T$3:$T$10,$U$3:$U$10)*XLOOKUP(K$2,$AA$3:$AA$5,$AD$3:$AD$5)-ABS(XLOOKUP($C402,$Q$3:$Q$16,$R$3:$R$16)))*$B402,-5)</f>
        <v>35400000</v>
      </c>
      <c r="L402" s="17">
        <f t="shared" si="1205"/>
        <v>91200000</v>
      </c>
      <c r="M402" s="17">
        <f t="shared" si="1205"/>
        <v>98900000</v>
      </c>
    </row>
    <row r="403">
      <c r="A403" s="14" t="s">
        <v>443</v>
      </c>
      <c r="B403" s="14">
        <v>171.0</v>
      </c>
      <c r="C403" s="15">
        <f t="shared" si="4"/>
        <v>12</v>
      </c>
      <c r="D403" s="14" t="s">
        <v>36</v>
      </c>
      <c r="E403" s="16">
        <f t="shared" ref="E403:G403" si="1206">ROUNDUP((XLOOKUP($D403,$T$3:$T$10,$U$3:$U$10)*XLOOKUP(E$2,$AA$3:$AA$5,$AB$3:$AB$5)-ABS(XLOOKUP($C403,$Q$3:$Q$16,$R$3:$R$16)))*$B403,-5)</f>
        <v>44000000</v>
      </c>
      <c r="F403" s="16">
        <f t="shared" si="1206"/>
        <v>76200000</v>
      </c>
      <c r="G403" s="16">
        <f t="shared" si="1206"/>
        <v>82900000</v>
      </c>
      <c r="H403" s="17">
        <f t="shared" ref="H403:J403" si="1207">roundup((XLOOKUP($D403,$T$3:$T$10,$U$3:$U$10)*XLOOKUP(H$2,$AA$3:$AA$5,$AC$3:$AC$5)-ABS(XLOOKUP($C403,$Q$3:$Q$16,$R$3:$R$16)))*$B403,-5)</f>
        <v>36700000</v>
      </c>
      <c r="I403" s="17">
        <f t="shared" si="1207"/>
        <v>93800000</v>
      </c>
      <c r="J403" s="17">
        <f t="shared" si="1207"/>
        <v>101600000</v>
      </c>
      <c r="K403" s="17">
        <f t="shared" ref="K403:M403" si="1208">roundup((XLOOKUP($D403,$T$3:$T$10,$U$3:$U$10)*XLOOKUP(K$2,$AA$3:$AA$5,$AD$3:$AD$5)-ABS(XLOOKUP($C403,$Q$3:$Q$16,$R$3:$R$16)))*$B403,-5)</f>
        <v>43000000</v>
      </c>
      <c r="L403" s="17">
        <f t="shared" si="1208"/>
        <v>105700000</v>
      </c>
      <c r="M403" s="17">
        <f t="shared" si="1208"/>
        <v>114200000</v>
      </c>
    </row>
    <row r="404">
      <c r="A404" s="14" t="s">
        <v>444</v>
      </c>
      <c r="B404" s="14">
        <v>169.0</v>
      </c>
      <c r="C404" s="15">
        <f t="shared" si="4"/>
        <v>12</v>
      </c>
      <c r="D404" s="14" t="s">
        <v>36</v>
      </c>
      <c r="E404" s="16">
        <f t="shared" ref="E404:G404" si="1209">ROUNDUP((XLOOKUP($D404,$T$3:$T$10,$U$3:$U$10)*XLOOKUP(E$2,$AA$3:$AA$5,$AB$3:$AB$5)-ABS(XLOOKUP($C404,$Q$3:$Q$16,$R$3:$R$16)))*$B404,-5)</f>
        <v>43500000</v>
      </c>
      <c r="F404" s="16">
        <f t="shared" si="1209"/>
        <v>75300000</v>
      </c>
      <c r="G404" s="16">
        <f t="shared" si="1209"/>
        <v>81900000</v>
      </c>
      <c r="H404" s="17">
        <f t="shared" ref="H404:J404" si="1210">roundup((XLOOKUP($D404,$T$3:$T$10,$U$3:$U$10)*XLOOKUP(H$2,$AA$3:$AA$5,$AC$3:$AC$5)-ABS(XLOOKUP($C404,$Q$3:$Q$16,$R$3:$R$16)))*$B404,-5)</f>
        <v>36300000</v>
      </c>
      <c r="I404" s="17">
        <f t="shared" si="1210"/>
        <v>92700000</v>
      </c>
      <c r="J404" s="17">
        <f t="shared" si="1210"/>
        <v>100400000</v>
      </c>
      <c r="K404" s="17">
        <f t="shared" ref="K404:M404" si="1211">roundup((XLOOKUP($D404,$T$3:$T$10,$U$3:$U$10)*XLOOKUP(K$2,$AA$3:$AA$5,$AD$3:$AD$5)-ABS(XLOOKUP($C404,$Q$3:$Q$16,$R$3:$R$16)))*$B404,-5)</f>
        <v>42500000</v>
      </c>
      <c r="L404" s="17">
        <f t="shared" si="1211"/>
        <v>104400000</v>
      </c>
      <c r="M404" s="17">
        <f t="shared" si="1211"/>
        <v>112900000</v>
      </c>
    </row>
    <row r="405">
      <c r="A405" s="14" t="s">
        <v>445</v>
      </c>
      <c r="B405" s="14">
        <v>155.0</v>
      </c>
      <c r="C405" s="15">
        <f t="shared" si="4"/>
        <v>11</v>
      </c>
      <c r="D405" s="14" t="s">
        <v>36</v>
      </c>
      <c r="E405" s="16">
        <f t="shared" ref="E405:G405" si="1212">ROUNDUP((XLOOKUP($D405,$T$3:$T$10,$U$3:$U$10)*XLOOKUP(E$2,$AA$3:$AA$5,$AB$3:$AB$5)-ABS(XLOOKUP($C405,$Q$3:$Q$16,$R$3:$R$16)))*$B405,-5)</f>
        <v>40700000</v>
      </c>
      <c r="F405" s="16">
        <f t="shared" si="1212"/>
        <v>69900000</v>
      </c>
      <c r="G405" s="16">
        <f t="shared" si="1212"/>
        <v>75900000</v>
      </c>
      <c r="H405" s="17">
        <f t="shared" ref="H405:J405" si="1213">roundup((XLOOKUP($D405,$T$3:$T$10,$U$3:$U$10)*XLOOKUP(H$2,$AA$3:$AA$5,$AC$3:$AC$5)-ABS(XLOOKUP($C405,$Q$3:$Q$16,$R$3:$R$16)))*$B405,-5)</f>
        <v>34000000</v>
      </c>
      <c r="I405" s="17">
        <f t="shared" si="1213"/>
        <v>85800000</v>
      </c>
      <c r="J405" s="17">
        <f t="shared" si="1213"/>
        <v>92800000</v>
      </c>
      <c r="K405" s="17">
        <f t="shared" ref="K405:M405" si="1214">roundup((XLOOKUP($D405,$T$3:$T$10,$U$3:$U$10)*XLOOKUP(K$2,$AA$3:$AA$5,$AD$3:$AD$5)-ABS(XLOOKUP($C405,$Q$3:$Q$16,$R$3:$R$16)))*$B405,-5)</f>
        <v>39800000</v>
      </c>
      <c r="L405" s="17">
        <f t="shared" si="1214"/>
        <v>96600000</v>
      </c>
      <c r="M405" s="17">
        <f t="shared" si="1214"/>
        <v>104300000</v>
      </c>
    </row>
    <row r="406">
      <c r="A406" s="14" t="s">
        <v>446</v>
      </c>
      <c r="B406" s="14">
        <v>169.0</v>
      </c>
      <c r="C406" s="15">
        <f t="shared" si="4"/>
        <v>12</v>
      </c>
      <c r="D406" s="14" t="s">
        <v>36</v>
      </c>
      <c r="E406" s="16">
        <f t="shared" ref="E406:G406" si="1215">ROUNDUP((XLOOKUP($D406,$T$3:$T$10,$U$3:$U$10)*XLOOKUP(E$2,$AA$3:$AA$5,$AB$3:$AB$5)-ABS(XLOOKUP($C406,$Q$3:$Q$16,$R$3:$R$16)))*$B406,-5)</f>
        <v>43500000</v>
      </c>
      <c r="F406" s="16">
        <f t="shared" si="1215"/>
        <v>75300000</v>
      </c>
      <c r="G406" s="16">
        <f t="shared" si="1215"/>
        <v>81900000</v>
      </c>
      <c r="H406" s="17">
        <f t="shared" ref="H406:J406" si="1216">roundup((XLOOKUP($D406,$T$3:$T$10,$U$3:$U$10)*XLOOKUP(H$2,$AA$3:$AA$5,$AC$3:$AC$5)-ABS(XLOOKUP($C406,$Q$3:$Q$16,$R$3:$R$16)))*$B406,-5)</f>
        <v>36300000</v>
      </c>
      <c r="I406" s="17">
        <f t="shared" si="1216"/>
        <v>92700000</v>
      </c>
      <c r="J406" s="17">
        <f t="shared" si="1216"/>
        <v>100400000</v>
      </c>
      <c r="K406" s="17">
        <f t="shared" ref="K406:M406" si="1217">roundup((XLOOKUP($D406,$T$3:$T$10,$U$3:$U$10)*XLOOKUP(K$2,$AA$3:$AA$5,$AD$3:$AD$5)-ABS(XLOOKUP($C406,$Q$3:$Q$16,$R$3:$R$16)))*$B406,-5)</f>
        <v>42500000</v>
      </c>
      <c r="L406" s="17">
        <f t="shared" si="1217"/>
        <v>104400000</v>
      </c>
      <c r="M406" s="17">
        <f t="shared" si="1217"/>
        <v>112900000</v>
      </c>
    </row>
    <row r="407">
      <c r="A407" s="14" t="s">
        <v>447</v>
      </c>
      <c r="B407" s="14">
        <v>168.0</v>
      </c>
      <c r="C407" s="15">
        <f t="shared" si="4"/>
        <v>12</v>
      </c>
      <c r="D407" s="14" t="s">
        <v>33</v>
      </c>
      <c r="E407" s="16">
        <f t="shared" ref="E407:G407" si="1218">ROUNDUP((XLOOKUP($D407,$T$3:$T$10,$U$3:$U$10)*XLOOKUP(E$2,$AA$3:$AA$5,$AB$3:$AB$5)-ABS(XLOOKUP($C407,$Q$3:$Q$16,$R$3:$R$16)))*$B407,-5)</f>
        <v>35600000</v>
      </c>
      <c r="F407" s="16">
        <f t="shared" si="1218"/>
        <v>63800000</v>
      </c>
      <c r="G407" s="16">
        <f t="shared" si="1218"/>
        <v>69700000</v>
      </c>
      <c r="H407" s="17">
        <f t="shared" ref="H407:J407" si="1219">roundup((XLOOKUP($D407,$T$3:$T$10,$U$3:$U$10)*XLOOKUP(H$2,$AA$3:$AA$5,$AC$3:$AC$5)-ABS(XLOOKUP($C407,$Q$3:$Q$16,$R$3:$R$16)))*$B407,-5)</f>
        <v>29200000</v>
      </c>
      <c r="I407" s="17">
        <f t="shared" si="1219"/>
        <v>79200000</v>
      </c>
      <c r="J407" s="17">
        <f t="shared" si="1219"/>
        <v>86000000</v>
      </c>
      <c r="K407" s="17">
        <f t="shared" ref="K407:M407" si="1220">roundup((XLOOKUP($D407,$T$3:$T$10,$U$3:$U$10)*XLOOKUP(K$2,$AA$3:$AA$5,$AD$3:$AD$5)-ABS(XLOOKUP($C407,$Q$3:$Q$16,$R$3:$R$16)))*$B407,-5)</f>
        <v>34700000</v>
      </c>
      <c r="L407" s="17">
        <f t="shared" si="1220"/>
        <v>89600000</v>
      </c>
      <c r="M407" s="17">
        <f t="shared" si="1220"/>
        <v>97100000</v>
      </c>
    </row>
    <row r="408">
      <c r="A408" s="14" t="s">
        <v>448</v>
      </c>
      <c r="B408" s="14">
        <v>177.0</v>
      </c>
      <c r="C408" s="15">
        <f t="shared" si="4"/>
        <v>12</v>
      </c>
      <c r="D408" s="14" t="s">
        <v>36</v>
      </c>
      <c r="E408" s="16">
        <f t="shared" ref="E408:G408" si="1221">ROUNDUP((XLOOKUP($D408,$T$3:$T$10,$U$3:$U$10)*XLOOKUP(E$2,$AA$3:$AA$5,$AB$3:$AB$5)-ABS(XLOOKUP($C408,$Q$3:$Q$16,$R$3:$R$16)))*$B408,-5)</f>
        <v>45600000</v>
      </c>
      <c r="F408" s="16">
        <f t="shared" si="1221"/>
        <v>78900000</v>
      </c>
      <c r="G408" s="16">
        <f t="shared" si="1221"/>
        <v>85800000</v>
      </c>
      <c r="H408" s="17">
        <f t="shared" ref="H408:J408" si="1222">roundup((XLOOKUP($D408,$T$3:$T$10,$U$3:$U$10)*XLOOKUP(H$2,$AA$3:$AA$5,$AC$3:$AC$5)-ABS(XLOOKUP($C408,$Q$3:$Q$16,$R$3:$R$16)))*$B408,-5)</f>
        <v>38000000</v>
      </c>
      <c r="I408" s="17">
        <f t="shared" si="1222"/>
        <v>97100000</v>
      </c>
      <c r="J408" s="17">
        <f t="shared" si="1222"/>
        <v>105100000</v>
      </c>
      <c r="K408" s="17">
        <f t="shared" ref="K408:M408" si="1223">roundup((XLOOKUP($D408,$T$3:$T$10,$U$3:$U$10)*XLOOKUP(K$2,$AA$3:$AA$5,$AD$3:$AD$5)-ABS(XLOOKUP($C408,$Q$3:$Q$16,$R$3:$R$16)))*$B408,-5)</f>
        <v>44500000</v>
      </c>
      <c r="L408" s="17">
        <f t="shared" si="1223"/>
        <v>109400000</v>
      </c>
      <c r="M408" s="17">
        <f t="shared" si="1223"/>
        <v>118200000</v>
      </c>
    </row>
    <row r="409">
      <c r="A409" s="14" t="s">
        <v>449</v>
      </c>
      <c r="B409" s="14">
        <v>152.0</v>
      </c>
      <c r="C409" s="15">
        <f t="shared" si="4"/>
        <v>11</v>
      </c>
      <c r="D409" s="14" t="s">
        <v>36</v>
      </c>
      <c r="E409" s="16">
        <f t="shared" ref="E409:G409" si="1224">ROUNDUP((XLOOKUP($D409,$T$3:$T$10,$U$3:$U$10)*XLOOKUP(E$2,$AA$3:$AA$5,$AB$3:$AB$5)-ABS(XLOOKUP($C409,$Q$3:$Q$16,$R$3:$R$16)))*$B409,-5)</f>
        <v>39900000</v>
      </c>
      <c r="F409" s="16">
        <f t="shared" si="1224"/>
        <v>68500000</v>
      </c>
      <c r="G409" s="16">
        <f t="shared" si="1224"/>
        <v>74500000</v>
      </c>
      <c r="H409" s="17">
        <f t="shared" ref="H409:J409" si="1225">roundup((XLOOKUP($D409,$T$3:$T$10,$U$3:$U$10)*XLOOKUP(H$2,$AA$3:$AA$5,$AC$3:$AC$5)-ABS(XLOOKUP($C409,$Q$3:$Q$16,$R$3:$R$16)))*$B409,-5)</f>
        <v>33400000</v>
      </c>
      <c r="I409" s="17">
        <f t="shared" si="1225"/>
        <v>84100000</v>
      </c>
      <c r="J409" s="17">
        <f t="shared" si="1225"/>
        <v>91000000</v>
      </c>
      <c r="K409" s="17">
        <f t="shared" ref="K409:M409" si="1226">roundup((XLOOKUP($D409,$T$3:$T$10,$U$3:$U$10)*XLOOKUP(K$2,$AA$3:$AA$5,$AD$3:$AD$5)-ABS(XLOOKUP($C409,$Q$3:$Q$16,$R$3:$R$16)))*$B409,-5)</f>
        <v>39000000</v>
      </c>
      <c r="L409" s="17">
        <f t="shared" si="1226"/>
        <v>94700000</v>
      </c>
      <c r="M409" s="17">
        <f t="shared" si="1226"/>
        <v>102300000</v>
      </c>
    </row>
    <row r="410">
      <c r="A410" s="14" t="s">
        <v>450</v>
      </c>
      <c r="B410" s="14">
        <v>164.0</v>
      </c>
      <c r="C410" s="15">
        <f t="shared" si="4"/>
        <v>12</v>
      </c>
      <c r="D410" s="14" t="s">
        <v>36</v>
      </c>
      <c r="E410" s="16">
        <f t="shared" ref="E410:G410" si="1227">ROUNDUP((XLOOKUP($D410,$T$3:$T$10,$U$3:$U$10)*XLOOKUP(E$2,$AA$3:$AA$5,$AB$3:$AB$5)-ABS(XLOOKUP($C410,$Q$3:$Q$16,$R$3:$R$16)))*$B410,-5)</f>
        <v>42200000</v>
      </c>
      <c r="F410" s="16">
        <f t="shared" si="1227"/>
        <v>73100000</v>
      </c>
      <c r="G410" s="16">
        <f t="shared" si="1227"/>
        <v>79500000</v>
      </c>
      <c r="H410" s="17">
        <f t="shared" ref="H410:J410" si="1228">roundup((XLOOKUP($D410,$T$3:$T$10,$U$3:$U$10)*XLOOKUP(H$2,$AA$3:$AA$5,$AC$3:$AC$5)-ABS(XLOOKUP($C410,$Q$3:$Q$16,$R$3:$R$16)))*$B410,-5)</f>
        <v>35200000</v>
      </c>
      <c r="I410" s="17">
        <f t="shared" si="1228"/>
        <v>89900000</v>
      </c>
      <c r="J410" s="17">
        <f t="shared" si="1228"/>
        <v>97400000</v>
      </c>
      <c r="K410" s="17">
        <f t="shared" ref="K410:M410" si="1229">roundup((XLOOKUP($D410,$T$3:$T$10,$U$3:$U$10)*XLOOKUP(K$2,$AA$3:$AA$5,$AD$3:$AD$5)-ABS(XLOOKUP($C410,$Q$3:$Q$16,$R$3:$R$16)))*$B410,-5)</f>
        <v>41300000</v>
      </c>
      <c r="L410" s="17">
        <f t="shared" si="1229"/>
        <v>101300000</v>
      </c>
      <c r="M410" s="17">
        <f t="shared" si="1229"/>
        <v>109500000</v>
      </c>
    </row>
    <row r="411">
      <c r="A411" s="14" t="s">
        <v>451</v>
      </c>
      <c r="B411" s="14">
        <v>145.0</v>
      </c>
      <c r="C411" s="15">
        <f t="shared" si="4"/>
        <v>11</v>
      </c>
      <c r="D411" s="14" t="s">
        <v>33</v>
      </c>
      <c r="E411" s="16">
        <f t="shared" ref="E411:G411" si="1230">ROUNDUP((XLOOKUP($D411,$T$3:$T$10,$U$3:$U$10)*XLOOKUP(E$2,$AA$3:$AA$5,$AB$3:$AB$5)-ABS(XLOOKUP($C411,$Q$3:$Q$16,$R$3:$R$16)))*$B411,-5)</f>
        <v>31500000</v>
      </c>
      <c r="F411" s="16">
        <f t="shared" si="1230"/>
        <v>55800000</v>
      </c>
      <c r="G411" s="16">
        <f t="shared" si="1230"/>
        <v>60900000</v>
      </c>
      <c r="H411" s="17">
        <f t="shared" ref="H411:J411" si="1231">roundup((XLOOKUP($D411,$T$3:$T$10,$U$3:$U$10)*XLOOKUP(H$2,$AA$3:$AA$5,$AC$3:$AC$5)-ABS(XLOOKUP($C411,$Q$3:$Q$16,$R$3:$R$16)))*$B411,-5)</f>
        <v>25900000</v>
      </c>
      <c r="I411" s="17">
        <f t="shared" si="1231"/>
        <v>69100000</v>
      </c>
      <c r="J411" s="17">
        <f t="shared" si="1231"/>
        <v>75000000</v>
      </c>
      <c r="K411" s="17">
        <f t="shared" ref="K411:M411" si="1232">roundup((XLOOKUP($D411,$T$3:$T$10,$U$3:$U$10)*XLOOKUP(K$2,$AA$3:$AA$5,$AD$3:$AD$5)-ABS(XLOOKUP($C411,$Q$3:$Q$16,$R$3:$R$16)))*$B411,-5)</f>
        <v>30700000</v>
      </c>
      <c r="L411" s="17">
        <f t="shared" si="1232"/>
        <v>78100000</v>
      </c>
      <c r="M411" s="17">
        <f t="shared" si="1232"/>
        <v>84600000</v>
      </c>
    </row>
    <row r="412">
      <c r="A412" s="14" t="s">
        <v>452</v>
      </c>
      <c r="B412" s="14">
        <v>163.0</v>
      </c>
      <c r="C412" s="15">
        <f t="shared" si="4"/>
        <v>12</v>
      </c>
      <c r="D412" s="14" t="s">
        <v>36</v>
      </c>
      <c r="E412" s="16">
        <f t="shared" ref="E412:G412" si="1233">ROUNDUP((XLOOKUP($D412,$T$3:$T$10,$U$3:$U$10)*XLOOKUP(E$2,$AA$3:$AA$5,$AB$3:$AB$5)-ABS(XLOOKUP($C412,$Q$3:$Q$16,$R$3:$R$16)))*$B412,-5)</f>
        <v>42000000</v>
      </c>
      <c r="F412" s="16">
        <f t="shared" si="1233"/>
        <v>72700000</v>
      </c>
      <c r="G412" s="16">
        <f t="shared" si="1233"/>
        <v>79000000</v>
      </c>
      <c r="H412" s="17">
        <f t="shared" ref="H412:J412" si="1234">roundup((XLOOKUP($D412,$T$3:$T$10,$U$3:$U$10)*XLOOKUP(H$2,$AA$3:$AA$5,$AC$3:$AC$5)-ABS(XLOOKUP($C412,$Q$3:$Q$16,$R$3:$R$16)))*$B412,-5)</f>
        <v>35000000</v>
      </c>
      <c r="I412" s="17">
        <f t="shared" si="1234"/>
        <v>89400000</v>
      </c>
      <c r="J412" s="17">
        <f t="shared" si="1234"/>
        <v>96800000</v>
      </c>
      <c r="K412" s="17">
        <f t="shared" ref="K412:M412" si="1235">roundup((XLOOKUP($D412,$T$3:$T$10,$U$3:$U$10)*XLOOKUP(K$2,$AA$3:$AA$5,$AD$3:$AD$5)-ABS(XLOOKUP($C412,$Q$3:$Q$16,$R$3:$R$16)))*$B412,-5)</f>
        <v>41000000</v>
      </c>
      <c r="L412" s="17">
        <f t="shared" si="1235"/>
        <v>100700000</v>
      </c>
      <c r="M412" s="17">
        <f t="shared" si="1235"/>
        <v>108900000</v>
      </c>
    </row>
    <row r="413">
      <c r="A413" s="14" t="s">
        <v>453</v>
      </c>
      <c r="B413" s="14">
        <v>163.0</v>
      </c>
      <c r="C413" s="15">
        <f t="shared" si="4"/>
        <v>12</v>
      </c>
      <c r="D413" s="14" t="s">
        <v>33</v>
      </c>
      <c r="E413" s="16">
        <f t="shared" ref="E413:G413" si="1236">ROUNDUP((XLOOKUP($D413,$T$3:$T$10,$U$3:$U$10)*XLOOKUP(E$2,$AA$3:$AA$5,$AB$3:$AB$5)-ABS(XLOOKUP($C413,$Q$3:$Q$16,$R$3:$R$16)))*$B413,-5)</f>
        <v>34600000</v>
      </c>
      <c r="F413" s="16">
        <f t="shared" si="1236"/>
        <v>61900000</v>
      </c>
      <c r="G413" s="16">
        <f t="shared" si="1236"/>
        <v>67600000</v>
      </c>
      <c r="H413" s="17">
        <f t="shared" ref="H413:J413" si="1237">roundup((XLOOKUP($D413,$T$3:$T$10,$U$3:$U$10)*XLOOKUP(H$2,$AA$3:$AA$5,$AC$3:$AC$5)-ABS(XLOOKUP($C413,$Q$3:$Q$16,$R$3:$R$16)))*$B413,-5)</f>
        <v>28300000</v>
      </c>
      <c r="I413" s="17">
        <f t="shared" si="1237"/>
        <v>76900000</v>
      </c>
      <c r="J413" s="17">
        <f t="shared" si="1237"/>
        <v>83500000</v>
      </c>
      <c r="K413" s="17">
        <f t="shared" ref="K413:M413" si="1238">roundup((XLOOKUP($D413,$T$3:$T$10,$U$3:$U$10)*XLOOKUP(K$2,$AA$3:$AA$5,$AD$3:$AD$5)-ABS(XLOOKUP($C413,$Q$3:$Q$16,$R$3:$R$16)))*$B413,-5)</f>
        <v>33700000</v>
      </c>
      <c r="L413" s="17">
        <f t="shared" si="1238"/>
        <v>87000000</v>
      </c>
      <c r="M413" s="17">
        <f t="shared" si="1238"/>
        <v>94300000</v>
      </c>
    </row>
    <row r="414">
      <c r="A414" s="14" t="s">
        <v>454</v>
      </c>
      <c r="B414" s="14">
        <v>162.0</v>
      </c>
      <c r="C414" s="15">
        <f t="shared" si="4"/>
        <v>12</v>
      </c>
      <c r="D414" s="14" t="s">
        <v>33</v>
      </c>
      <c r="E414" s="16">
        <f t="shared" ref="E414:G414" si="1239">ROUNDUP((XLOOKUP($D414,$T$3:$T$10,$U$3:$U$10)*XLOOKUP(E$2,$AA$3:$AA$5,$AB$3:$AB$5)-ABS(XLOOKUP($C414,$Q$3:$Q$16,$R$3:$R$16)))*$B414,-5)</f>
        <v>34300000</v>
      </c>
      <c r="F414" s="16">
        <f t="shared" si="1239"/>
        <v>61600000</v>
      </c>
      <c r="G414" s="16">
        <f t="shared" si="1239"/>
        <v>67200000</v>
      </c>
      <c r="H414" s="17">
        <f t="shared" ref="H414:J414" si="1240">roundup((XLOOKUP($D414,$T$3:$T$10,$U$3:$U$10)*XLOOKUP(H$2,$AA$3:$AA$5,$AC$3:$AC$5)-ABS(XLOOKUP($C414,$Q$3:$Q$16,$R$3:$R$16)))*$B414,-5)</f>
        <v>28100000</v>
      </c>
      <c r="I414" s="17">
        <f t="shared" si="1240"/>
        <v>76400000</v>
      </c>
      <c r="J414" s="17">
        <f t="shared" si="1240"/>
        <v>83000000</v>
      </c>
      <c r="K414" s="17">
        <f t="shared" ref="K414:M414" si="1241">roundup((XLOOKUP($D414,$T$3:$T$10,$U$3:$U$10)*XLOOKUP(K$2,$AA$3:$AA$5,$AD$3:$AD$5)-ABS(XLOOKUP($C414,$Q$3:$Q$16,$R$3:$R$16)))*$B414,-5)</f>
        <v>33500000</v>
      </c>
      <c r="L414" s="17">
        <f t="shared" si="1241"/>
        <v>86400000</v>
      </c>
      <c r="M414" s="17">
        <f t="shared" si="1241"/>
        <v>93700000</v>
      </c>
    </row>
    <row r="415">
      <c r="A415" s="14" t="s">
        <v>455</v>
      </c>
      <c r="B415" s="14">
        <v>162.0</v>
      </c>
      <c r="C415" s="15">
        <f t="shared" si="4"/>
        <v>12</v>
      </c>
      <c r="D415" s="14" t="s">
        <v>36</v>
      </c>
      <c r="E415" s="16">
        <f t="shared" ref="E415:G415" si="1242">ROUNDUP((XLOOKUP($D415,$T$3:$T$10,$U$3:$U$10)*XLOOKUP(E$2,$AA$3:$AA$5,$AB$3:$AB$5)-ABS(XLOOKUP($C415,$Q$3:$Q$16,$R$3:$R$16)))*$B415,-5)</f>
        <v>41700000</v>
      </c>
      <c r="F415" s="16">
        <f t="shared" si="1242"/>
        <v>72200000</v>
      </c>
      <c r="G415" s="16">
        <f t="shared" si="1242"/>
        <v>78500000</v>
      </c>
      <c r="H415" s="17">
        <f t="shared" ref="H415:J415" si="1243">roundup((XLOOKUP($D415,$T$3:$T$10,$U$3:$U$10)*XLOOKUP(H$2,$AA$3:$AA$5,$AC$3:$AC$5)-ABS(XLOOKUP($C415,$Q$3:$Q$16,$R$3:$R$16)))*$B415,-5)</f>
        <v>34800000</v>
      </c>
      <c r="I415" s="17">
        <f t="shared" si="1243"/>
        <v>88900000</v>
      </c>
      <c r="J415" s="17">
        <f t="shared" si="1243"/>
        <v>96200000</v>
      </c>
      <c r="K415" s="17">
        <f t="shared" ref="K415:M415" si="1244">roundup((XLOOKUP($D415,$T$3:$T$10,$U$3:$U$10)*XLOOKUP(K$2,$AA$3:$AA$5,$AD$3:$AD$5)-ABS(XLOOKUP($C415,$Q$3:$Q$16,$R$3:$R$16)))*$B415,-5)</f>
        <v>40800000</v>
      </c>
      <c r="L415" s="17">
        <f t="shared" si="1244"/>
        <v>100100000</v>
      </c>
      <c r="M415" s="17">
        <f t="shared" si="1244"/>
        <v>108200000</v>
      </c>
    </row>
    <row r="416">
      <c r="A416" s="14" t="s">
        <v>456</v>
      </c>
      <c r="B416" s="14">
        <v>162.0</v>
      </c>
      <c r="C416" s="15">
        <f t="shared" si="4"/>
        <v>12</v>
      </c>
      <c r="D416" s="14" t="s">
        <v>36</v>
      </c>
      <c r="E416" s="16">
        <f t="shared" ref="E416:G416" si="1245">ROUNDUP((XLOOKUP($D416,$T$3:$T$10,$U$3:$U$10)*XLOOKUP(E$2,$AA$3:$AA$5,$AB$3:$AB$5)-ABS(XLOOKUP($C416,$Q$3:$Q$16,$R$3:$R$16)))*$B416,-5)</f>
        <v>41700000</v>
      </c>
      <c r="F416" s="16">
        <f t="shared" si="1245"/>
        <v>72200000</v>
      </c>
      <c r="G416" s="16">
        <f t="shared" si="1245"/>
        <v>78500000</v>
      </c>
      <c r="H416" s="17">
        <f t="shared" ref="H416:J416" si="1246">roundup((XLOOKUP($D416,$T$3:$T$10,$U$3:$U$10)*XLOOKUP(H$2,$AA$3:$AA$5,$AC$3:$AC$5)-ABS(XLOOKUP($C416,$Q$3:$Q$16,$R$3:$R$16)))*$B416,-5)</f>
        <v>34800000</v>
      </c>
      <c r="I416" s="17">
        <f t="shared" si="1246"/>
        <v>88900000</v>
      </c>
      <c r="J416" s="17">
        <f t="shared" si="1246"/>
        <v>96200000</v>
      </c>
      <c r="K416" s="17">
        <f t="shared" ref="K416:M416" si="1247">roundup((XLOOKUP($D416,$T$3:$T$10,$U$3:$U$10)*XLOOKUP(K$2,$AA$3:$AA$5,$AD$3:$AD$5)-ABS(XLOOKUP($C416,$Q$3:$Q$16,$R$3:$R$16)))*$B416,-5)</f>
        <v>40800000</v>
      </c>
      <c r="L416" s="17">
        <f t="shared" si="1247"/>
        <v>100100000</v>
      </c>
      <c r="M416" s="17">
        <f t="shared" si="1247"/>
        <v>108200000</v>
      </c>
    </row>
    <row r="417">
      <c r="A417" s="14" t="s">
        <v>457</v>
      </c>
      <c r="B417" s="14">
        <v>1403.0</v>
      </c>
      <c r="C417" s="15">
        <f t="shared" si="4"/>
        <v>14</v>
      </c>
      <c r="D417" s="14" t="s">
        <v>36</v>
      </c>
      <c r="E417" s="16">
        <f t="shared" ref="E417:G417" si="1248">ROUNDUP((XLOOKUP($D417,$T$3:$T$10,$U$3:$U$10)*XLOOKUP(E$2,$AA$3:$AA$5,$AB$3:$AB$5)-ABS(XLOOKUP($C417,$Q$3:$Q$16,$R$3:$R$16)))*$B417,-5)</f>
        <v>327200000</v>
      </c>
      <c r="F417" s="16">
        <f t="shared" si="1248"/>
        <v>591500000</v>
      </c>
      <c r="G417" s="16">
        <f t="shared" si="1248"/>
        <v>646100000</v>
      </c>
      <c r="H417" s="17">
        <f t="shared" ref="H417:J417" si="1249">roundup((XLOOKUP($D417,$T$3:$T$10,$U$3:$U$10)*XLOOKUP(H$2,$AA$3:$AA$5,$AC$3:$AC$5)-ABS(XLOOKUP($C417,$Q$3:$Q$16,$R$3:$R$16)))*$B417,-5)</f>
        <v>267100000</v>
      </c>
      <c r="I417" s="17">
        <f t="shared" si="1249"/>
        <v>735400000</v>
      </c>
      <c r="J417" s="17">
        <f t="shared" si="1249"/>
        <v>799200000</v>
      </c>
      <c r="K417" s="17">
        <f t="shared" ref="K417:M417" si="1250">roundup((XLOOKUP($D417,$T$3:$T$10,$U$3:$U$10)*XLOOKUP(K$2,$AA$3:$AA$5,$AD$3:$AD$5)-ABS(XLOOKUP($C417,$Q$3:$Q$16,$R$3:$R$16)))*$B417,-5)</f>
        <v>319000000</v>
      </c>
      <c r="L417" s="17">
        <f t="shared" si="1250"/>
        <v>832900000</v>
      </c>
      <c r="M417" s="17">
        <f t="shared" si="1250"/>
        <v>903100000</v>
      </c>
    </row>
    <row r="418">
      <c r="A418" s="14" t="s">
        <v>458</v>
      </c>
      <c r="B418" s="14">
        <v>157.0</v>
      </c>
      <c r="C418" s="15">
        <f t="shared" si="4"/>
        <v>11</v>
      </c>
      <c r="D418" s="14" t="s">
        <v>33</v>
      </c>
      <c r="E418" s="16">
        <f t="shared" ref="E418:G418" si="1251">ROUNDUP((XLOOKUP($D418,$T$3:$T$10,$U$3:$U$10)*XLOOKUP(E$2,$AA$3:$AA$5,$AB$3:$AB$5)-ABS(XLOOKUP($C418,$Q$3:$Q$16,$R$3:$R$16)))*$B418,-5)</f>
        <v>34100000</v>
      </c>
      <c r="F418" s="16">
        <f t="shared" si="1251"/>
        <v>60500000</v>
      </c>
      <c r="G418" s="16">
        <f t="shared" si="1251"/>
        <v>65900000</v>
      </c>
      <c r="H418" s="17">
        <f t="shared" ref="H418:J418" si="1252">roundup((XLOOKUP($D418,$T$3:$T$10,$U$3:$U$10)*XLOOKUP(H$2,$AA$3:$AA$5,$AC$3:$AC$5)-ABS(XLOOKUP($C418,$Q$3:$Q$16,$R$3:$R$16)))*$B418,-5)</f>
        <v>28100000</v>
      </c>
      <c r="I418" s="17">
        <f t="shared" si="1252"/>
        <v>74800000</v>
      </c>
      <c r="J418" s="17">
        <f t="shared" si="1252"/>
        <v>81200000</v>
      </c>
      <c r="K418" s="17">
        <f t="shared" ref="K418:M418" si="1253">roundup((XLOOKUP($D418,$T$3:$T$10,$U$3:$U$10)*XLOOKUP(K$2,$AA$3:$AA$5,$AD$3:$AD$5)-ABS(XLOOKUP($C418,$Q$3:$Q$16,$R$3:$R$16)))*$B418,-5)</f>
        <v>33200000</v>
      </c>
      <c r="L418" s="17">
        <f t="shared" si="1253"/>
        <v>84600000</v>
      </c>
      <c r="M418" s="17">
        <f t="shared" si="1253"/>
        <v>91600000</v>
      </c>
    </row>
    <row r="419">
      <c r="A419" s="14" t="s">
        <v>459</v>
      </c>
      <c r="B419" s="14">
        <v>157.0</v>
      </c>
      <c r="C419" s="15">
        <f t="shared" si="4"/>
        <v>11</v>
      </c>
      <c r="D419" s="14" t="s">
        <v>33</v>
      </c>
      <c r="E419" s="16">
        <f t="shared" ref="E419:G419" si="1254">ROUNDUP((XLOOKUP($D419,$T$3:$T$10,$U$3:$U$10)*XLOOKUP(E$2,$AA$3:$AA$5,$AB$3:$AB$5)-ABS(XLOOKUP($C419,$Q$3:$Q$16,$R$3:$R$16)))*$B419,-5)</f>
        <v>34100000</v>
      </c>
      <c r="F419" s="16">
        <f t="shared" si="1254"/>
        <v>60500000</v>
      </c>
      <c r="G419" s="16">
        <f t="shared" si="1254"/>
        <v>65900000</v>
      </c>
      <c r="H419" s="17">
        <f t="shared" ref="H419:J419" si="1255">roundup((XLOOKUP($D419,$T$3:$T$10,$U$3:$U$10)*XLOOKUP(H$2,$AA$3:$AA$5,$AC$3:$AC$5)-ABS(XLOOKUP($C419,$Q$3:$Q$16,$R$3:$R$16)))*$B419,-5)</f>
        <v>28100000</v>
      </c>
      <c r="I419" s="17">
        <f t="shared" si="1255"/>
        <v>74800000</v>
      </c>
      <c r="J419" s="17">
        <f t="shared" si="1255"/>
        <v>81200000</v>
      </c>
      <c r="K419" s="17">
        <f t="shared" ref="K419:M419" si="1256">roundup((XLOOKUP($D419,$T$3:$T$10,$U$3:$U$10)*XLOOKUP(K$2,$AA$3:$AA$5,$AD$3:$AD$5)-ABS(XLOOKUP($C419,$Q$3:$Q$16,$R$3:$R$16)))*$B419,-5)</f>
        <v>33200000</v>
      </c>
      <c r="L419" s="17">
        <f t="shared" si="1256"/>
        <v>84600000</v>
      </c>
      <c r="M419" s="17">
        <f t="shared" si="1256"/>
        <v>91600000</v>
      </c>
    </row>
    <row r="420">
      <c r="A420" s="14" t="s">
        <v>460</v>
      </c>
      <c r="B420" s="14">
        <v>157.0</v>
      </c>
      <c r="C420" s="15">
        <f t="shared" si="4"/>
        <v>11</v>
      </c>
      <c r="D420" s="14" t="s">
        <v>33</v>
      </c>
      <c r="E420" s="16">
        <f t="shared" ref="E420:G420" si="1257">ROUNDUP((XLOOKUP($D420,$T$3:$T$10,$U$3:$U$10)*XLOOKUP(E$2,$AA$3:$AA$5,$AB$3:$AB$5)-ABS(XLOOKUP($C420,$Q$3:$Q$16,$R$3:$R$16)))*$B420,-5)</f>
        <v>34100000</v>
      </c>
      <c r="F420" s="16">
        <f t="shared" si="1257"/>
        <v>60500000</v>
      </c>
      <c r="G420" s="16">
        <f t="shared" si="1257"/>
        <v>65900000</v>
      </c>
      <c r="H420" s="17">
        <f t="shared" ref="H420:J420" si="1258">roundup((XLOOKUP($D420,$T$3:$T$10,$U$3:$U$10)*XLOOKUP(H$2,$AA$3:$AA$5,$AC$3:$AC$5)-ABS(XLOOKUP($C420,$Q$3:$Q$16,$R$3:$R$16)))*$B420,-5)</f>
        <v>28100000</v>
      </c>
      <c r="I420" s="17">
        <f t="shared" si="1258"/>
        <v>74800000</v>
      </c>
      <c r="J420" s="17">
        <f t="shared" si="1258"/>
        <v>81200000</v>
      </c>
      <c r="K420" s="17">
        <f t="shared" ref="K420:M420" si="1259">roundup((XLOOKUP($D420,$T$3:$T$10,$U$3:$U$10)*XLOOKUP(K$2,$AA$3:$AA$5,$AD$3:$AD$5)-ABS(XLOOKUP($C420,$Q$3:$Q$16,$R$3:$R$16)))*$B420,-5)</f>
        <v>33200000</v>
      </c>
      <c r="L420" s="17">
        <f t="shared" si="1259"/>
        <v>84600000</v>
      </c>
      <c r="M420" s="17">
        <f t="shared" si="1259"/>
        <v>91600000</v>
      </c>
    </row>
    <row r="421">
      <c r="A421" s="14" t="s">
        <v>461</v>
      </c>
      <c r="B421" s="14">
        <v>157.0</v>
      </c>
      <c r="C421" s="15">
        <f t="shared" si="4"/>
        <v>11</v>
      </c>
      <c r="D421" s="14" t="s">
        <v>33</v>
      </c>
      <c r="E421" s="16">
        <f t="shared" ref="E421:G421" si="1260">ROUNDUP((XLOOKUP($D421,$T$3:$T$10,$U$3:$U$10)*XLOOKUP(E$2,$AA$3:$AA$5,$AB$3:$AB$5)-ABS(XLOOKUP($C421,$Q$3:$Q$16,$R$3:$R$16)))*$B421,-5)</f>
        <v>34100000</v>
      </c>
      <c r="F421" s="16">
        <f t="shared" si="1260"/>
        <v>60500000</v>
      </c>
      <c r="G421" s="16">
        <f t="shared" si="1260"/>
        <v>65900000</v>
      </c>
      <c r="H421" s="17">
        <f t="shared" ref="H421:J421" si="1261">roundup((XLOOKUP($D421,$T$3:$T$10,$U$3:$U$10)*XLOOKUP(H$2,$AA$3:$AA$5,$AC$3:$AC$5)-ABS(XLOOKUP($C421,$Q$3:$Q$16,$R$3:$R$16)))*$B421,-5)</f>
        <v>28100000</v>
      </c>
      <c r="I421" s="17">
        <f t="shared" si="1261"/>
        <v>74800000</v>
      </c>
      <c r="J421" s="17">
        <f t="shared" si="1261"/>
        <v>81200000</v>
      </c>
      <c r="K421" s="17">
        <f t="shared" ref="K421:M421" si="1262">roundup((XLOOKUP($D421,$T$3:$T$10,$U$3:$U$10)*XLOOKUP(K$2,$AA$3:$AA$5,$AD$3:$AD$5)-ABS(XLOOKUP($C421,$Q$3:$Q$16,$R$3:$R$16)))*$B421,-5)</f>
        <v>33200000</v>
      </c>
      <c r="L421" s="17">
        <f t="shared" si="1262"/>
        <v>84600000</v>
      </c>
      <c r="M421" s="17">
        <f t="shared" si="1262"/>
        <v>91600000</v>
      </c>
    </row>
    <row r="422">
      <c r="A422" s="14" t="s">
        <v>462</v>
      </c>
      <c r="B422" s="14">
        <v>156.0</v>
      </c>
      <c r="C422" s="15">
        <f t="shared" si="4"/>
        <v>11</v>
      </c>
      <c r="D422" s="14" t="s">
        <v>36</v>
      </c>
      <c r="E422" s="16">
        <f t="shared" ref="E422:G422" si="1263">ROUNDUP((XLOOKUP($D422,$T$3:$T$10,$U$3:$U$10)*XLOOKUP(E$2,$AA$3:$AA$5,$AB$3:$AB$5)-ABS(XLOOKUP($C422,$Q$3:$Q$16,$R$3:$R$16)))*$B422,-5)</f>
        <v>40900000</v>
      </c>
      <c r="F422" s="16">
        <f t="shared" si="1263"/>
        <v>70300000</v>
      </c>
      <c r="G422" s="16">
        <f t="shared" si="1263"/>
        <v>76400000</v>
      </c>
      <c r="H422" s="17">
        <f t="shared" ref="H422:J422" si="1264">roundup((XLOOKUP($D422,$T$3:$T$10,$U$3:$U$10)*XLOOKUP(H$2,$AA$3:$AA$5,$AC$3:$AC$5)-ABS(XLOOKUP($C422,$Q$3:$Q$16,$R$3:$R$16)))*$B422,-5)</f>
        <v>34300000</v>
      </c>
      <c r="I422" s="17">
        <f t="shared" si="1264"/>
        <v>86300000</v>
      </c>
      <c r="J422" s="17">
        <f t="shared" si="1264"/>
        <v>93400000</v>
      </c>
      <c r="K422" s="17">
        <f t="shared" ref="K422:M422" si="1265">roundup((XLOOKUP($D422,$T$3:$T$10,$U$3:$U$10)*XLOOKUP(K$2,$AA$3:$AA$5,$AD$3:$AD$5)-ABS(XLOOKUP($C422,$Q$3:$Q$16,$R$3:$R$16)))*$B422,-5)</f>
        <v>40000000</v>
      </c>
      <c r="L422" s="17">
        <f t="shared" si="1265"/>
        <v>97200000</v>
      </c>
      <c r="M422" s="17">
        <f t="shared" si="1265"/>
        <v>105000000</v>
      </c>
    </row>
    <row r="423">
      <c r="A423" s="14" t="s">
        <v>463</v>
      </c>
      <c r="B423" s="14">
        <v>155.0</v>
      </c>
      <c r="C423" s="15">
        <f t="shared" si="4"/>
        <v>11</v>
      </c>
      <c r="D423" s="14" t="s">
        <v>36</v>
      </c>
      <c r="E423" s="16">
        <f t="shared" ref="E423:G423" si="1266">ROUNDUP((XLOOKUP($D423,$T$3:$T$10,$U$3:$U$10)*XLOOKUP(E$2,$AA$3:$AA$5,$AB$3:$AB$5)-ABS(XLOOKUP($C423,$Q$3:$Q$16,$R$3:$R$16)))*$B423,-5)</f>
        <v>40700000</v>
      </c>
      <c r="F423" s="16">
        <f t="shared" si="1266"/>
        <v>69900000</v>
      </c>
      <c r="G423" s="16">
        <f t="shared" si="1266"/>
        <v>75900000</v>
      </c>
      <c r="H423" s="17">
        <f t="shared" ref="H423:J423" si="1267">roundup((XLOOKUP($D423,$T$3:$T$10,$U$3:$U$10)*XLOOKUP(H$2,$AA$3:$AA$5,$AC$3:$AC$5)-ABS(XLOOKUP($C423,$Q$3:$Q$16,$R$3:$R$16)))*$B423,-5)</f>
        <v>34000000</v>
      </c>
      <c r="I423" s="17">
        <f t="shared" si="1267"/>
        <v>85800000</v>
      </c>
      <c r="J423" s="17">
        <f t="shared" si="1267"/>
        <v>92800000</v>
      </c>
      <c r="K423" s="17">
        <f t="shared" ref="K423:M423" si="1268">roundup((XLOOKUP($D423,$T$3:$T$10,$U$3:$U$10)*XLOOKUP(K$2,$AA$3:$AA$5,$AD$3:$AD$5)-ABS(XLOOKUP($C423,$Q$3:$Q$16,$R$3:$R$16)))*$B423,-5)</f>
        <v>39800000</v>
      </c>
      <c r="L423" s="17">
        <f t="shared" si="1268"/>
        <v>96600000</v>
      </c>
      <c r="M423" s="17">
        <f t="shared" si="1268"/>
        <v>104300000</v>
      </c>
    </row>
    <row r="424">
      <c r="A424" s="14" t="s">
        <v>464</v>
      </c>
      <c r="B424" s="14">
        <v>155.0</v>
      </c>
      <c r="C424" s="15">
        <f t="shared" si="4"/>
        <v>11</v>
      </c>
      <c r="D424" s="14" t="s">
        <v>33</v>
      </c>
      <c r="E424" s="16">
        <f t="shared" ref="E424:G424" si="1269">ROUNDUP((XLOOKUP($D424,$T$3:$T$10,$U$3:$U$10)*XLOOKUP(E$2,$AA$3:$AA$5,$AB$3:$AB$5)-ABS(XLOOKUP($C424,$Q$3:$Q$16,$R$3:$R$16)))*$B424,-5)</f>
        <v>33600000</v>
      </c>
      <c r="F424" s="16">
        <f t="shared" si="1269"/>
        <v>59700000</v>
      </c>
      <c r="G424" s="16">
        <f t="shared" si="1269"/>
        <v>65100000</v>
      </c>
      <c r="H424" s="17">
        <f t="shared" ref="H424:J424" si="1270">roundup((XLOOKUP($D424,$T$3:$T$10,$U$3:$U$10)*XLOOKUP(H$2,$AA$3:$AA$5,$AC$3:$AC$5)-ABS(XLOOKUP($C424,$Q$3:$Q$16,$R$3:$R$16)))*$B424,-5)</f>
        <v>27700000</v>
      </c>
      <c r="I424" s="17">
        <f t="shared" si="1270"/>
        <v>73900000</v>
      </c>
      <c r="J424" s="17">
        <f t="shared" si="1270"/>
        <v>80200000</v>
      </c>
      <c r="K424" s="17">
        <f t="shared" ref="K424:M424" si="1271">roundup((XLOOKUP($D424,$T$3:$T$10,$U$3:$U$10)*XLOOKUP(K$2,$AA$3:$AA$5,$AD$3:$AD$5)-ABS(XLOOKUP($C424,$Q$3:$Q$16,$R$3:$R$16)))*$B424,-5)</f>
        <v>32800000</v>
      </c>
      <c r="L424" s="17">
        <f t="shared" si="1271"/>
        <v>83500000</v>
      </c>
      <c r="M424" s="17">
        <f t="shared" si="1271"/>
        <v>90400000</v>
      </c>
    </row>
    <row r="425">
      <c r="A425" s="14" t="s">
        <v>465</v>
      </c>
      <c r="B425" s="14">
        <v>155.0</v>
      </c>
      <c r="C425" s="15">
        <f t="shared" si="4"/>
        <v>11</v>
      </c>
      <c r="D425" s="14" t="s">
        <v>36</v>
      </c>
      <c r="E425" s="16">
        <f t="shared" ref="E425:G425" si="1272">ROUNDUP((XLOOKUP($D425,$T$3:$T$10,$U$3:$U$10)*XLOOKUP(E$2,$AA$3:$AA$5,$AB$3:$AB$5)-ABS(XLOOKUP($C425,$Q$3:$Q$16,$R$3:$R$16)))*$B425,-5)</f>
        <v>40700000</v>
      </c>
      <c r="F425" s="16">
        <f t="shared" si="1272"/>
        <v>69900000</v>
      </c>
      <c r="G425" s="16">
        <f t="shared" si="1272"/>
        <v>75900000</v>
      </c>
      <c r="H425" s="17">
        <f t="shared" ref="H425:J425" si="1273">roundup((XLOOKUP($D425,$T$3:$T$10,$U$3:$U$10)*XLOOKUP(H$2,$AA$3:$AA$5,$AC$3:$AC$5)-ABS(XLOOKUP($C425,$Q$3:$Q$16,$R$3:$R$16)))*$B425,-5)</f>
        <v>34000000</v>
      </c>
      <c r="I425" s="17">
        <f t="shared" si="1273"/>
        <v>85800000</v>
      </c>
      <c r="J425" s="17">
        <f t="shared" si="1273"/>
        <v>92800000</v>
      </c>
      <c r="K425" s="17">
        <f t="shared" ref="K425:M425" si="1274">roundup((XLOOKUP($D425,$T$3:$T$10,$U$3:$U$10)*XLOOKUP(K$2,$AA$3:$AA$5,$AD$3:$AD$5)-ABS(XLOOKUP($C425,$Q$3:$Q$16,$R$3:$R$16)))*$B425,-5)</f>
        <v>39800000</v>
      </c>
      <c r="L425" s="17">
        <f t="shared" si="1274"/>
        <v>96600000</v>
      </c>
      <c r="M425" s="17">
        <f t="shared" si="1274"/>
        <v>104300000</v>
      </c>
    </row>
    <row r="426">
      <c r="A426" s="14" t="s">
        <v>466</v>
      </c>
      <c r="B426" s="14">
        <v>155.0</v>
      </c>
      <c r="C426" s="15">
        <f t="shared" si="4"/>
        <v>11</v>
      </c>
      <c r="D426" s="14" t="s">
        <v>33</v>
      </c>
      <c r="E426" s="16">
        <f t="shared" ref="E426:G426" si="1275">ROUNDUP((XLOOKUP($D426,$T$3:$T$10,$U$3:$U$10)*XLOOKUP(E$2,$AA$3:$AA$5,$AB$3:$AB$5)-ABS(XLOOKUP($C426,$Q$3:$Q$16,$R$3:$R$16)))*$B426,-5)</f>
        <v>33600000</v>
      </c>
      <c r="F426" s="16">
        <f t="shared" si="1275"/>
        <v>59700000</v>
      </c>
      <c r="G426" s="16">
        <f t="shared" si="1275"/>
        <v>65100000</v>
      </c>
      <c r="H426" s="17">
        <f t="shared" ref="H426:J426" si="1276">roundup((XLOOKUP($D426,$T$3:$T$10,$U$3:$U$10)*XLOOKUP(H$2,$AA$3:$AA$5,$AC$3:$AC$5)-ABS(XLOOKUP($C426,$Q$3:$Q$16,$R$3:$R$16)))*$B426,-5)</f>
        <v>27700000</v>
      </c>
      <c r="I426" s="17">
        <f t="shared" si="1276"/>
        <v>73900000</v>
      </c>
      <c r="J426" s="17">
        <f t="shared" si="1276"/>
        <v>80200000</v>
      </c>
      <c r="K426" s="17">
        <f t="shared" ref="K426:M426" si="1277">roundup((XLOOKUP($D426,$T$3:$T$10,$U$3:$U$10)*XLOOKUP(K$2,$AA$3:$AA$5,$AD$3:$AD$5)-ABS(XLOOKUP($C426,$Q$3:$Q$16,$R$3:$R$16)))*$B426,-5)</f>
        <v>32800000</v>
      </c>
      <c r="L426" s="17">
        <f t="shared" si="1277"/>
        <v>83500000</v>
      </c>
      <c r="M426" s="17">
        <f t="shared" si="1277"/>
        <v>90400000</v>
      </c>
    </row>
    <row r="427">
      <c r="A427" s="14" t="s">
        <v>467</v>
      </c>
      <c r="B427" s="14">
        <v>153.0</v>
      </c>
      <c r="C427" s="15">
        <f t="shared" si="4"/>
        <v>11</v>
      </c>
      <c r="D427" s="14" t="s">
        <v>33</v>
      </c>
      <c r="E427" s="16">
        <f t="shared" ref="E427:G427" si="1278">ROUNDUP((XLOOKUP($D427,$T$3:$T$10,$U$3:$U$10)*XLOOKUP(E$2,$AA$3:$AA$5,$AB$3:$AB$5)-ABS(XLOOKUP($C427,$Q$3:$Q$16,$R$3:$R$16)))*$B427,-5)</f>
        <v>33200000</v>
      </c>
      <c r="F427" s="16">
        <f t="shared" si="1278"/>
        <v>58900000</v>
      </c>
      <c r="G427" s="16">
        <f t="shared" si="1278"/>
        <v>64200000</v>
      </c>
      <c r="H427" s="17">
        <f t="shared" ref="H427:J427" si="1279">roundup((XLOOKUP($D427,$T$3:$T$10,$U$3:$U$10)*XLOOKUP(H$2,$AA$3:$AA$5,$AC$3:$AC$5)-ABS(XLOOKUP($C427,$Q$3:$Q$16,$R$3:$R$16)))*$B427,-5)</f>
        <v>27300000</v>
      </c>
      <c r="I427" s="17">
        <f t="shared" si="1279"/>
        <v>72900000</v>
      </c>
      <c r="J427" s="17">
        <f t="shared" si="1279"/>
        <v>79100000</v>
      </c>
      <c r="K427" s="17">
        <f t="shared" ref="K427:M427" si="1280">roundup((XLOOKUP($D427,$T$3:$T$10,$U$3:$U$10)*XLOOKUP(K$2,$AA$3:$AA$5,$AD$3:$AD$5)-ABS(XLOOKUP($C427,$Q$3:$Q$16,$R$3:$R$16)))*$B427,-5)</f>
        <v>32400000</v>
      </c>
      <c r="L427" s="17">
        <f t="shared" si="1280"/>
        <v>82400000</v>
      </c>
      <c r="M427" s="17">
        <f t="shared" si="1280"/>
        <v>89200000</v>
      </c>
    </row>
    <row r="428">
      <c r="A428" s="14" t="s">
        <v>468</v>
      </c>
      <c r="B428" s="14">
        <v>151.0</v>
      </c>
      <c r="C428" s="15">
        <f t="shared" si="4"/>
        <v>11</v>
      </c>
      <c r="D428" s="14" t="s">
        <v>36</v>
      </c>
      <c r="E428" s="16">
        <f t="shared" ref="E428:G428" si="1281">ROUNDUP((XLOOKUP($D428,$T$3:$T$10,$U$3:$U$10)*XLOOKUP(E$2,$AA$3:$AA$5,$AB$3:$AB$5)-ABS(XLOOKUP($C428,$Q$3:$Q$16,$R$3:$R$16)))*$B428,-5)</f>
        <v>39600000</v>
      </c>
      <c r="F428" s="16">
        <f t="shared" si="1281"/>
        <v>68100000</v>
      </c>
      <c r="G428" s="16">
        <f t="shared" si="1281"/>
        <v>74000000</v>
      </c>
      <c r="H428" s="17">
        <f t="shared" ref="H428:J428" si="1282">roundup((XLOOKUP($D428,$T$3:$T$10,$U$3:$U$10)*XLOOKUP(H$2,$AA$3:$AA$5,$AC$3:$AC$5)-ABS(XLOOKUP($C428,$Q$3:$Q$16,$R$3:$R$16)))*$B428,-5)</f>
        <v>33200000</v>
      </c>
      <c r="I428" s="17">
        <f t="shared" si="1282"/>
        <v>83600000</v>
      </c>
      <c r="J428" s="17">
        <f t="shared" si="1282"/>
        <v>90400000</v>
      </c>
      <c r="K428" s="17">
        <f t="shared" ref="K428:M428" si="1283">roundup((XLOOKUP($D428,$T$3:$T$10,$U$3:$U$10)*XLOOKUP(K$2,$AA$3:$AA$5,$AD$3:$AD$5)-ABS(XLOOKUP($C428,$Q$3:$Q$16,$R$3:$R$16)))*$B428,-5)</f>
        <v>38800000</v>
      </c>
      <c r="L428" s="17">
        <f t="shared" si="1283"/>
        <v>94100000</v>
      </c>
      <c r="M428" s="17">
        <f t="shared" si="1283"/>
        <v>101600000</v>
      </c>
    </row>
    <row r="429">
      <c r="A429" s="14" t="s">
        <v>469</v>
      </c>
      <c r="B429" s="14">
        <v>149.0</v>
      </c>
      <c r="C429" s="15">
        <f t="shared" si="4"/>
        <v>11</v>
      </c>
      <c r="D429" s="14" t="s">
        <v>36</v>
      </c>
      <c r="E429" s="16">
        <f t="shared" ref="E429:G429" si="1284">ROUNDUP((XLOOKUP($D429,$T$3:$T$10,$U$3:$U$10)*XLOOKUP(E$2,$AA$3:$AA$5,$AB$3:$AB$5)-ABS(XLOOKUP($C429,$Q$3:$Q$16,$R$3:$R$16)))*$B429,-5)</f>
        <v>39100000</v>
      </c>
      <c r="F429" s="16">
        <f t="shared" si="1284"/>
        <v>67200000</v>
      </c>
      <c r="G429" s="16">
        <f t="shared" si="1284"/>
        <v>73000000</v>
      </c>
      <c r="H429" s="17">
        <f t="shared" ref="H429:J429" si="1285">roundup((XLOOKUP($D429,$T$3:$T$10,$U$3:$U$10)*XLOOKUP(H$2,$AA$3:$AA$5,$AC$3:$AC$5)-ABS(XLOOKUP($C429,$Q$3:$Q$16,$R$3:$R$16)))*$B429,-5)</f>
        <v>32700000</v>
      </c>
      <c r="I429" s="17">
        <f t="shared" si="1285"/>
        <v>82500000</v>
      </c>
      <c r="J429" s="17">
        <f t="shared" si="1285"/>
        <v>89200000</v>
      </c>
      <c r="K429" s="17">
        <f t="shared" ref="K429:M429" si="1286">roundup((XLOOKUP($D429,$T$3:$T$10,$U$3:$U$10)*XLOOKUP(K$2,$AA$3:$AA$5,$AD$3:$AD$5)-ABS(XLOOKUP($C429,$Q$3:$Q$16,$R$3:$R$16)))*$B429,-5)</f>
        <v>38200000</v>
      </c>
      <c r="L429" s="17">
        <f t="shared" si="1286"/>
        <v>92800000</v>
      </c>
      <c r="M429" s="17">
        <f t="shared" si="1286"/>
        <v>100300000</v>
      </c>
    </row>
    <row r="430">
      <c r="A430" s="14" t="s">
        <v>470</v>
      </c>
      <c r="B430" s="14">
        <v>145.0</v>
      </c>
      <c r="C430" s="15">
        <f t="shared" si="4"/>
        <v>11</v>
      </c>
      <c r="D430" s="14" t="s">
        <v>36</v>
      </c>
      <c r="E430" s="16">
        <f t="shared" ref="E430:G430" si="1287">ROUNDUP((XLOOKUP($D430,$T$3:$T$10,$U$3:$U$10)*XLOOKUP(E$2,$AA$3:$AA$5,$AB$3:$AB$5)-ABS(XLOOKUP($C430,$Q$3:$Q$16,$R$3:$R$16)))*$B430,-5)</f>
        <v>38100000</v>
      </c>
      <c r="F430" s="16">
        <f t="shared" si="1287"/>
        <v>65400000</v>
      </c>
      <c r="G430" s="16">
        <f t="shared" si="1287"/>
        <v>71000000</v>
      </c>
      <c r="H430" s="17">
        <f t="shared" ref="H430:J430" si="1288">roundup((XLOOKUP($D430,$T$3:$T$10,$U$3:$U$10)*XLOOKUP(H$2,$AA$3:$AA$5,$AC$3:$AC$5)-ABS(XLOOKUP($C430,$Q$3:$Q$16,$R$3:$R$16)))*$B430,-5)</f>
        <v>31800000</v>
      </c>
      <c r="I430" s="17">
        <f t="shared" si="1288"/>
        <v>80300000</v>
      </c>
      <c r="J430" s="17">
        <f t="shared" si="1288"/>
        <v>86800000</v>
      </c>
      <c r="K430" s="17">
        <f t="shared" ref="K430:M430" si="1289">roundup((XLOOKUP($D430,$T$3:$T$10,$U$3:$U$10)*XLOOKUP(K$2,$AA$3:$AA$5,$AD$3:$AD$5)-ABS(XLOOKUP($C430,$Q$3:$Q$16,$R$3:$R$16)))*$B430,-5)</f>
        <v>37200000</v>
      </c>
      <c r="L430" s="17">
        <f t="shared" si="1289"/>
        <v>90300000</v>
      </c>
      <c r="M430" s="17">
        <f t="shared" si="1289"/>
        <v>97600000</v>
      </c>
    </row>
    <row r="431">
      <c r="A431" s="14" t="s">
        <v>471</v>
      </c>
      <c r="B431" s="14">
        <v>145.0</v>
      </c>
      <c r="C431" s="15">
        <f t="shared" si="4"/>
        <v>11</v>
      </c>
      <c r="D431" s="14" t="s">
        <v>33</v>
      </c>
      <c r="E431" s="16">
        <f t="shared" ref="E431:G431" si="1290">ROUNDUP((XLOOKUP($D431,$T$3:$T$10,$U$3:$U$10)*XLOOKUP(E$2,$AA$3:$AA$5,$AB$3:$AB$5)-ABS(XLOOKUP($C431,$Q$3:$Q$16,$R$3:$R$16)))*$B431,-5)</f>
        <v>31500000</v>
      </c>
      <c r="F431" s="16">
        <f t="shared" si="1290"/>
        <v>55800000</v>
      </c>
      <c r="G431" s="16">
        <f t="shared" si="1290"/>
        <v>60900000</v>
      </c>
      <c r="H431" s="17">
        <f t="shared" ref="H431:J431" si="1291">roundup((XLOOKUP($D431,$T$3:$T$10,$U$3:$U$10)*XLOOKUP(H$2,$AA$3:$AA$5,$AC$3:$AC$5)-ABS(XLOOKUP($C431,$Q$3:$Q$16,$R$3:$R$16)))*$B431,-5)</f>
        <v>25900000</v>
      </c>
      <c r="I431" s="17">
        <f t="shared" si="1291"/>
        <v>69100000</v>
      </c>
      <c r="J431" s="17">
        <f t="shared" si="1291"/>
        <v>75000000</v>
      </c>
      <c r="K431" s="17">
        <f t="shared" ref="K431:M431" si="1292">roundup((XLOOKUP($D431,$T$3:$T$10,$U$3:$U$10)*XLOOKUP(K$2,$AA$3:$AA$5,$AD$3:$AD$5)-ABS(XLOOKUP($C431,$Q$3:$Q$16,$R$3:$R$16)))*$B431,-5)</f>
        <v>30700000</v>
      </c>
      <c r="L431" s="17">
        <f t="shared" si="1292"/>
        <v>78100000</v>
      </c>
      <c r="M431" s="17">
        <f t="shared" si="1292"/>
        <v>84600000</v>
      </c>
    </row>
    <row r="432">
      <c r="A432" s="14" t="s">
        <v>472</v>
      </c>
      <c r="B432" s="14">
        <v>145.0</v>
      </c>
      <c r="C432" s="15">
        <f t="shared" si="4"/>
        <v>11</v>
      </c>
      <c r="D432" s="14" t="s">
        <v>36</v>
      </c>
      <c r="E432" s="16">
        <f t="shared" ref="E432:G432" si="1293">ROUNDUP((XLOOKUP($D432,$T$3:$T$10,$U$3:$U$10)*XLOOKUP(E$2,$AA$3:$AA$5,$AB$3:$AB$5)-ABS(XLOOKUP($C432,$Q$3:$Q$16,$R$3:$R$16)))*$B432,-5)</f>
        <v>38100000</v>
      </c>
      <c r="F432" s="16">
        <f t="shared" si="1293"/>
        <v>65400000</v>
      </c>
      <c r="G432" s="16">
        <f t="shared" si="1293"/>
        <v>71000000</v>
      </c>
      <c r="H432" s="17">
        <f t="shared" ref="H432:J432" si="1294">roundup((XLOOKUP($D432,$T$3:$T$10,$U$3:$U$10)*XLOOKUP(H$2,$AA$3:$AA$5,$AC$3:$AC$5)-ABS(XLOOKUP($C432,$Q$3:$Q$16,$R$3:$R$16)))*$B432,-5)</f>
        <v>31800000</v>
      </c>
      <c r="I432" s="17">
        <f t="shared" si="1294"/>
        <v>80300000</v>
      </c>
      <c r="J432" s="17">
        <f t="shared" si="1294"/>
        <v>86800000</v>
      </c>
      <c r="K432" s="17">
        <f t="shared" ref="K432:M432" si="1295">roundup((XLOOKUP($D432,$T$3:$T$10,$U$3:$U$10)*XLOOKUP(K$2,$AA$3:$AA$5,$AD$3:$AD$5)-ABS(XLOOKUP($C432,$Q$3:$Q$16,$R$3:$R$16)))*$B432,-5)</f>
        <v>37200000</v>
      </c>
      <c r="L432" s="17">
        <f t="shared" si="1295"/>
        <v>90300000</v>
      </c>
      <c r="M432" s="17">
        <f t="shared" si="1295"/>
        <v>97600000</v>
      </c>
    </row>
    <row r="433">
      <c r="A433" s="14" t="s">
        <v>473</v>
      </c>
      <c r="B433" s="14">
        <v>145.0</v>
      </c>
      <c r="C433" s="15">
        <f t="shared" si="4"/>
        <v>11</v>
      </c>
      <c r="D433" s="14" t="s">
        <v>36</v>
      </c>
      <c r="E433" s="16">
        <f t="shared" ref="E433:G433" si="1296">ROUNDUP((XLOOKUP($D433,$T$3:$T$10,$U$3:$U$10)*XLOOKUP(E$2,$AA$3:$AA$5,$AB$3:$AB$5)-ABS(XLOOKUP($C433,$Q$3:$Q$16,$R$3:$R$16)))*$B433,-5)</f>
        <v>38100000</v>
      </c>
      <c r="F433" s="16">
        <f t="shared" si="1296"/>
        <v>65400000</v>
      </c>
      <c r="G433" s="16">
        <f t="shared" si="1296"/>
        <v>71000000</v>
      </c>
      <c r="H433" s="17">
        <f t="shared" ref="H433:J433" si="1297">roundup((XLOOKUP($D433,$T$3:$T$10,$U$3:$U$10)*XLOOKUP(H$2,$AA$3:$AA$5,$AC$3:$AC$5)-ABS(XLOOKUP($C433,$Q$3:$Q$16,$R$3:$R$16)))*$B433,-5)</f>
        <v>31800000</v>
      </c>
      <c r="I433" s="17">
        <f t="shared" si="1297"/>
        <v>80300000</v>
      </c>
      <c r="J433" s="17">
        <f t="shared" si="1297"/>
        <v>86800000</v>
      </c>
      <c r="K433" s="17">
        <f t="shared" ref="K433:M433" si="1298">roundup((XLOOKUP($D433,$T$3:$T$10,$U$3:$U$10)*XLOOKUP(K$2,$AA$3:$AA$5,$AD$3:$AD$5)-ABS(XLOOKUP($C433,$Q$3:$Q$16,$R$3:$R$16)))*$B433,-5)</f>
        <v>37200000</v>
      </c>
      <c r="L433" s="17">
        <f t="shared" si="1298"/>
        <v>90300000</v>
      </c>
      <c r="M433" s="17">
        <f t="shared" si="1298"/>
        <v>97600000</v>
      </c>
    </row>
    <row r="434">
      <c r="A434" s="14" t="s">
        <v>474</v>
      </c>
      <c r="B434" s="14">
        <v>144.0</v>
      </c>
      <c r="C434" s="15">
        <f t="shared" si="4"/>
        <v>11</v>
      </c>
      <c r="D434" s="14" t="s">
        <v>33</v>
      </c>
      <c r="E434" s="16">
        <f t="shared" ref="E434:G434" si="1299">ROUNDUP((XLOOKUP($D434,$T$3:$T$10,$U$3:$U$10)*XLOOKUP(E$2,$AA$3:$AA$5,$AB$3:$AB$5)-ABS(XLOOKUP($C434,$Q$3:$Q$16,$R$3:$R$16)))*$B434,-5)</f>
        <v>31300000</v>
      </c>
      <c r="F434" s="16">
        <f t="shared" si="1299"/>
        <v>55500000</v>
      </c>
      <c r="G434" s="16">
        <f t="shared" si="1299"/>
        <v>60500000</v>
      </c>
      <c r="H434" s="17">
        <f t="shared" ref="H434:J434" si="1300">roundup((XLOOKUP($D434,$T$3:$T$10,$U$3:$U$10)*XLOOKUP(H$2,$AA$3:$AA$5,$AC$3:$AC$5)-ABS(XLOOKUP($C434,$Q$3:$Q$16,$R$3:$R$16)))*$B434,-5)</f>
        <v>25700000</v>
      </c>
      <c r="I434" s="17">
        <f t="shared" si="1300"/>
        <v>68600000</v>
      </c>
      <c r="J434" s="17">
        <f t="shared" si="1300"/>
        <v>74500000</v>
      </c>
      <c r="K434" s="17">
        <f t="shared" ref="K434:M434" si="1301">roundup((XLOOKUP($D434,$T$3:$T$10,$U$3:$U$10)*XLOOKUP(K$2,$AA$3:$AA$5,$AD$3:$AD$5)-ABS(XLOOKUP($C434,$Q$3:$Q$16,$R$3:$R$16)))*$B434,-5)</f>
        <v>30500000</v>
      </c>
      <c r="L434" s="17">
        <f t="shared" si="1301"/>
        <v>77600000</v>
      </c>
      <c r="M434" s="17">
        <f t="shared" si="1301"/>
        <v>84000000</v>
      </c>
    </row>
    <row r="435">
      <c r="A435" s="14" t="s">
        <v>475</v>
      </c>
      <c r="B435" s="14">
        <v>144.0</v>
      </c>
      <c r="C435" s="15">
        <f t="shared" si="4"/>
        <v>11</v>
      </c>
      <c r="D435" s="14" t="s">
        <v>36</v>
      </c>
      <c r="E435" s="16">
        <f t="shared" ref="E435:G435" si="1302">ROUNDUP((XLOOKUP($D435,$T$3:$T$10,$U$3:$U$10)*XLOOKUP(E$2,$AA$3:$AA$5,$AB$3:$AB$5)-ABS(XLOOKUP($C435,$Q$3:$Q$16,$R$3:$R$16)))*$B435,-5)</f>
        <v>37800000</v>
      </c>
      <c r="F435" s="16">
        <f t="shared" si="1302"/>
        <v>64900000</v>
      </c>
      <c r="G435" s="16">
        <f t="shared" si="1302"/>
        <v>70500000</v>
      </c>
      <c r="H435" s="17">
        <f t="shared" ref="H435:J435" si="1303">roundup((XLOOKUP($D435,$T$3:$T$10,$U$3:$U$10)*XLOOKUP(H$2,$AA$3:$AA$5,$AC$3:$AC$5)-ABS(XLOOKUP($C435,$Q$3:$Q$16,$R$3:$R$16)))*$B435,-5)</f>
        <v>31600000</v>
      </c>
      <c r="I435" s="17">
        <f t="shared" si="1303"/>
        <v>79700000</v>
      </c>
      <c r="J435" s="17">
        <f t="shared" si="1303"/>
        <v>86300000</v>
      </c>
      <c r="K435" s="17">
        <f t="shared" ref="K435:M435" si="1304">roundup((XLOOKUP($D435,$T$3:$T$10,$U$3:$U$10)*XLOOKUP(K$2,$AA$3:$AA$5,$AD$3:$AD$5)-ABS(XLOOKUP($C435,$Q$3:$Q$16,$R$3:$R$16)))*$B435,-5)</f>
        <v>37000000</v>
      </c>
      <c r="L435" s="17">
        <f t="shared" si="1304"/>
        <v>89700000</v>
      </c>
      <c r="M435" s="17">
        <f t="shared" si="1304"/>
        <v>96900000</v>
      </c>
    </row>
    <row r="436">
      <c r="A436" s="14" t="s">
        <v>476</v>
      </c>
      <c r="B436" s="14">
        <v>143.0</v>
      </c>
      <c r="C436" s="15">
        <f t="shared" si="4"/>
        <v>11</v>
      </c>
      <c r="D436" s="14" t="s">
        <v>33</v>
      </c>
      <c r="E436" s="16">
        <f t="shared" ref="E436:G436" si="1305">ROUNDUP((XLOOKUP($D436,$T$3:$T$10,$U$3:$U$10)*XLOOKUP(E$2,$AA$3:$AA$5,$AB$3:$AB$5)-ABS(XLOOKUP($C436,$Q$3:$Q$16,$R$3:$R$16)))*$B436,-5)</f>
        <v>31000000</v>
      </c>
      <c r="F436" s="16">
        <f t="shared" si="1305"/>
        <v>55100000</v>
      </c>
      <c r="G436" s="16">
        <f t="shared" si="1305"/>
        <v>60000000</v>
      </c>
      <c r="H436" s="17">
        <f t="shared" ref="H436:J436" si="1306">roundup((XLOOKUP($D436,$T$3:$T$10,$U$3:$U$10)*XLOOKUP(H$2,$AA$3:$AA$5,$AC$3:$AC$5)-ABS(XLOOKUP($C436,$Q$3:$Q$16,$R$3:$R$16)))*$B436,-5)</f>
        <v>25600000</v>
      </c>
      <c r="I436" s="17">
        <f t="shared" si="1306"/>
        <v>68200000</v>
      </c>
      <c r="J436" s="17">
        <f t="shared" si="1306"/>
        <v>74000000</v>
      </c>
      <c r="K436" s="17">
        <f t="shared" ref="K436:M436" si="1307">roundup((XLOOKUP($D436,$T$3:$T$10,$U$3:$U$10)*XLOOKUP(K$2,$AA$3:$AA$5,$AD$3:$AD$5)-ABS(XLOOKUP($C436,$Q$3:$Q$16,$R$3:$R$16)))*$B436,-5)</f>
        <v>30300000</v>
      </c>
      <c r="L436" s="17">
        <f t="shared" si="1307"/>
        <v>77000000</v>
      </c>
      <c r="M436" s="17">
        <f t="shared" si="1307"/>
        <v>83400000</v>
      </c>
    </row>
    <row r="437">
      <c r="A437" s="14" t="s">
        <v>477</v>
      </c>
      <c r="B437" s="14">
        <v>144.0</v>
      </c>
      <c r="C437" s="15">
        <f t="shared" si="4"/>
        <v>11</v>
      </c>
      <c r="D437" s="14" t="s">
        <v>36</v>
      </c>
      <c r="E437" s="16">
        <f t="shared" ref="E437:G437" si="1308">ROUNDUP((XLOOKUP($D437,$T$3:$T$10,$U$3:$U$10)*XLOOKUP(E$2,$AA$3:$AA$5,$AB$3:$AB$5)-ABS(XLOOKUP($C437,$Q$3:$Q$16,$R$3:$R$16)))*$B437,-5)</f>
        <v>37800000</v>
      </c>
      <c r="F437" s="16">
        <f t="shared" si="1308"/>
        <v>64900000</v>
      </c>
      <c r="G437" s="16">
        <f t="shared" si="1308"/>
        <v>70500000</v>
      </c>
      <c r="H437" s="17">
        <f t="shared" ref="H437:J437" si="1309">roundup((XLOOKUP($D437,$T$3:$T$10,$U$3:$U$10)*XLOOKUP(H$2,$AA$3:$AA$5,$AC$3:$AC$5)-ABS(XLOOKUP($C437,$Q$3:$Q$16,$R$3:$R$16)))*$B437,-5)</f>
        <v>31600000</v>
      </c>
      <c r="I437" s="17">
        <f t="shared" si="1309"/>
        <v>79700000</v>
      </c>
      <c r="J437" s="17">
        <f t="shared" si="1309"/>
        <v>86300000</v>
      </c>
      <c r="K437" s="17">
        <f t="shared" ref="K437:M437" si="1310">roundup((XLOOKUP($D437,$T$3:$T$10,$U$3:$U$10)*XLOOKUP(K$2,$AA$3:$AA$5,$AD$3:$AD$5)-ABS(XLOOKUP($C437,$Q$3:$Q$16,$R$3:$R$16)))*$B437,-5)</f>
        <v>37000000</v>
      </c>
      <c r="L437" s="17">
        <f t="shared" si="1310"/>
        <v>89700000</v>
      </c>
      <c r="M437" s="17">
        <f t="shared" si="1310"/>
        <v>96900000</v>
      </c>
    </row>
    <row r="438">
      <c r="A438" s="14" t="s">
        <v>478</v>
      </c>
      <c r="B438" s="14">
        <v>144.0</v>
      </c>
      <c r="C438" s="15">
        <f t="shared" si="4"/>
        <v>11</v>
      </c>
      <c r="D438" s="14" t="s">
        <v>36</v>
      </c>
      <c r="E438" s="16">
        <f t="shared" ref="E438:G438" si="1311">ROUNDUP((XLOOKUP($D438,$T$3:$T$10,$U$3:$U$10)*XLOOKUP(E$2,$AA$3:$AA$5,$AB$3:$AB$5)-ABS(XLOOKUP($C438,$Q$3:$Q$16,$R$3:$R$16)))*$B438,-5)</f>
        <v>37800000</v>
      </c>
      <c r="F438" s="16">
        <f t="shared" si="1311"/>
        <v>64900000</v>
      </c>
      <c r="G438" s="16">
        <f t="shared" si="1311"/>
        <v>70500000</v>
      </c>
      <c r="H438" s="17">
        <f t="shared" ref="H438:J438" si="1312">roundup((XLOOKUP($D438,$T$3:$T$10,$U$3:$U$10)*XLOOKUP(H$2,$AA$3:$AA$5,$AC$3:$AC$5)-ABS(XLOOKUP($C438,$Q$3:$Q$16,$R$3:$R$16)))*$B438,-5)</f>
        <v>31600000</v>
      </c>
      <c r="I438" s="17">
        <f t="shared" si="1312"/>
        <v>79700000</v>
      </c>
      <c r="J438" s="17">
        <f t="shared" si="1312"/>
        <v>86300000</v>
      </c>
      <c r="K438" s="17">
        <f t="shared" ref="K438:M438" si="1313">roundup((XLOOKUP($D438,$T$3:$T$10,$U$3:$U$10)*XLOOKUP(K$2,$AA$3:$AA$5,$AD$3:$AD$5)-ABS(XLOOKUP($C438,$Q$3:$Q$16,$R$3:$R$16)))*$B438,-5)</f>
        <v>37000000</v>
      </c>
      <c r="L438" s="17">
        <f t="shared" si="1313"/>
        <v>89700000</v>
      </c>
      <c r="M438" s="17">
        <f t="shared" si="1313"/>
        <v>96900000</v>
      </c>
    </row>
    <row r="439">
      <c r="A439" s="14" t="s">
        <v>479</v>
      </c>
      <c r="B439" s="14">
        <v>144.0</v>
      </c>
      <c r="C439" s="15">
        <f t="shared" si="4"/>
        <v>11</v>
      </c>
      <c r="D439" s="14" t="s">
        <v>33</v>
      </c>
      <c r="E439" s="16">
        <f t="shared" ref="E439:G439" si="1314">ROUNDUP((XLOOKUP($D439,$T$3:$T$10,$U$3:$U$10)*XLOOKUP(E$2,$AA$3:$AA$5,$AB$3:$AB$5)-ABS(XLOOKUP($C439,$Q$3:$Q$16,$R$3:$R$16)))*$B439,-5)</f>
        <v>31300000</v>
      </c>
      <c r="F439" s="16">
        <f t="shared" si="1314"/>
        <v>55500000</v>
      </c>
      <c r="G439" s="16">
        <f t="shared" si="1314"/>
        <v>60500000</v>
      </c>
      <c r="H439" s="17">
        <f t="shared" ref="H439:J439" si="1315">roundup((XLOOKUP($D439,$T$3:$T$10,$U$3:$U$10)*XLOOKUP(H$2,$AA$3:$AA$5,$AC$3:$AC$5)-ABS(XLOOKUP($C439,$Q$3:$Q$16,$R$3:$R$16)))*$B439,-5)</f>
        <v>25700000</v>
      </c>
      <c r="I439" s="17">
        <f t="shared" si="1315"/>
        <v>68600000</v>
      </c>
      <c r="J439" s="17">
        <f t="shared" si="1315"/>
        <v>74500000</v>
      </c>
      <c r="K439" s="17">
        <f t="shared" ref="K439:M439" si="1316">roundup((XLOOKUP($D439,$T$3:$T$10,$U$3:$U$10)*XLOOKUP(K$2,$AA$3:$AA$5,$AD$3:$AD$5)-ABS(XLOOKUP($C439,$Q$3:$Q$16,$R$3:$R$16)))*$B439,-5)</f>
        <v>30500000</v>
      </c>
      <c r="L439" s="17">
        <f t="shared" si="1316"/>
        <v>77600000</v>
      </c>
      <c r="M439" s="17">
        <f t="shared" si="1316"/>
        <v>84000000</v>
      </c>
    </row>
    <row r="440">
      <c r="A440" s="14" t="s">
        <v>480</v>
      </c>
      <c r="B440" s="14">
        <v>142.0</v>
      </c>
      <c r="C440" s="15">
        <f t="shared" si="4"/>
        <v>11</v>
      </c>
      <c r="D440" s="14" t="s">
        <v>36</v>
      </c>
      <c r="E440" s="16">
        <f t="shared" ref="E440:G440" si="1317">ROUNDUP((XLOOKUP($D440,$T$3:$T$10,$U$3:$U$10)*XLOOKUP(E$2,$AA$3:$AA$5,$AB$3:$AB$5)-ABS(XLOOKUP($C440,$Q$3:$Q$16,$R$3:$R$16)))*$B440,-5)</f>
        <v>37300000</v>
      </c>
      <c r="F440" s="16">
        <f t="shared" si="1317"/>
        <v>64000000</v>
      </c>
      <c r="G440" s="16">
        <f t="shared" si="1317"/>
        <v>69600000</v>
      </c>
      <c r="H440" s="17">
        <f t="shared" ref="H440:J440" si="1318">roundup((XLOOKUP($D440,$T$3:$T$10,$U$3:$U$10)*XLOOKUP(H$2,$AA$3:$AA$5,$AC$3:$AC$5)-ABS(XLOOKUP($C440,$Q$3:$Q$16,$R$3:$R$16)))*$B440,-5)</f>
        <v>31200000</v>
      </c>
      <c r="I440" s="17">
        <f t="shared" si="1318"/>
        <v>78600000</v>
      </c>
      <c r="J440" s="17">
        <f t="shared" si="1318"/>
        <v>85100000</v>
      </c>
      <c r="K440" s="17">
        <f t="shared" ref="K440:M440" si="1319">roundup((XLOOKUP($D440,$T$3:$T$10,$U$3:$U$10)*XLOOKUP(K$2,$AA$3:$AA$5,$AD$3:$AD$5)-ABS(XLOOKUP($C440,$Q$3:$Q$16,$R$3:$R$16)))*$B440,-5)</f>
        <v>36400000</v>
      </c>
      <c r="L440" s="17">
        <f t="shared" si="1319"/>
        <v>88500000</v>
      </c>
      <c r="M440" s="17">
        <f t="shared" si="1319"/>
        <v>95600000</v>
      </c>
    </row>
    <row r="441">
      <c r="A441" s="14" t="s">
        <v>481</v>
      </c>
      <c r="B441" s="14">
        <v>141.0</v>
      </c>
      <c r="C441" s="15">
        <f t="shared" si="4"/>
        <v>11</v>
      </c>
      <c r="D441" s="14" t="s">
        <v>33</v>
      </c>
      <c r="E441" s="16">
        <f t="shared" ref="E441:G441" si="1320">ROUNDUP((XLOOKUP($D441,$T$3:$T$10,$U$3:$U$10)*XLOOKUP(E$2,$AA$3:$AA$5,$AB$3:$AB$5)-ABS(XLOOKUP($C441,$Q$3:$Q$16,$R$3:$R$16)))*$B441,-5)</f>
        <v>30600000</v>
      </c>
      <c r="F441" s="16">
        <f t="shared" si="1320"/>
        <v>54300000</v>
      </c>
      <c r="G441" s="16">
        <f t="shared" si="1320"/>
        <v>59200000</v>
      </c>
      <c r="H441" s="17">
        <f t="shared" ref="H441:J441" si="1321">roundup((XLOOKUP($D441,$T$3:$T$10,$U$3:$U$10)*XLOOKUP(H$2,$AA$3:$AA$5,$AC$3:$AC$5)-ABS(XLOOKUP($C441,$Q$3:$Q$16,$R$3:$R$16)))*$B441,-5)</f>
        <v>25200000</v>
      </c>
      <c r="I441" s="17">
        <f t="shared" si="1321"/>
        <v>67200000</v>
      </c>
      <c r="J441" s="17">
        <f t="shared" si="1321"/>
        <v>72900000</v>
      </c>
      <c r="K441" s="17">
        <f t="shared" ref="K441:M441" si="1322">roundup((XLOOKUP($D441,$T$3:$T$10,$U$3:$U$10)*XLOOKUP(K$2,$AA$3:$AA$5,$AD$3:$AD$5)-ABS(XLOOKUP($C441,$Q$3:$Q$16,$R$3:$R$16)))*$B441,-5)</f>
        <v>29900000</v>
      </c>
      <c r="L441" s="17">
        <f t="shared" si="1322"/>
        <v>75900000</v>
      </c>
      <c r="M441" s="17">
        <f t="shared" si="1322"/>
        <v>82200000</v>
      </c>
    </row>
    <row r="442">
      <c r="A442" s="14" t="s">
        <v>482</v>
      </c>
      <c r="B442" s="14">
        <v>141.0</v>
      </c>
      <c r="C442" s="15">
        <f t="shared" si="4"/>
        <v>11</v>
      </c>
      <c r="D442" s="14" t="s">
        <v>33</v>
      </c>
      <c r="E442" s="16">
        <f t="shared" ref="E442:G442" si="1323">ROUNDUP((XLOOKUP($D442,$T$3:$T$10,$U$3:$U$10)*XLOOKUP(E$2,$AA$3:$AA$5,$AB$3:$AB$5)-ABS(XLOOKUP($C442,$Q$3:$Q$16,$R$3:$R$16)))*$B442,-5)</f>
        <v>30600000</v>
      </c>
      <c r="F442" s="16">
        <f t="shared" si="1323"/>
        <v>54300000</v>
      </c>
      <c r="G442" s="16">
        <f t="shared" si="1323"/>
        <v>59200000</v>
      </c>
      <c r="H442" s="17">
        <f t="shared" ref="H442:J442" si="1324">roundup((XLOOKUP($D442,$T$3:$T$10,$U$3:$U$10)*XLOOKUP(H$2,$AA$3:$AA$5,$AC$3:$AC$5)-ABS(XLOOKUP($C442,$Q$3:$Q$16,$R$3:$R$16)))*$B442,-5)</f>
        <v>25200000</v>
      </c>
      <c r="I442" s="17">
        <f t="shared" si="1324"/>
        <v>67200000</v>
      </c>
      <c r="J442" s="17">
        <f t="shared" si="1324"/>
        <v>72900000</v>
      </c>
      <c r="K442" s="17">
        <f t="shared" ref="K442:M442" si="1325">roundup((XLOOKUP($D442,$T$3:$T$10,$U$3:$U$10)*XLOOKUP(K$2,$AA$3:$AA$5,$AD$3:$AD$5)-ABS(XLOOKUP($C442,$Q$3:$Q$16,$R$3:$R$16)))*$B442,-5)</f>
        <v>29900000</v>
      </c>
      <c r="L442" s="17">
        <f t="shared" si="1325"/>
        <v>75900000</v>
      </c>
      <c r="M442" s="17">
        <f t="shared" si="1325"/>
        <v>82200000</v>
      </c>
    </row>
    <row r="443">
      <c r="A443" s="14" t="s">
        <v>483</v>
      </c>
      <c r="B443" s="14">
        <v>140.0</v>
      </c>
      <c r="C443" s="15">
        <f t="shared" si="4"/>
        <v>11</v>
      </c>
      <c r="D443" s="14" t="s">
        <v>33</v>
      </c>
      <c r="E443" s="16">
        <f t="shared" ref="E443:G443" si="1326">ROUNDUP((XLOOKUP($D443,$T$3:$T$10,$U$3:$U$10)*XLOOKUP(E$2,$AA$3:$AA$5,$AB$3:$AB$5)-ABS(XLOOKUP($C443,$Q$3:$Q$16,$R$3:$R$16)))*$B443,-5)</f>
        <v>30400000</v>
      </c>
      <c r="F443" s="16">
        <f t="shared" si="1326"/>
        <v>53900000</v>
      </c>
      <c r="G443" s="16">
        <f t="shared" si="1326"/>
        <v>58800000</v>
      </c>
      <c r="H443" s="17">
        <f t="shared" ref="H443:J443" si="1327">roundup((XLOOKUP($D443,$T$3:$T$10,$U$3:$U$10)*XLOOKUP(H$2,$AA$3:$AA$5,$AC$3:$AC$5)-ABS(XLOOKUP($C443,$Q$3:$Q$16,$R$3:$R$16)))*$B443,-5)</f>
        <v>25000000</v>
      </c>
      <c r="I443" s="17">
        <f t="shared" si="1327"/>
        <v>66700000</v>
      </c>
      <c r="J443" s="17">
        <f t="shared" si="1327"/>
        <v>72400000</v>
      </c>
      <c r="K443" s="17">
        <f t="shared" ref="K443:M443" si="1328">roundup((XLOOKUP($D443,$T$3:$T$10,$U$3:$U$10)*XLOOKUP(K$2,$AA$3:$AA$5,$AD$3:$AD$5)-ABS(XLOOKUP($C443,$Q$3:$Q$16,$R$3:$R$16)))*$B443,-5)</f>
        <v>29700000</v>
      </c>
      <c r="L443" s="17">
        <f t="shared" si="1328"/>
        <v>75400000</v>
      </c>
      <c r="M443" s="17">
        <f t="shared" si="1328"/>
        <v>81700000</v>
      </c>
    </row>
    <row r="444">
      <c r="A444" s="14" t="s">
        <v>484</v>
      </c>
      <c r="B444" s="14">
        <v>140.0</v>
      </c>
      <c r="C444" s="15">
        <f t="shared" si="4"/>
        <v>11</v>
      </c>
      <c r="D444" s="14" t="s">
        <v>33</v>
      </c>
      <c r="E444" s="16">
        <f t="shared" ref="E444:G444" si="1329">ROUNDUP((XLOOKUP($D444,$T$3:$T$10,$U$3:$U$10)*XLOOKUP(E$2,$AA$3:$AA$5,$AB$3:$AB$5)-ABS(XLOOKUP($C444,$Q$3:$Q$16,$R$3:$R$16)))*$B444,-5)</f>
        <v>30400000</v>
      </c>
      <c r="F444" s="16">
        <f t="shared" si="1329"/>
        <v>53900000</v>
      </c>
      <c r="G444" s="16">
        <f t="shared" si="1329"/>
        <v>58800000</v>
      </c>
      <c r="H444" s="17">
        <f t="shared" ref="H444:J444" si="1330">roundup((XLOOKUP($D444,$T$3:$T$10,$U$3:$U$10)*XLOOKUP(H$2,$AA$3:$AA$5,$AC$3:$AC$5)-ABS(XLOOKUP($C444,$Q$3:$Q$16,$R$3:$R$16)))*$B444,-5)</f>
        <v>25000000</v>
      </c>
      <c r="I444" s="17">
        <f t="shared" si="1330"/>
        <v>66700000</v>
      </c>
      <c r="J444" s="17">
        <f t="shared" si="1330"/>
        <v>72400000</v>
      </c>
      <c r="K444" s="17">
        <f t="shared" ref="K444:M444" si="1331">roundup((XLOOKUP($D444,$T$3:$T$10,$U$3:$U$10)*XLOOKUP(K$2,$AA$3:$AA$5,$AD$3:$AD$5)-ABS(XLOOKUP($C444,$Q$3:$Q$16,$R$3:$R$16)))*$B444,-5)</f>
        <v>29700000</v>
      </c>
      <c r="L444" s="17">
        <f t="shared" si="1331"/>
        <v>75400000</v>
      </c>
      <c r="M444" s="17">
        <f t="shared" si="1331"/>
        <v>81700000</v>
      </c>
    </row>
    <row r="445">
      <c r="A445" s="14" t="s">
        <v>485</v>
      </c>
      <c r="B445" s="14">
        <v>139.0</v>
      </c>
      <c r="C445" s="15">
        <f t="shared" si="4"/>
        <v>11</v>
      </c>
      <c r="D445" s="14" t="s">
        <v>33</v>
      </c>
      <c r="E445" s="16">
        <f t="shared" ref="E445:G445" si="1332">ROUNDUP((XLOOKUP($D445,$T$3:$T$10,$U$3:$U$10)*XLOOKUP(E$2,$AA$3:$AA$5,$AB$3:$AB$5)-ABS(XLOOKUP($C445,$Q$3:$Q$16,$R$3:$R$16)))*$B445,-5)</f>
        <v>30200000</v>
      </c>
      <c r="F445" s="16">
        <f t="shared" si="1332"/>
        <v>53500000</v>
      </c>
      <c r="G445" s="16">
        <f t="shared" si="1332"/>
        <v>58400000</v>
      </c>
      <c r="H445" s="17">
        <f t="shared" ref="H445:J445" si="1333">roundup((XLOOKUP($D445,$T$3:$T$10,$U$3:$U$10)*XLOOKUP(H$2,$AA$3:$AA$5,$AC$3:$AC$5)-ABS(XLOOKUP($C445,$Q$3:$Q$16,$R$3:$R$16)))*$B445,-5)</f>
        <v>24900000</v>
      </c>
      <c r="I445" s="17">
        <f t="shared" si="1333"/>
        <v>66300000</v>
      </c>
      <c r="J445" s="17">
        <f t="shared" si="1333"/>
        <v>71900000</v>
      </c>
      <c r="K445" s="17">
        <f t="shared" ref="K445:M445" si="1334">roundup((XLOOKUP($D445,$T$3:$T$10,$U$3:$U$10)*XLOOKUP(K$2,$AA$3:$AA$5,$AD$3:$AD$5)-ABS(XLOOKUP($C445,$Q$3:$Q$16,$R$3:$R$16)))*$B445,-5)</f>
        <v>29400000</v>
      </c>
      <c r="L445" s="17">
        <f t="shared" si="1334"/>
        <v>74900000</v>
      </c>
      <c r="M445" s="17">
        <f t="shared" si="1334"/>
        <v>81100000</v>
      </c>
    </row>
    <row r="446">
      <c r="A446" s="14" t="s">
        <v>486</v>
      </c>
      <c r="B446" s="14">
        <v>137.0</v>
      </c>
      <c r="C446" s="15">
        <f t="shared" si="4"/>
        <v>11</v>
      </c>
      <c r="D446" s="14" t="s">
        <v>33</v>
      </c>
      <c r="E446" s="16">
        <f t="shared" ref="E446:G446" si="1335">ROUNDUP((XLOOKUP($D446,$T$3:$T$10,$U$3:$U$10)*XLOOKUP(E$2,$AA$3:$AA$5,$AB$3:$AB$5)-ABS(XLOOKUP($C446,$Q$3:$Q$16,$R$3:$R$16)))*$B446,-5)</f>
        <v>29700000</v>
      </c>
      <c r="F446" s="16">
        <f t="shared" si="1335"/>
        <v>52800000</v>
      </c>
      <c r="G446" s="16">
        <f t="shared" si="1335"/>
        <v>57500000</v>
      </c>
      <c r="H446" s="17">
        <f t="shared" ref="H446:J446" si="1336">roundup((XLOOKUP($D446,$T$3:$T$10,$U$3:$U$10)*XLOOKUP(H$2,$AA$3:$AA$5,$AC$3:$AC$5)-ABS(XLOOKUP($C446,$Q$3:$Q$16,$R$3:$R$16)))*$B446,-5)</f>
        <v>24500000</v>
      </c>
      <c r="I446" s="17">
        <f t="shared" si="1336"/>
        <v>65300000</v>
      </c>
      <c r="J446" s="17">
        <f t="shared" si="1336"/>
        <v>70900000</v>
      </c>
      <c r="K446" s="17">
        <f t="shared" ref="K446:M446" si="1337">roundup((XLOOKUP($D446,$T$3:$T$10,$U$3:$U$10)*XLOOKUP(K$2,$AA$3:$AA$5,$AD$3:$AD$5)-ABS(XLOOKUP($C446,$Q$3:$Q$16,$R$3:$R$16)))*$B446,-5)</f>
        <v>29000000</v>
      </c>
      <c r="L446" s="17">
        <f t="shared" si="1337"/>
        <v>73800000</v>
      </c>
      <c r="M446" s="17">
        <f t="shared" si="1337"/>
        <v>79900000</v>
      </c>
    </row>
    <row r="447">
      <c r="A447" s="14" t="s">
        <v>487</v>
      </c>
      <c r="B447" s="14">
        <v>137.0</v>
      </c>
      <c r="C447" s="15">
        <f t="shared" si="4"/>
        <v>11</v>
      </c>
      <c r="D447" s="14" t="s">
        <v>36</v>
      </c>
      <c r="E447" s="16">
        <f t="shared" ref="E447:G447" si="1338">ROUNDUP((XLOOKUP($D447,$T$3:$T$10,$U$3:$U$10)*XLOOKUP(E$2,$AA$3:$AA$5,$AB$3:$AB$5)-ABS(XLOOKUP($C447,$Q$3:$Q$16,$R$3:$R$16)))*$B447,-5)</f>
        <v>36000000</v>
      </c>
      <c r="F447" s="16">
        <f t="shared" si="1338"/>
        <v>61800000</v>
      </c>
      <c r="G447" s="16">
        <f t="shared" si="1338"/>
        <v>67100000</v>
      </c>
      <c r="H447" s="17">
        <f t="shared" ref="H447:J447" si="1339">roundup((XLOOKUP($D447,$T$3:$T$10,$U$3:$U$10)*XLOOKUP(H$2,$AA$3:$AA$5,$AC$3:$AC$5)-ABS(XLOOKUP($C447,$Q$3:$Q$16,$R$3:$R$16)))*$B447,-5)</f>
        <v>30100000</v>
      </c>
      <c r="I447" s="17">
        <f t="shared" si="1339"/>
        <v>75800000</v>
      </c>
      <c r="J447" s="17">
        <f t="shared" si="1339"/>
        <v>82100000</v>
      </c>
      <c r="K447" s="17">
        <f t="shared" ref="K447:M447" si="1340">roundup((XLOOKUP($D447,$T$3:$T$10,$U$3:$U$10)*XLOOKUP(K$2,$AA$3:$AA$5,$AD$3:$AD$5)-ABS(XLOOKUP($C447,$Q$3:$Q$16,$R$3:$R$16)))*$B447,-5)</f>
        <v>35200000</v>
      </c>
      <c r="L447" s="17">
        <f t="shared" si="1340"/>
        <v>85400000</v>
      </c>
      <c r="M447" s="17">
        <f t="shared" si="1340"/>
        <v>92200000</v>
      </c>
    </row>
    <row r="448">
      <c r="A448" s="14" t="s">
        <v>488</v>
      </c>
      <c r="B448" s="14">
        <v>133.0</v>
      </c>
      <c r="C448" s="15">
        <f t="shared" si="4"/>
        <v>11</v>
      </c>
      <c r="D448" s="14" t="s">
        <v>36</v>
      </c>
      <c r="E448" s="16">
        <f t="shared" ref="E448:G448" si="1341">ROUNDUP((XLOOKUP($D448,$T$3:$T$10,$U$3:$U$10)*XLOOKUP(E$2,$AA$3:$AA$5,$AB$3:$AB$5)-ABS(XLOOKUP($C448,$Q$3:$Q$16,$R$3:$R$16)))*$B448,-5)</f>
        <v>34900000</v>
      </c>
      <c r="F448" s="16">
        <f t="shared" si="1341"/>
        <v>60000000</v>
      </c>
      <c r="G448" s="16">
        <f t="shared" si="1341"/>
        <v>65200000</v>
      </c>
      <c r="H448" s="17">
        <f t="shared" ref="H448:J448" si="1342">roundup((XLOOKUP($D448,$T$3:$T$10,$U$3:$U$10)*XLOOKUP(H$2,$AA$3:$AA$5,$AC$3:$AC$5)-ABS(XLOOKUP($C448,$Q$3:$Q$16,$R$3:$R$16)))*$B448,-5)</f>
        <v>29200000</v>
      </c>
      <c r="I448" s="17">
        <f t="shared" si="1342"/>
        <v>73600000</v>
      </c>
      <c r="J448" s="17">
        <f t="shared" si="1342"/>
        <v>79700000</v>
      </c>
      <c r="K448" s="17">
        <f t="shared" ref="K448:M448" si="1343">roundup((XLOOKUP($D448,$T$3:$T$10,$U$3:$U$10)*XLOOKUP(K$2,$AA$3:$AA$5,$AD$3:$AD$5)-ABS(XLOOKUP($C448,$Q$3:$Q$16,$R$3:$R$16)))*$B448,-5)</f>
        <v>34100000</v>
      </c>
      <c r="L448" s="17">
        <f t="shared" si="1343"/>
        <v>82900000</v>
      </c>
      <c r="M448" s="17">
        <f t="shared" si="1343"/>
        <v>89500000</v>
      </c>
    </row>
    <row r="449">
      <c r="A449" s="14" t="s">
        <v>489</v>
      </c>
      <c r="B449" s="14">
        <v>133.0</v>
      </c>
      <c r="C449" s="15">
        <f t="shared" si="4"/>
        <v>11</v>
      </c>
      <c r="D449" s="14" t="s">
        <v>36</v>
      </c>
      <c r="E449" s="16">
        <f t="shared" ref="E449:G449" si="1344">ROUNDUP((XLOOKUP($D449,$T$3:$T$10,$U$3:$U$10)*XLOOKUP(E$2,$AA$3:$AA$5,$AB$3:$AB$5)-ABS(XLOOKUP($C449,$Q$3:$Q$16,$R$3:$R$16)))*$B449,-5)</f>
        <v>34900000</v>
      </c>
      <c r="F449" s="16">
        <f t="shared" si="1344"/>
        <v>60000000</v>
      </c>
      <c r="G449" s="16">
        <f t="shared" si="1344"/>
        <v>65200000</v>
      </c>
      <c r="H449" s="17">
        <f t="shared" ref="H449:J449" si="1345">roundup((XLOOKUP($D449,$T$3:$T$10,$U$3:$U$10)*XLOOKUP(H$2,$AA$3:$AA$5,$AC$3:$AC$5)-ABS(XLOOKUP($C449,$Q$3:$Q$16,$R$3:$R$16)))*$B449,-5)</f>
        <v>29200000</v>
      </c>
      <c r="I449" s="17">
        <f t="shared" si="1345"/>
        <v>73600000</v>
      </c>
      <c r="J449" s="17">
        <f t="shared" si="1345"/>
        <v>79700000</v>
      </c>
      <c r="K449" s="17">
        <f t="shared" ref="K449:M449" si="1346">roundup((XLOOKUP($D449,$T$3:$T$10,$U$3:$U$10)*XLOOKUP(K$2,$AA$3:$AA$5,$AD$3:$AD$5)-ABS(XLOOKUP($C449,$Q$3:$Q$16,$R$3:$R$16)))*$B449,-5)</f>
        <v>34100000</v>
      </c>
      <c r="L449" s="17">
        <f t="shared" si="1346"/>
        <v>82900000</v>
      </c>
      <c r="M449" s="17">
        <f t="shared" si="1346"/>
        <v>89500000</v>
      </c>
    </row>
    <row r="450">
      <c r="A450" s="14" t="s">
        <v>490</v>
      </c>
      <c r="B450" s="14">
        <v>131.0</v>
      </c>
      <c r="C450" s="15">
        <f t="shared" si="4"/>
        <v>11</v>
      </c>
      <c r="D450" s="14" t="s">
        <v>33</v>
      </c>
      <c r="E450" s="16">
        <f t="shared" ref="E450:G450" si="1347">ROUNDUP((XLOOKUP($D450,$T$3:$T$10,$U$3:$U$10)*XLOOKUP(E$2,$AA$3:$AA$5,$AB$3:$AB$5)-ABS(XLOOKUP($C450,$Q$3:$Q$16,$R$3:$R$16)))*$B450,-5)</f>
        <v>28400000</v>
      </c>
      <c r="F450" s="16">
        <f t="shared" si="1347"/>
        <v>50400000</v>
      </c>
      <c r="G450" s="16">
        <f t="shared" si="1347"/>
        <v>55000000</v>
      </c>
      <c r="H450" s="17">
        <f t="shared" ref="H450:J450" si="1348">roundup((XLOOKUP($D450,$T$3:$T$10,$U$3:$U$10)*XLOOKUP(H$2,$AA$3:$AA$5,$AC$3:$AC$5)-ABS(XLOOKUP($C450,$Q$3:$Q$16,$R$3:$R$16)))*$B450,-5)</f>
        <v>23400000</v>
      </c>
      <c r="I450" s="17">
        <f t="shared" si="1348"/>
        <v>62400000</v>
      </c>
      <c r="J450" s="17">
        <f t="shared" si="1348"/>
        <v>67800000</v>
      </c>
      <c r="K450" s="17">
        <f t="shared" ref="K450:M450" si="1349">roundup((XLOOKUP($D450,$T$3:$T$10,$U$3:$U$10)*XLOOKUP(K$2,$AA$3:$AA$5,$AD$3:$AD$5)-ABS(XLOOKUP($C450,$Q$3:$Q$16,$R$3:$R$16)))*$B450,-5)</f>
        <v>27800000</v>
      </c>
      <c r="L450" s="17">
        <f t="shared" si="1349"/>
        <v>70600000</v>
      </c>
      <c r="M450" s="17">
        <f t="shared" si="1349"/>
        <v>76400000</v>
      </c>
    </row>
    <row r="451">
      <c r="A451" s="14" t="s">
        <v>491</v>
      </c>
      <c r="B451" s="14">
        <v>130.0</v>
      </c>
      <c r="C451" s="15">
        <f t="shared" si="4"/>
        <v>11</v>
      </c>
      <c r="D451" s="14" t="s">
        <v>36</v>
      </c>
      <c r="E451" s="16">
        <f t="shared" ref="E451:G451" si="1350">ROUNDUP((XLOOKUP($D451,$T$3:$T$10,$U$3:$U$10)*XLOOKUP(E$2,$AA$3:$AA$5,$AB$3:$AB$5)-ABS(XLOOKUP($C451,$Q$3:$Q$16,$R$3:$R$16)))*$B451,-5)</f>
        <v>34100000</v>
      </c>
      <c r="F451" s="16">
        <f t="shared" si="1350"/>
        <v>58600000</v>
      </c>
      <c r="G451" s="16">
        <f t="shared" si="1350"/>
        <v>63700000</v>
      </c>
      <c r="H451" s="17">
        <f t="shared" ref="H451:J451" si="1351">roundup((XLOOKUP($D451,$T$3:$T$10,$U$3:$U$10)*XLOOKUP(H$2,$AA$3:$AA$5,$AC$3:$AC$5)-ABS(XLOOKUP($C451,$Q$3:$Q$16,$R$3:$R$16)))*$B451,-5)</f>
        <v>28600000</v>
      </c>
      <c r="I451" s="17">
        <f t="shared" si="1351"/>
        <v>72000000</v>
      </c>
      <c r="J451" s="17">
        <f t="shared" si="1351"/>
        <v>77900000</v>
      </c>
      <c r="K451" s="17">
        <f t="shared" ref="K451:M451" si="1352">roundup((XLOOKUP($D451,$T$3:$T$10,$U$3:$U$10)*XLOOKUP(K$2,$AA$3:$AA$5,$AD$3:$AD$5)-ABS(XLOOKUP($C451,$Q$3:$Q$16,$R$3:$R$16)))*$B451,-5)</f>
        <v>33400000</v>
      </c>
      <c r="L451" s="17">
        <f t="shared" si="1352"/>
        <v>81000000</v>
      </c>
      <c r="M451" s="17">
        <f t="shared" si="1352"/>
        <v>87500000</v>
      </c>
    </row>
    <row r="452">
      <c r="A452" s="14" t="s">
        <v>492</v>
      </c>
      <c r="B452" s="14">
        <v>130.0</v>
      </c>
      <c r="C452" s="15">
        <f t="shared" si="4"/>
        <v>11</v>
      </c>
      <c r="D452" s="14" t="s">
        <v>36</v>
      </c>
      <c r="E452" s="16">
        <f t="shared" ref="E452:G452" si="1353">ROUNDUP((XLOOKUP($D452,$T$3:$T$10,$U$3:$U$10)*XLOOKUP(E$2,$AA$3:$AA$5,$AB$3:$AB$5)-ABS(XLOOKUP($C452,$Q$3:$Q$16,$R$3:$R$16)))*$B452,-5)</f>
        <v>34100000</v>
      </c>
      <c r="F452" s="16">
        <f t="shared" si="1353"/>
        <v>58600000</v>
      </c>
      <c r="G452" s="16">
        <f t="shared" si="1353"/>
        <v>63700000</v>
      </c>
      <c r="H452" s="17">
        <f t="shared" ref="H452:J452" si="1354">roundup((XLOOKUP($D452,$T$3:$T$10,$U$3:$U$10)*XLOOKUP(H$2,$AA$3:$AA$5,$AC$3:$AC$5)-ABS(XLOOKUP($C452,$Q$3:$Q$16,$R$3:$R$16)))*$B452,-5)</f>
        <v>28600000</v>
      </c>
      <c r="I452" s="17">
        <f t="shared" si="1354"/>
        <v>72000000</v>
      </c>
      <c r="J452" s="17">
        <f t="shared" si="1354"/>
        <v>77900000</v>
      </c>
      <c r="K452" s="17">
        <f t="shared" ref="K452:M452" si="1355">roundup((XLOOKUP($D452,$T$3:$T$10,$U$3:$U$10)*XLOOKUP(K$2,$AA$3:$AA$5,$AD$3:$AD$5)-ABS(XLOOKUP($C452,$Q$3:$Q$16,$R$3:$R$16)))*$B452,-5)</f>
        <v>33400000</v>
      </c>
      <c r="L452" s="17">
        <f t="shared" si="1355"/>
        <v>81000000</v>
      </c>
      <c r="M452" s="17">
        <f t="shared" si="1355"/>
        <v>87500000</v>
      </c>
    </row>
    <row r="453">
      <c r="A453" s="14" t="s">
        <v>493</v>
      </c>
      <c r="B453" s="14">
        <v>123.0</v>
      </c>
      <c r="C453" s="15">
        <f t="shared" si="4"/>
        <v>11</v>
      </c>
      <c r="D453" s="14" t="s">
        <v>33</v>
      </c>
      <c r="E453" s="16">
        <f t="shared" ref="E453:G453" si="1356">ROUNDUP((XLOOKUP($D453,$T$3:$T$10,$U$3:$U$10)*XLOOKUP(E$2,$AA$3:$AA$5,$AB$3:$AB$5)-ABS(XLOOKUP($C453,$Q$3:$Q$16,$R$3:$R$16)))*$B453,-5)</f>
        <v>26700000</v>
      </c>
      <c r="F453" s="16">
        <f t="shared" si="1356"/>
        <v>47400000</v>
      </c>
      <c r="G453" s="16">
        <f t="shared" si="1356"/>
        <v>51600000</v>
      </c>
      <c r="H453" s="17">
        <f t="shared" ref="H453:J453" si="1357">roundup((XLOOKUP($D453,$T$3:$T$10,$U$3:$U$10)*XLOOKUP(H$2,$AA$3:$AA$5,$AC$3:$AC$5)-ABS(XLOOKUP($C453,$Q$3:$Q$16,$R$3:$R$16)))*$B453,-5)</f>
        <v>22000000</v>
      </c>
      <c r="I453" s="17">
        <f t="shared" si="1357"/>
        <v>58600000</v>
      </c>
      <c r="J453" s="17">
        <f t="shared" si="1357"/>
        <v>63600000</v>
      </c>
      <c r="K453" s="17">
        <f t="shared" ref="K453:M453" si="1358">roundup((XLOOKUP($D453,$T$3:$T$10,$U$3:$U$10)*XLOOKUP(K$2,$AA$3:$AA$5,$AD$3:$AD$5)-ABS(XLOOKUP($C453,$Q$3:$Q$16,$R$3:$R$16)))*$B453,-5)</f>
        <v>26100000</v>
      </c>
      <c r="L453" s="17">
        <f t="shared" si="1358"/>
        <v>66300000</v>
      </c>
      <c r="M453" s="17">
        <f t="shared" si="1358"/>
        <v>71700000</v>
      </c>
    </row>
    <row r="454">
      <c r="A454" s="14" t="s">
        <v>494</v>
      </c>
      <c r="B454" s="14">
        <v>123.0</v>
      </c>
      <c r="C454" s="15">
        <f t="shared" si="4"/>
        <v>11</v>
      </c>
      <c r="D454" s="14" t="s">
        <v>36</v>
      </c>
      <c r="E454" s="16">
        <f t="shared" ref="E454:G454" si="1359">ROUNDUP((XLOOKUP($D454,$T$3:$T$10,$U$3:$U$10)*XLOOKUP(E$2,$AA$3:$AA$5,$AB$3:$AB$5)-ABS(XLOOKUP($C454,$Q$3:$Q$16,$R$3:$R$16)))*$B454,-5)</f>
        <v>32300000</v>
      </c>
      <c r="F454" s="16">
        <f t="shared" si="1359"/>
        <v>55500000</v>
      </c>
      <c r="G454" s="16">
        <f t="shared" si="1359"/>
        <v>60300000</v>
      </c>
      <c r="H454" s="17">
        <f t="shared" ref="H454:J454" si="1360">roundup((XLOOKUP($D454,$T$3:$T$10,$U$3:$U$10)*XLOOKUP(H$2,$AA$3:$AA$5,$AC$3:$AC$5)-ABS(XLOOKUP($C454,$Q$3:$Q$16,$R$3:$R$16)))*$B454,-5)</f>
        <v>27000000</v>
      </c>
      <c r="I454" s="17">
        <f t="shared" si="1360"/>
        <v>68100000</v>
      </c>
      <c r="J454" s="17">
        <f t="shared" si="1360"/>
        <v>73700000</v>
      </c>
      <c r="K454" s="17">
        <f t="shared" ref="K454:M454" si="1361">roundup((XLOOKUP($D454,$T$3:$T$10,$U$3:$U$10)*XLOOKUP(K$2,$AA$3:$AA$5,$AD$3:$AD$5)-ABS(XLOOKUP($C454,$Q$3:$Q$16,$R$3:$R$16)))*$B454,-5)</f>
        <v>31600000</v>
      </c>
      <c r="L454" s="17">
        <f t="shared" si="1361"/>
        <v>76600000</v>
      </c>
      <c r="M454" s="17">
        <f t="shared" si="1361"/>
        <v>82800000</v>
      </c>
    </row>
    <row r="455">
      <c r="A455" s="14" t="s">
        <v>495</v>
      </c>
      <c r="B455" s="14">
        <v>123.0</v>
      </c>
      <c r="C455" s="15">
        <f t="shared" si="4"/>
        <v>11</v>
      </c>
      <c r="D455" s="14" t="s">
        <v>36</v>
      </c>
      <c r="E455" s="16">
        <f t="shared" ref="E455:G455" si="1362">ROUNDUP((XLOOKUP($D455,$T$3:$T$10,$U$3:$U$10)*XLOOKUP(E$2,$AA$3:$AA$5,$AB$3:$AB$5)-ABS(XLOOKUP($C455,$Q$3:$Q$16,$R$3:$R$16)))*$B455,-5)</f>
        <v>32300000</v>
      </c>
      <c r="F455" s="16">
        <f t="shared" si="1362"/>
        <v>55500000</v>
      </c>
      <c r="G455" s="16">
        <f t="shared" si="1362"/>
        <v>60300000</v>
      </c>
      <c r="H455" s="17">
        <f t="shared" ref="H455:J455" si="1363">roundup((XLOOKUP($D455,$T$3:$T$10,$U$3:$U$10)*XLOOKUP(H$2,$AA$3:$AA$5,$AC$3:$AC$5)-ABS(XLOOKUP($C455,$Q$3:$Q$16,$R$3:$R$16)))*$B455,-5)</f>
        <v>27000000</v>
      </c>
      <c r="I455" s="17">
        <f t="shared" si="1363"/>
        <v>68100000</v>
      </c>
      <c r="J455" s="17">
        <f t="shared" si="1363"/>
        <v>73700000</v>
      </c>
      <c r="K455" s="17">
        <f t="shared" ref="K455:M455" si="1364">roundup((XLOOKUP($D455,$T$3:$T$10,$U$3:$U$10)*XLOOKUP(K$2,$AA$3:$AA$5,$AD$3:$AD$5)-ABS(XLOOKUP($C455,$Q$3:$Q$16,$R$3:$R$16)))*$B455,-5)</f>
        <v>31600000</v>
      </c>
      <c r="L455" s="17">
        <f t="shared" si="1364"/>
        <v>76600000</v>
      </c>
      <c r="M455" s="17">
        <f t="shared" si="1364"/>
        <v>82800000</v>
      </c>
    </row>
    <row r="456">
      <c r="A456" s="14" t="s">
        <v>496</v>
      </c>
      <c r="B456" s="14">
        <v>120.0</v>
      </c>
      <c r="C456" s="15">
        <f t="shared" si="4"/>
        <v>11</v>
      </c>
      <c r="D456" s="14" t="s">
        <v>33</v>
      </c>
      <c r="E456" s="16">
        <f t="shared" ref="E456:G456" si="1365">ROUNDUP((XLOOKUP($D456,$T$3:$T$10,$U$3:$U$10)*XLOOKUP(E$2,$AA$3:$AA$5,$AB$3:$AB$5)-ABS(XLOOKUP($C456,$Q$3:$Q$16,$R$3:$R$16)))*$B456,-5)</f>
        <v>26100000</v>
      </c>
      <c r="F456" s="16">
        <f t="shared" si="1365"/>
        <v>46200000</v>
      </c>
      <c r="G456" s="16">
        <f t="shared" si="1365"/>
        <v>50400000</v>
      </c>
      <c r="H456" s="17">
        <f t="shared" ref="H456:J456" si="1366">roundup((XLOOKUP($D456,$T$3:$T$10,$U$3:$U$10)*XLOOKUP(H$2,$AA$3:$AA$5,$AC$3:$AC$5)-ABS(XLOOKUP($C456,$Q$3:$Q$16,$R$3:$R$16)))*$B456,-5)</f>
        <v>21500000</v>
      </c>
      <c r="I456" s="17">
        <f t="shared" si="1366"/>
        <v>57200000</v>
      </c>
      <c r="J456" s="17">
        <f t="shared" si="1366"/>
        <v>62100000</v>
      </c>
      <c r="K456" s="17">
        <f t="shared" ref="K456:M456" si="1367">roundup((XLOOKUP($D456,$T$3:$T$10,$U$3:$U$10)*XLOOKUP(K$2,$AA$3:$AA$5,$AD$3:$AD$5)-ABS(XLOOKUP($C456,$Q$3:$Q$16,$R$3:$R$16)))*$B456,-5)</f>
        <v>25400000</v>
      </c>
      <c r="L456" s="17">
        <f t="shared" si="1367"/>
        <v>64600000</v>
      </c>
      <c r="M456" s="17">
        <f t="shared" si="1367"/>
        <v>70000000</v>
      </c>
    </row>
    <row r="457">
      <c r="A457" s="14" t="s">
        <v>497</v>
      </c>
      <c r="B457" s="14">
        <v>120.0</v>
      </c>
      <c r="C457" s="15">
        <f t="shared" si="4"/>
        <v>11</v>
      </c>
      <c r="D457" s="14" t="s">
        <v>33</v>
      </c>
      <c r="E457" s="16">
        <f t="shared" ref="E457:G457" si="1368">ROUNDUP((XLOOKUP($D457,$T$3:$T$10,$U$3:$U$10)*XLOOKUP(E$2,$AA$3:$AA$5,$AB$3:$AB$5)-ABS(XLOOKUP($C457,$Q$3:$Q$16,$R$3:$R$16)))*$B457,-5)</f>
        <v>26100000</v>
      </c>
      <c r="F457" s="16">
        <f t="shared" si="1368"/>
        <v>46200000</v>
      </c>
      <c r="G457" s="16">
        <f t="shared" si="1368"/>
        <v>50400000</v>
      </c>
      <c r="H457" s="17">
        <f t="shared" ref="H457:J457" si="1369">roundup((XLOOKUP($D457,$T$3:$T$10,$U$3:$U$10)*XLOOKUP(H$2,$AA$3:$AA$5,$AC$3:$AC$5)-ABS(XLOOKUP($C457,$Q$3:$Q$16,$R$3:$R$16)))*$B457,-5)</f>
        <v>21500000</v>
      </c>
      <c r="I457" s="17">
        <f t="shared" si="1369"/>
        <v>57200000</v>
      </c>
      <c r="J457" s="17">
        <f t="shared" si="1369"/>
        <v>62100000</v>
      </c>
      <c r="K457" s="17">
        <f t="shared" ref="K457:M457" si="1370">roundup((XLOOKUP($D457,$T$3:$T$10,$U$3:$U$10)*XLOOKUP(K$2,$AA$3:$AA$5,$AD$3:$AD$5)-ABS(XLOOKUP($C457,$Q$3:$Q$16,$R$3:$R$16)))*$B457,-5)</f>
        <v>25400000</v>
      </c>
      <c r="L457" s="17">
        <f t="shared" si="1370"/>
        <v>64600000</v>
      </c>
      <c r="M457" s="17">
        <f t="shared" si="1370"/>
        <v>70000000</v>
      </c>
    </row>
    <row r="458">
      <c r="A458" s="14" t="s">
        <v>498</v>
      </c>
      <c r="B458" s="14">
        <v>119.0</v>
      </c>
      <c r="C458" s="15">
        <f t="shared" si="4"/>
        <v>11</v>
      </c>
      <c r="D458" s="14" t="s">
        <v>36</v>
      </c>
      <c r="E458" s="16">
        <f t="shared" ref="E458:G458" si="1371">ROUNDUP((XLOOKUP($D458,$T$3:$T$10,$U$3:$U$10)*XLOOKUP(E$2,$AA$3:$AA$5,$AB$3:$AB$5)-ABS(XLOOKUP($C458,$Q$3:$Q$16,$R$3:$R$16)))*$B458,-5)</f>
        <v>31200000</v>
      </c>
      <c r="F458" s="16">
        <f t="shared" si="1371"/>
        <v>53700000</v>
      </c>
      <c r="G458" s="16">
        <f t="shared" si="1371"/>
        <v>58300000</v>
      </c>
      <c r="H458" s="17">
        <f t="shared" ref="H458:J458" si="1372">roundup((XLOOKUP($D458,$T$3:$T$10,$U$3:$U$10)*XLOOKUP(H$2,$AA$3:$AA$5,$AC$3:$AC$5)-ABS(XLOOKUP($C458,$Q$3:$Q$16,$R$3:$R$16)))*$B458,-5)</f>
        <v>26100000</v>
      </c>
      <c r="I458" s="17">
        <f t="shared" si="1372"/>
        <v>65900000</v>
      </c>
      <c r="J458" s="17">
        <f t="shared" si="1372"/>
        <v>71300000</v>
      </c>
      <c r="K458" s="17">
        <f t="shared" ref="K458:M458" si="1373">roundup((XLOOKUP($D458,$T$3:$T$10,$U$3:$U$10)*XLOOKUP(K$2,$AA$3:$AA$5,$AD$3:$AD$5)-ABS(XLOOKUP($C458,$Q$3:$Q$16,$R$3:$R$16)))*$B458,-5)</f>
        <v>30600000</v>
      </c>
      <c r="L458" s="17">
        <f t="shared" si="1373"/>
        <v>74100000</v>
      </c>
      <c r="M458" s="17">
        <f t="shared" si="1373"/>
        <v>80100000</v>
      </c>
    </row>
    <row r="459">
      <c r="A459" s="14" t="s">
        <v>499</v>
      </c>
      <c r="B459" s="14">
        <v>119.0</v>
      </c>
      <c r="C459" s="15">
        <f t="shared" si="4"/>
        <v>11</v>
      </c>
      <c r="D459" s="14" t="s">
        <v>36</v>
      </c>
      <c r="E459" s="16">
        <f t="shared" ref="E459:G459" si="1374">ROUNDUP((XLOOKUP($D459,$T$3:$T$10,$U$3:$U$10)*XLOOKUP(E$2,$AA$3:$AA$5,$AB$3:$AB$5)-ABS(XLOOKUP($C459,$Q$3:$Q$16,$R$3:$R$16)))*$B459,-5)</f>
        <v>31200000</v>
      </c>
      <c r="F459" s="16">
        <f t="shared" si="1374"/>
        <v>53700000</v>
      </c>
      <c r="G459" s="16">
        <f t="shared" si="1374"/>
        <v>58300000</v>
      </c>
      <c r="H459" s="17">
        <f t="shared" ref="H459:J459" si="1375">roundup((XLOOKUP($D459,$T$3:$T$10,$U$3:$U$10)*XLOOKUP(H$2,$AA$3:$AA$5,$AC$3:$AC$5)-ABS(XLOOKUP($C459,$Q$3:$Q$16,$R$3:$R$16)))*$B459,-5)</f>
        <v>26100000</v>
      </c>
      <c r="I459" s="17">
        <f t="shared" si="1375"/>
        <v>65900000</v>
      </c>
      <c r="J459" s="17">
        <f t="shared" si="1375"/>
        <v>71300000</v>
      </c>
      <c r="K459" s="17">
        <f t="shared" ref="K459:M459" si="1376">roundup((XLOOKUP($D459,$T$3:$T$10,$U$3:$U$10)*XLOOKUP(K$2,$AA$3:$AA$5,$AD$3:$AD$5)-ABS(XLOOKUP($C459,$Q$3:$Q$16,$R$3:$R$16)))*$B459,-5)</f>
        <v>30600000</v>
      </c>
      <c r="L459" s="17">
        <f t="shared" si="1376"/>
        <v>74100000</v>
      </c>
      <c r="M459" s="17">
        <f t="shared" si="1376"/>
        <v>80100000</v>
      </c>
    </row>
    <row r="460">
      <c r="A460" s="14" t="s">
        <v>500</v>
      </c>
      <c r="B460" s="14">
        <v>111.0</v>
      </c>
      <c r="C460" s="15">
        <f t="shared" si="4"/>
        <v>11</v>
      </c>
      <c r="D460" s="14" t="s">
        <v>33</v>
      </c>
      <c r="E460" s="16">
        <f t="shared" ref="E460:G460" si="1377">ROUNDUP((XLOOKUP($D460,$T$3:$T$10,$U$3:$U$10)*XLOOKUP(E$2,$AA$3:$AA$5,$AB$3:$AB$5)-ABS(XLOOKUP($C460,$Q$3:$Q$16,$R$3:$R$16)))*$B460,-5)</f>
        <v>24100000</v>
      </c>
      <c r="F460" s="16">
        <f t="shared" si="1377"/>
        <v>42800000</v>
      </c>
      <c r="G460" s="16">
        <f t="shared" si="1377"/>
        <v>46600000</v>
      </c>
      <c r="H460" s="17">
        <f t="shared" ref="H460:J460" si="1378">roundup((XLOOKUP($D460,$T$3:$T$10,$U$3:$U$10)*XLOOKUP(H$2,$AA$3:$AA$5,$AC$3:$AC$5)-ABS(XLOOKUP($C460,$Q$3:$Q$16,$R$3:$R$16)))*$B460,-5)</f>
        <v>19900000</v>
      </c>
      <c r="I460" s="17">
        <f t="shared" si="1378"/>
        <v>52900000</v>
      </c>
      <c r="J460" s="17">
        <f t="shared" si="1378"/>
        <v>57400000</v>
      </c>
      <c r="K460" s="17">
        <f t="shared" ref="K460:M460" si="1379">roundup((XLOOKUP($D460,$T$3:$T$10,$U$3:$U$10)*XLOOKUP(K$2,$AA$3:$AA$5,$AD$3:$AD$5)-ABS(XLOOKUP($C460,$Q$3:$Q$16,$R$3:$R$16)))*$B460,-5)</f>
        <v>23500000</v>
      </c>
      <c r="L460" s="17">
        <f t="shared" si="1379"/>
        <v>59800000</v>
      </c>
      <c r="M460" s="17">
        <f t="shared" si="1379"/>
        <v>64800000</v>
      </c>
    </row>
    <row r="461">
      <c r="A461" s="14" t="s">
        <v>501</v>
      </c>
      <c r="B461" s="14">
        <v>98.0</v>
      </c>
      <c r="C461" s="15">
        <f t="shared" si="4"/>
        <v>11</v>
      </c>
      <c r="D461" s="14" t="s">
        <v>33</v>
      </c>
      <c r="E461" s="16">
        <f t="shared" ref="E461:G461" si="1380">ROUNDUP((XLOOKUP($D461,$T$3:$T$10,$U$3:$U$10)*XLOOKUP(E$2,$AA$3:$AA$5,$AB$3:$AB$5)-ABS(XLOOKUP($C461,$Q$3:$Q$16,$R$3:$R$16)))*$B461,-5)</f>
        <v>21300000</v>
      </c>
      <c r="F461" s="16">
        <f t="shared" si="1380"/>
        <v>37800000</v>
      </c>
      <c r="G461" s="16">
        <f t="shared" si="1380"/>
        <v>41200000</v>
      </c>
      <c r="H461" s="17">
        <f t="shared" ref="H461:J461" si="1381">roundup((XLOOKUP($D461,$T$3:$T$10,$U$3:$U$10)*XLOOKUP(H$2,$AA$3:$AA$5,$AC$3:$AC$5)-ABS(XLOOKUP($C461,$Q$3:$Q$16,$R$3:$R$16)))*$B461,-5)</f>
        <v>17500000</v>
      </c>
      <c r="I461" s="17">
        <f t="shared" si="1381"/>
        <v>46700000</v>
      </c>
      <c r="J461" s="17">
        <f t="shared" si="1381"/>
        <v>50700000</v>
      </c>
      <c r="K461" s="17">
        <f t="shared" ref="K461:M461" si="1382">roundup((XLOOKUP($D461,$T$3:$T$10,$U$3:$U$10)*XLOOKUP(K$2,$AA$3:$AA$5,$AD$3:$AD$5)-ABS(XLOOKUP($C461,$Q$3:$Q$16,$R$3:$R$16)))*$B461,-5)</f>
        <v>20800000</v>
      </c>
      <c r="L461" s="17">
        <f t="shared" si="1382"/>
        <v>52800000</v>
      </c>
      <c r="M461" s="17">
        <f t="shared" si="1382"/>
        <v>57200000</v>
      </c>
    </row>
    <row r="462">
      <c r="A462" s="14" t="s">
        <v>502</v>
      </c>
      <c r="B462" s="14">
        <v>103.0</v>
      </c>
      <c r="C462" s="15">
        <f t="shared" si="4"/>
        <v>11</v>
      </c>
      <c r="D462" s="14" t="s">
        <v>36</v>
      </c>
      <c r="E462" s="16">
        <f t="shared" ref="E462:G462" si="1383">ROUNDUP((XLOOKUP($D462,$T$3:$T$10,$U$3:$U$10)*XLOOKUP(E$2,$AA$3:$AA$5,$AB$3:$AB$5)-ABS(XLOOKUP($C462,$Q$3:$Q$16,$R$3:$R$16)))*$B462,-5)</f>
        <v>27100000</v>
      </c>
      <c r="F462" s="16">
        <f t="shared" si="1383"/>
        <v>46500000</v>
      </c>
      <c r="G462" s="16">
        <f t="shared" si="1383"/>
        <v>50500000</v>
      </c>
      <c r="H462" s="17">
        <f t="shared" ref="H462:J462" si="1384">roundup((XLOOKUP($D462,$T$3:$T$10,$U$3:$U$10)*XLOOKUP(H$2,$AA$3:$AA$5,$AC$3:$AC$5)-ABS(XLOOKUP($C462,$Q$3:$Q$16,$R$3:$R$16)))*$B462,-5)</f>
        <v>22600000</v>
      </c>
      <c r="I462" s="17">
        <f t="shared" si="1384"/>
        <v>57000000</v>
      </c>
      <c r="J462" s="17">
        <f t="shared" si="1384"/>
        <v>61700000</v>
      </c>
      <c r="K462" s="17">
        <f t="shared" ref="K462:M462" si="1385">roundup((XLOOKUP($D462,$T$3:$T$10,$U$3:$U$10)*XLOOKUP(K$2,$AA$3:$AA$5,$AD$3:$AD$5)-ABS(XLOOKUP($C462,$Q$3:$Q$16,$R$3:$R$16)))*$B462,-5)</f>
        <v>26500000</v>
      </c>
      <c r="L462" s="17">
        <f t="shared" si="1385"/>
        <v>64200000</v>
      </c>
      <c r="M462" s="17">
        <f t="shared" si="1385"/>
        <v>69300000</v>
      </c>
    </row>
    <row r="463">
      <c r="A463" s="14" t="s">
        <v>503</v>
      </c>
      <c r="B463" s="14">
        <v>105.0</v>
      </c>
      <c r="C463" s="15">
        <f t="shared" si="4"/>
        <v>11</v>
      </c>
      <c r="D463" s="14" t="s">
        <v>33</v>
      </c>
      <c r="E463" s="16">
        <f t="shared" ref="E463:G463" si="1386">ROUNDUP((XLOOKUP($D463,$T$3:$T$10,$U$3:$U$10)*XLOOKUP(E$2,$AA$3:$AA$5,$AB$3:$AB$5)-ABS(XLOOKUP($C463,$Q$3:$Q$16,$R$3:$R$16)))*$B463,-5)</f>
        <v>22800000</v>
      </c>
      <c r="F463" s="16">
        <f t="shared" si="1386"/>
        <v>40400000</v>
      </c>
      <c r="G463" s="16">
        <f t="shared" si="1386"/>
        <v>44100000</v>
      </c>
      <c r="H463" s="17">
        <f t="shared" ref="H463:J463" si="1387">roundup((XLOOKUP($D463,$T$3:$T$10,$U$3:$U$10)*XLOOKUP(H$2,$AA$3:$AA$5,$AC$3:$AC$5)-ABS(XLOOKUP($C463,$Q$3:$Q$16,$R$3:$R$16)))*$B463,-5)</f>
        <v>18800000</v>
      </c>
      <c r="I463" s="17">
        <f t="shared" si="1387"/>
        <v>50100000</v>
      </c>
      <c r="J463" s="17">
        <f t="shared" si="1387"/>
        <v>54300000</v>
      </c>
      <c r="K463" s="17">
        <f t="shared" ref="K463:M463" si="1388">roundup((XLOOKUP($D463,$T$3:$T$10,$U$3:$U$10)*XLOOKUP(K$2,$AA$3:$AA$5,$AD$3:$AD$5)-ABS(XLOOKUP($C463,$Q$3:$Q$16,$R$3:$R$16)))*$B463,-5)</f>
        <v>22300000</v>
      </c>
      <c r="L463" s="17">
        <f t="shared" si="1388"/>
        <v>56600000</v>
      </c>
      <c r="M463" s="17">
        <f t="shared" si="1388"/>
        <v>61300000</v>
      </c>
    </row>
    <row r="464">
      <c r="A464" s="14" t="s">
        <v>504</v>
      </c>
      <c r="B464" s="14">
        <v>104.0</v>
      </c>
      <c r="C464" s="15">
        <f t="shared" si="4"/>
        <v>11</v>
      </c>
      <c r="D464" s="14" t="s">
        <v>33</v>
      </c>
      <c r="E464" s="16">
        <f t="shared" ref="E464:G464" si="1389">ROUNDUP((XLOOKUP($D464,$T$3:$T$10,$U$3:$U$10)*XLOOKUP(E$2,$AA$3:$AA$5,$AB$3:$AB$5)-ABS(XLOOKUP($C464,$Q$3:$Q$16,$R$3:$R$16)))*$B464,-5)</f>
        <v>22600000</v>
      </c>
      <c r="F464" s="16">
        <f t="shared" si="1389"/>
        <v>40100000</v>
      </c>
      <c r="G464" s="16">
        <f t="shared" si="1389"/>
        <v>43700000</v>
      </c>
      <c r="H464" s="17">
        <f t="shared" ref="H464:J464" si="1390">roundup((XLOOKUP($D464,$T$3:$T$10,$U$3:$U$10)*XLOOKUP(H$2,$AA$3:$AA$5,$AC$3:$AC$5)-ABS(XLOOKUP($C464,$Q$3:$Q$16,$R$3:$R$16)))*$B464,-5)</f>
        <v>18600000</v>
      </c>
      <c r="I464" s="17">
        <f t="shared" si="1390"/>
        <v>49600000</v>
      </c>
      <c r="J464" s="17">
        <f t="shared" si="1390"/>
        <v>53800000</v>
      </c>
      <c r="K464" s="17">
        <f t="shared" ref="K464:M464" si="1391">roundup((XLOOKUP($D464,$T$3:$T$10,$U$3:$U$10)*XLOOKUP(K$2,$AA$3:$AA$5,$AD$3:$AD$5)-ABS(XLOOKUP($C464,$Q$3:$Q$16,$R$3:$R$16)))*$B464,-5)</f>
        <v>22000000</v>
      </c>
      <c r="L464" s="17">
        <f t="shared" si="1391"/>
        <v>56000000</v>
      </c>
      <c r="M464" s="17">
        <f t="shared" si="1391"/>
        <v>60700000</v>
      </c>
    </row>
    <row r="465">
      <c r="A465" s="14" t="s">
        <v>505</v>
      </c>
      <c r="B465" s="14">
        <v>103.0</v>
      </c>
      <c r="C465" s="15">
        <f t="shared" si="4"/>
        <v>11</v>
      </c>
      <c r="D465" s="14" t="s">
        <v>33</v>
      </c>
      <c r="E465" s="16">
        <f t="shared" ref="E465:G465" si="1392">ROUNDUP((XLOOKUP($D465,$T$3:$T$10,$U$3:$U$10)*XLOOKUP(E$2,$AA$3:$AA$5,$AB$3:$AB$5)-ABS(XLOOKUP($C465,$Q$3:$Q$16,$R$3:$R$16)))*$B465,-5)</f>
        <v>22400000</v>
      </c>
      <c r="F465" s="16">
        <f t="shared" si="1392"/>
        <v>39700000</v>
      </c>
      <c r="G465" s="16">
        <f t="shared" si="1392"/>
        <v>43300000</v>
      </c>
      <c r="H465" s="17">
        <f t="shared" ref="H465:J465" si="1393">roundup((XLOOKUP($D465,$T$3:$T$10,$U$3:$U$10)*XLOOKUP(H$2,$AA$3:$AA$5,$AC$3:$AC$5)-ABS(XLOOKUP($C465,$Q$3:$Q$16,$R$3:$R$16)))*$B465,-5)</f>
        <v>18400000</v>
      </c>
      <c r="I465" s="17">
        <f t="shared" si="1393"/>
        <v>49100000</v>
      </c>
      <c r="J465" s="17">
        <f t="shared" si="1393"/>
        <v>53300000</v>
      </c>
      <c r="K465" s="17">
        <f t="shared" ref="K465:M465" si="1394">roundup((XLOOKUP($D465,$T$3:$T$10,$U$3:$U$10)*XLOOKUP(K$2,$AA$3:$AA$5,$AD$3:$AD$5)-ABS(XLOOKUP($C465,$Q$3:$Q$16,$R$3:$R$16)))*$B465,-5)</f>
        <v>21800000</v>
      </c>
      <c r="L465" s="17">
        <f t="shared" si="1394"/>
        <v>55500000</v>
      </c>
      <c r="M465" s="17">
        <f t="shared" si="1394"/>
        <v>60100000</v>
      </c>
    </row>
    <row r="466">
      <c r="A466" s="14" t="s">
        <v>506</v>
      </c>
      <c r="B466" s="14">
        <v>99.0</v>
      </c>
      <c r="C466" s="15">
        <f t="shared" si="4"/>
        <v>11</v>
      </c>
      <c r="D466" s="14" t="s">
        <v>36</v>
      </c>
      <c r="E466" s="16">
        <f t="shared" ref="E466:G466" si="1395">ROUNDUP((XLOOKUP($D466,$T$3:$T$10,$U$3:$U$10)*XLOOKUP(E$2,$AA$3:$AA$5,$AB$3:$AB$5)-ABS(XLOOKUP($C466,$Q$3:$Q$16,$R$3:$R$16)))*$B466,-5)</f>
        <v>26000000</v>
      </c>
      <c r="F466" s="16">
        <f t="shared" si="1395"/>
        <v>44700000</v>
      </c>
      <c r="G466" s="16">
        <f t="shared" si="1395"/>
        <v>48500000</v>
      </c>
      <c r="H466" s="17">
        <f t="shared" ref="H466:J466" si="1396">roundup((XLOOKUP($D466,$T$3:$T$10,$U$3:$U$10)*XLOOKUP(H$2,$AA$3:$AA$5,$AC$3:$AC$5)-ABS(XLOOKUP($C466,$Q$3:$Q$16,$R$3:$R$16)))*$B466,-5)</f>
        <v>21800000</v>
      </c>
      <c r="I466" s="17">
        <f t="shared" si="1396"/>
        <v>54800000</v>
      </c>
      <c r="J466" s="17">
        <f t="shared" si="1396"/>
        <v>59300000</v>
      </c>
      <c r="K466" s="17">
        <f t="shared" ref="K466:M466" si="1397">roundup((XLOOKUP($D466,$T$3:$T$10,$U$3:$U$10)*XLOOKUP(K$2,$AA$3:$AA$5,$AD$3:$AD$5)-ABS(XLOOKUP($C466,$Q$3:$Q$16,$R$3:$R$16)))*$B466,-5)</f>
        <v>25400000</v>
      </c>
      <c r="L466" s="17">
        <f t="shared" si="1397"/>
        <v>61700000</v>
      </c>
      <c r="M466" s="17">
        <f t="shared" si="1397"/>
        <v>66600000</v>
      </c>
    </row>
    <row r="467">
      <c r="A467" s="14" t="s">
        <v>507</v>
      </c>
      <c r="B467" s="14">
        <v>98.0</v>
      </c>
      <c r="C467" s="15">
        <f t="shared" si="4"/>
        <v>11</v>
      </c>
      <c r="D467" s="14" t="s">
        <v>36</v>
      </c>
      <c r="E467" s="16">
        <f t="shared" ref="E467:G467" si="1398">ROUNDUP((XLOOKUP($D467,$T$3:$T$10,$U$3:$U$10)*XLOOKUP(E$2,$AA$3:$AA$5,$AB$3:$AB$5)-ABS(XLOOKUP($C467,$Q$3:$Q$16,$R$3:$R$16)))*$B467,-5)</f>
        <v>25700000</v>
      </c>
      <c r="F467" s="16">
        <f t="shared" si="1398"/>
        <v>44200000</v>
      </c>
      <c r="G467" s="16">
        <f t="shared" si="1398"/>
        <v>48000000</v>
      </c>
      <c r="H467" s="17">
        <f t="shared" ref="H467:J467" si="1399">roundup((XLOOKUP($D467,$T$3:$T$10,$U$3:$U$10)*XLOOKUP(H$2,$AA$3:$AA$5,$AC$3:$AC$5)-ABS(XLOOKUP($C467,$Q$3:$Q$16,$R$3:$R$16)))*$B467,-5)</f>
        <v>21500000</v>
      </c>
      <c r="I467" s="17">
        <f t="shared" si="1399"/>
        <v>54300000</v>
      </c>
      <c r="J467" s="17">
        <f t="shared" si="1399"/>
        <v>58700000</v>
      </c>
      <c r="K467" s="17">
        <f t="shared" ref="K467:M467" si="1400">roundup((XLOOKUP($D467,$T$3:$T$10,$U$3:$U$10)*XLOOKUP(K$2,$AA$3:$AA$5,$AD$3:$AD$5)-ABS(XLOOKUP($C467,$Q$3:$Q$16,$R$3:$R$16)))*$B467,-5)</f>
        <v>25200000</v>
      </c>
      <c r="L467" s="17">
        <f t="shared" si="1400"/>
        <v>61100000</v>
      </c>
      <c r="M467" s="17">
        <f t="shared" si="1400"/>
        <v>66000000</v>
      </c>
    </row>
    <row r="468">
      <c r="A468" s="14" t="s">
        <v>508</v>
      </c>
      <c r="B468" s="14">
        <v>98.0</v>
      </c>
      <c r="C468" s="15">
        <f t="shared" si="4"/>
        <v>11</v>
      </c>
      <c r="D468" s="14" t="s">
        <v>36</v>
      </c>
      <c r="E468" s="16">
        <f t="shared" ref="E468:G468" si="1401">ROUNDUP((XLOOKUP($D468,$T$3:$T$10,$U$3:$U$10)*XLOOKUP(E$2,$AA$3:$AA$5,$AB$3:$AB$5)-ABS(XLOOKUP($C468,$Q$3:$Q$16,$R$3:$R$16)))*$B468,-5)</f>
        <v>25700000</v>
      </c>
      <c r="F468" s="16">
        <f t="shared" si="1401"/>
        <v>44200000</v>
      </c>
      <c r="G468" s="16">
        <f t="shared" si="1401"/>
        <v>48000000</v>
      </c>
      <c r="H468" s="17">
        <f t="shared" ref="H468:J468" si="1402">roundup((XLOOKUP($D468,$T$3:$T$10,$U$3:$U$10)*XLOOKUP(H$2,$AA$3:$AA$5,$AC$3:$AC$5)-ABS(XLOOKUP($C468,$Q$3:$Q$16,$R$3:$R$16)))*$B468,-5)</f>
        <v>21500000</v>
      </c>
      <c r="I468" s="17">
        <f t="shared" si="1402"/>
        <v>54300000</v>
      </c>
      <c r="J468" s="17">
        <f t="shared" si="1402"/>
        <v>58700000</v>
      </c>
      <c r="K468" s="17">
        <f t="shared" ref="K468:M468" si="1403">roundup((XLOOKUP($D468,$T$3:$T$10,$U$3:$U$10)*XLOOKUP(K$2,$AA$3:$AA$5,$AD$3:$AD$5)-ABS(XLOOKUP($C468,$Q$3:$Q$16,$R$3:$R$16)))*$B468,-5)</f>
        <v>25200000</v>
      </c>
      <c r="L468" s="17">
        <f t="shared" si="1403"/>
        <v>61100000</v>
      </c>
      <c r="M468" s="17">
        <f t="shared" si="1403"/>
        <v>66000000</v>
      </c>
    </row>
    <row r="469">
      <c r="A469" s="14" t="s">
        <v>509</v>
      </c>
      <c r="B469" s="14">
        <v>85.0</v>
      </c>
      <c r="C469" s="15">
        <f t="shared" si="4"/>
        <v>11</v>
      </c>
      <c r="D469" s="14" t="s">
        <v>36</v>
      </c>
      <c r="E469" s="16">
        <f t="shared" ref="E469:G469" si="1404">ROUNDUP((XLOOKUP($D469,$T$3:$T$10,$U$3:$U$10)*XLOOKUP(E$2,$AA$3:$AA$5,$AB$3:$AB$5)-ABS(XLOOKUP($C469,$Q$3:$Q$16,$R$3:$R$16)))*$B469,-5)</f>
        <v>22300000</v>
      </c>
      <c r="F469" s="16">
        <f t="shared" si="1404"/>
        <v>38300000</v>
      </c>
      <c r="G469" s="16">
        <f t="shared" si="1404"/>
        <v>41700000</v>
      </c>
      <c r="H469" s="17">
        <f t="shared" ref="H469:J469" si="1405">roundup((XLOOKUP($D469,$T$3:$T$10,$U$3:$U$10)*XLOOKUP(H$2,$AA$3:$AA$5,$AC$3:$AC$5)-ABS(XLOOKUP($C469,$Q$3:$Q$16,$R$3:$R$16)))*$B469,-5)</f>
        <v>18700000</v>
      </c>
      <c r="I469" s="17">
        <f t="shared" si="1405"/>
        <v>47100000</v>
      </c>
      <c r="J469" s="17">
        <f t="shared" si="1405"/>
        <v>50900000</v>
      </c>
      <c r="K469" s="17">
        <f t="shared" ref="K469:M469" si="1406">roundup((XLOOKUP($D469,$T$3:$T$10,$U$3:$U$10)*XLOOKUP(K$2,$AA$3:$AA$5,$AD$3:$AD$5)-ABS(XLOOKUP($C469,$Q$3:$Q$16,$R$3:$R$16)))*$B469,-5)</f>
        <v>21800000</v>
      </c>
      <c r="L469" s="17">
        <f t="shared" si="1406"/>
        <v>53000000</v>
      </c>
      <c r="M469" s="17">
        <f t="shared" si="1406"/>
        <v>57200000</v>
      </c>
    </row>
    <row r="470">
      <c r="A470" s="14" t="s">
        <v>510</v>
      </c>
      <c r="B470" s="14">
        <v>128.0</v>
      </c>
      <c r="C470" s="15">
        <f t="shared" si="4"/>
        <v>11</v>
      </c>
      <c r="D470" s="14" t="s">
        <v>36</v>
      </c>
      <c r="E470" s="16">
        <f t="shared" ref="E470:G470" si="1407">ROUNDUP((XLOOKUP($D470,$T$3:$T$10,$U$3:$U$10)*XLOOKUP(E$2,$AA$3:$AA$5,$AB$3:$AB$5)-ABS(XLOOKUP($C470,$Q$3:$Q$16,$R$3:$R$16)))*$B470,-5)</f>
        <v>33600000</v>
      </c>
      <c r="F470" s="16">
        <f t="shared" si="1407"/>
        <v>57700000</v>
      </c>
      <c r="G470" s="16">
        <f t="shared" si="1407"/>
        <v>62700000</v>
      </c>
      <c r="H470" s="17">
        <f t="shared" ref="H470:J470" si="1408">roundup((XLOOKUP($D470,$T$3:$T$10,$U$3:$U$10)*XLOOKUP(H$2,$AA$3:$AA$5,$AC$3:$AC$5)-ABS(XLOOKUP($C470,$Q$3:$Q$16,$R$3:$R$16)))*$B470,-5)</f>
        <v>28100000</v>
      </c>
      <c r="I470" s="17">
        <f t="shared" si="1408"/>
        <v>70900000</v>
      </c>
      <c r="J470" s="17">
        <f t="shared" si="1408"/>
        <v>76700000</v>
      </c>
      <c r="K470" s="17">
        <f t="shared" ref="K470:M470" si="1409">roundup((XLOOKUP($D470,$T$3:$T$10,$U$3:$U$10)*XLOOKUP(K$2,$AA$3:$AA$5,$AD$3:$AD$5)-ABS(XLOOKUP($C470,$Q$3:$Q$16,$R$3:$R$16)))*$B470,-5)</f>
        <v>32900000</v>
      </c>
      <c r="L470" s="17">
        <f t="shared" si="1409"/>
        <v>79700000</v>
      </c>
      <c r="M470" s="17">
        <f t="shared" si="1409"/>
        <v>86200000</v>
      </c>
    </row>
    <row r="471">
      <c r="A471" s="14" t="s">
        <v>511</v>
      </c>
      <c r="B471" s="14">
        <v>181.0</v>
      </c>
      <c r="C471" s="15">
        <f t="shared" si="4"/>
        <v>13</v>
      </c>
      <c r="D471" s="14" t="s">
        <v>36</v>
      </c>
      <c r="E471" s="16">
        <f t="shared" ref="E471:G471" si="1410">ROUNDUP((XLOOKUP($D471,$T$3:$T$10,$U$3:$U$10)*XLOOKUP(E$2,$AA$3:$AA$5,$AB$3:$AB$5)-ABS(XLOOKUP($C471,$Q$3:$Q$16,$R$3:$R$16)))*$B471,-5)</f>
        <v>43900000</v>
      </c>
      <c r="F471" s="16">
        <f t="shared" si="1410"/>
        <v>78000000</v>
      </c>
      <c r="G471" s="16">
        <f t="shared" si="1410"/>
        <v>85000000</v>
      </c>
      <c r="H471" s="17">
        <f t="shared" ref="H471:J471" si="1411">roundup((XLOOKUP($D471,$T$3:$T$10,$U$3:$U$10)*XLOOKUP(H$2,$AA$3:$AA$5,$AC$3:$AC$5)-ABS(XLOOKUP($C471,$Q$3:$Q$16,$R$3:$R$16)))*$B471,-5)</f>
        <v>36100000</v>
      </c>
      <c r="I471" s="17">
        <f t="shared" si="1411"/>
        <v>96600000</v>
      </c>
      <c r="J471" s="17">
        <f t="shared" si="1411"/>
        <v>104800000</v>
      </c>
      <c r="K471" s="17">
        <f t="shared" ref="K471:M471" si="1412">roundup((XLOOKUP($D471,$T$3:$T$10,$U$3:$U$10)*XLOOKUP(K$2,$AA$3:$AA$5,$AD$3:$AD$5)-ABS(XLOOKUP($C471,$Q$3:$Q$16,$R$3:$R$16)))*$B471,-5)</f>
        <v>42800000</v>
      </c>
      <c r="L471" s="17">
        <f t="shared" si="1412"/>
        <v>109100000</v>
      </c>
      <c r="M471" s="17">
        <f t="shared" si="1412"/>
        <v>118200000</v>
      </c>
    </row>
    <row r="472">
      <c r="A472" s="14" t="s">
        <v>512</v>
      </c>
      <c r="B472" s="14">
        <v>95.0</v>
      </c>
      <c r="C472" s="15">
        <f t="shared" si="4"/>
        <v>11</v>
      </c>
      <c r="D472" s="14" t="s">
        <v>33</v>
      </c>
      <c r="E472" s="16">
        <f t="shared" ref="E472:G472" si="1413">ROUNDUP((XLOOKUP($D472,$T$3:$T$10,$U$3:$U$10)*XLOOKUP(E$2,$AA$3:$AA$5,$AB$3:$AB$5)-ABS(XLOOKUP($C472,$Q$3:$Q$16,$R$3:$R$16)))*$B472,-5)</f>
        <v>20600000</v>
      </c>
      <c r="F472" s="16">
        <f t="shared" si="1413"/>
        <v>36600000</v>
      </c>
      <c r="G472" s="16">
        <f t="shared" si="1413"/>
        <v>39900000</v>
      </c>
      <c r="H472" s="17">
        <f t="shared" ref="H472:J472" si="1414">roundup((XLOOKUP($D472,$T$3:$T$10,$U$3:$U$10)*XLOOKUP(H$2,$AA$3:$AA$5,$AC$3:$AC$5)-ABS(XLOOKUP($C472,$Q$3:$Q$16,$R$3:$R$16)))*$B472,-5)</f>
        <v>17000000</v>
      </c>
      <c r="I472" s="17">
        <f t="shared" si="1414"/>
        <v>45300000</v>
      </c>
      <c r="J472" s="17">
        <f t="shared" si="1414"/>
        <v>49200000</v>
      </c>
      <c r="K472" s="17">
        <f t="shared" ref="K472:M472" si="1415">roundup((XLOOKUP($D472,$T$3:$T$10,$U$3:$U$10)*XLOOKUP(K$2,$AA$3:$AA$5,$AD$3:$AD$5)-ABS(XLOOKUP($C472,$Q$3:$Q$16,$R$3:$R$16)))*$B472,-5)</f>
        <v>20100000</v>
      </c>
      <c r="L472" s="17">
        <f t="shared" si="1415"/>
        <v>51200000</v>
      </c>
      <c r="M472" s="17">
        <f t="shared" si="1415"/>
        <v>55400000</v>
      </c>
    </row>
    <row r="473">
      <c r="A473" s="14" t="s">
        <v>513</v>
      </c>
      <c r="B473" s="14">
        <v>185.0</v>
      </c>
      <c r="C473" s="15">
        <f t="shared" si="4"/>
        <v>13</v>
      </c>
      <c r="D473" s="14" t="s">
        <v>33</v>
      </c>
      <c r="E473" s="16">
        <f t="shared" ref="E473:G473" si="1416">ROUNDUP((XLOOKUP($D473,$T$3:$T$10,$U$3:$U$10)*XLOOKUP(E$2,$AA$3:$AA$5,$AB$3:$AB$5)-ABS(XLOOKUP($C473,$Q$3:$Q$16,$R$3:$R$16)))*$B473,-5)</f>
        <v>36400000</v>
      </c>
      <c r="F473" s="16">
        <f t="shared" si="1416"/>
        <v>67500000</v>
      </c>
      <c r="G473" s="16">
        <f t="shared" si="1416"/>
        <v>74000000</v>
      </c>
      <c r="H473" s="17">
        <f t="shared" ref="H473:J473" si="1417">roundup((XLOOKUP($D473,$T$3:$T$10,$U$3:$U$10)*XLOOKUP(H$2,$AA$3:$AA$5,$AC$3:$AC$5)-ABS(XLOOKUP($C473,$Q$3:$Q$16,$R$3:$R$16)))*$B473,-5)</f>
        <v>29400000</v>
      </c>
      <c r="I473" s="17">
        <f t="shared" si="1417"/>
        <v>84500000</v>
      </c>
      <c r="J473" s="17">
        <f t="shared" si="1417"/>
        <v>92000000</v>
      </c>
      <c r="K473" s="17">
        <f t="shared" ref="K473:M473" si="1418">roundup((XLOOKUP($D473,$T$3:$T$10,$U$3:$U$10)*XLOOKUP(K$2,$AA$3:$AA$5,$AD$3:$AD$5)-ABS(XLOOKUP($C473,$Q$3:$Q$16,$R$3:$R$16)))*$B473,-5)</f>
        <v>35500000</v>
      </c>
      <c r="L473" s="17">
        <f t="shared" si="1418"/>
        <v>95900000</v>
      </c>
      <c r="M473" s="17">
        <f t="shared" si="1418"/>
        <v>104200000</v>
      </c>
    </row>
    <row r="474">
      <c r="A474" s="14" t="s">
        <v>514</v>
      </c>
      <c r="B474" s="14">
        <v>117.0</v>
      </c>
      <c r="C474" s="15">
        <f t="shared" si="4"/>
        <v>11</v>
      </c>
      <c r="D474" s="14" t="s">
        <v>36</v>
      </c>
      <c r="E474" s="16">
        <f t="shared" ref="E474:G474" si="1419">ROUNDUP((XLOOKUP($D474,$T$3:$T$10,$U$3:$U$10)*XLOOKUP(E$2,$AA$3:$AA$5,$AB$3:$AB$5)-ABS(XLOOKUP($C474,$Q$3:$Q$16,$R$3:$R$16)))*$B474,-5)</f>
        <v>30700000</v>
      </c>
      <c r="F474" s="16">
        <f t="shared" si="1419"/>
        <v>52800000</v>
      </c>
      <c r="G474" s="16">
        <f t="shared" si="1419"/>
        <v>57300000</v>
      </c>
      <c r="H474" s="17">
        <f t="shared" ref="H474:J474" si="1420">roundup((XLOOKUP($D474,$T$3:$T$10,$U$3:$U$10)*XLOOKUP(H$2,$AA$3:$AA$5,$AC$3:$AC$5)-ABS(XLOOKUP($C474,$Q$3:$Q$16,$R$3:$R$16)))*$B474,-5)</f>
        <v>25700000</v>
      </c>
      <c r="I474" s="17">
        <f t="shared" si="1420"/>
        <v>64800000</v>
      </c>
      <c r="J474" s="17">
        <f t="shared" si="1420"/>
        <v>70100000</v>
      </c>
      <c r="K474" s="17">
        <f t="shared" ref="K474:M474" si="1421">roundup((XLOOKUP($D474,$T$3:$T$10,$U$3:$U$10)*XLOOKUP(K$2,$AA$3:$AA$5,$AD$3:$AD$5)-ABS(XLOOKUP($C474,$Q$3:$Q$16,$R$3:$R$16)))*$B474,-5)</f>
        <v>30000000</v>
      </c>
      <c r="L474" s="17">
        <f t="shared" si="1421"/>
        <v>72900000</v>
      </c>
      <c r="M474" s="17">
        <f t="shared" si="1421"/>
        <v>78800000</v>
      </c>
    </row>
    <row r="475">
      <c r="A475" s="14" t="s">
        <v>515</v>
      </c>
      <c r="B475" s="14">
        <v>130.0</v>
      </c>
      <c r="C475" s="15">
        <f t="shared" si="4"/>
        <v>11</v>
      </c>
      <c r="D475" s="14" t="s">
        <v>36</v>
      </c>
      <c r="E475" s="16">
        <f t="shared" ref="E475:G475" si="1422">ROUNDUP((XLOOKUP($D475,$T$3:$T$10,$U$3:$U$10)*XLOOKUP(E$2,$AA$3:$AA$5,$AB$3:$AB$5)-ABS(XLOOKUP($C475,$Q$3:$Q$16,$R$3:$R$16)))*$B475,-5)</f>
        <v>34100000</v>
      </c>
      <c r="F475" s="16">
        <f t="shared" si="1422"/>
        <v>58600000</v>
      </c>
      <c r="G475" s="16">
        <f t="shared" si="1422"/>
        <v>63700000</v>
      </c>
      <c r="H475" s="17">
        <f t="shared" ref="H475:J475" si="1423">roundup((XLOOKUP($D475,$T$3:$T$10,$U$3:$U$10)*XLOOKUP(H$2,$AA$3:$AA$5,$AC$3:$AC$5)-ABS(XLOOKUP($C475,$Q$3:$Q$16,$R$3:$R$16)))*$B475,-5)</f>
        <v>28600000</v>
      </c>
      <c r="I475" s="17">
        <f t="shared" si="1423"/>
        <v>72000000</v>
      </c>
      <c r="J475" s="17">
        <f t="shared" si="1423"/>
        <v>77900000</v>
      </c>
      <c r="K475" s="17">
        <f t="shared" ref="K475:M475" si="1424">roundup((XLOOKUP($D475,$T$3:$T$10,$U$3:$U$10)*XLOOKUP(K$2,$AA$3:$AA$5,$AD$3:$AD$5)-ABS(XLOOKUP($C475,$Q$3:$Q$16,$R$3:$R$16)))*$B475,-5)</f>
        <v>33400000</v>
      </c>
      <c r="L475" s="17">
        <f t="shared" si="1424"/>
        <v>81000000</v>
      </c>
      <c r="M475" s="17">
        <f t="shared" si="1424"/>
        <v>87500000</v>
      </c>
    </row>
    <row r="476">
      <c r="A476" s="14" t="s">
        <v>516</v>
      </c>
      <c r="B476" s="14">
        <v>157.0</v>
      </c>
      <c r="C476" s="15">
        <f t="shared" si="4"/>
        <v>11</v>
      </c>
      <c r="D476" s="14" t="s">
        <v>36</v>
      </c>
      <c r="E476" s="16">
        <f t="shared" ref="E476:G476" si="1425">ROUNDUP((XLOOKUP($D476,$T$3:$T$10,$U$3:$U$10)*XLOOKUP(E$2,$AA$3:$AA$5,$AB$3:$AB$5)-ABS(XLOOKUP($C476,$Q$3:$Q$16,$R$3:$R$16)))*$B476,-5)</f>
        <v>41200000</v>
      </c>
      <c r="F476" s="16">
        <f t="shared" si="1425"/>
        <v>70800000</v>
      </c>
      <c r="G476" s="16">
        <f t="shared" si="1425"/>
        <v>76900000</v>
      </c>
      <c r="H476" s="17">
        <f t="shared" ref="H476:J476" si="1426">roundup((XLOOKUP($D476,$T$3:$T$10,$U$3:$U$10)*XLOOKUP(H$2,$AA$3:$AA$5,$AC$3:$AC$5)-ABS(XLOOKUP($C476,$Q$3:$Q$16,$R$3:$R$16)))*$B476,-5)</f>
        <v>34500000</v>
      </c>
      <c r="I476" s="17">
        <f t="shared" si="1426"/>
        <v>86900000</v>
      </c>
      <c r="J476" s="17">
        <f t="shared" si="1426"/>
        <v>94000000</v>
      </c>
      <c r="K476" s="17">
        <f t="shared" ref="K476:M476" si="1427">roundup((XLOOKUP($D476,$T$3:$T$10,$U$3:$U$10)*XLOOKUP(K$2,$AA$3:$AA$5,$AD$3:$AD$5)-ABS(XLOOKUP($C476,$Q$3:$Q$16,$R$3:$R$16)))*$B476,-5)</f>
        <v>40300000</v>
      </c>
      <c r="L476" s="17">
        <f t="shared" si="1427"/>
        <v>97800000</v>
      </c>
      <c r="M476" s="17">
        <f t="shared" si="1427"/>
        <v>105700000</v>
      </c>
    </row>
    <row r="477">
      <c r="A477" s="14" t="s">
        <v>517</v>
      </c>
      <c r="B477" s="14">
        <v>289.0</v>
      </c>
      <c r="C477" s="15">
        <f t="shared" si="4"/>
        <v>14</v>
      </c>
      <c r="D477" s="14" t="s">
        <v>33</v>
      </c>
      <c r="E477" s="16">
        <f t="shared" ref="E477:G477" si="1428">ROUNDUP((XLOOKUP($D477,$T$3:$T$10,$U$3:$U$10)*XLOOKUP(E$2,$AA$3:$AA$5,$AB$3:$AB$5)-ABS(XLOOKUP($C477,$Q$3:$Q$16,$R$3:$R$16)))*$B477,-5)</f>
        <v>54300000</v>
      </c>
      <c r="F477" s="16">
        <f t="shared" si="1428"/>
        <v>102900000</v>
      </c>
      <c r="G477" s="16">
        <f t="shared" si="1428"/>
        <v>112900000</v>
      </c>
      <c r="H477" s="17">
        <f t="shared" ref="H477:J477" si="1429">roundup((XLOOKUP($D477,$T$3:$T$10,$U$3:$U$10)*XLOOKUP(H$2,$AA$3:$AA$5,$AC$3:$AC$5)-ABS(XLOOKUP($C477,$Q$3:$Q$16,$R$3:$R$16)))*$B477,-5)</f>
        <v>43200000</v>
      </c>
      <c r="I477" s="17">
        <f t="shared" si="1429"/>
        <v>129300000</v>
      </c>
      <c r="J477" s="17">
        <f t="shared" si="1429"/>
        <v>141000000</v>
      </c>
      <c r="K477" s="17">
        <f t="shared" ref="K477:M477" si="1430">roundup((XLOOKUP($D477,$T$3:$T$10,$U$3:$U$10)*XLOOKUP(K$2,$AA$3:$AA$5,$AD$3:$AD$5)-ABS(XLOOKUP($C477,$Q$3:$Q$16,$R$3:$R$16)))*$B477,-5)</f>
        <v>52800000</v>
      </c>
      <c r="L477" s="17">
        <f t="shared" si="1430"/>
        <v>147200000</v>
      </c>
      <c r="M477" s="17">
        <f t="shared" si="1430"/>
        <v>160100000</v>
      </c>
    </row>
    <row r="478">
      <c r="A478" s="14" t="s">
        <v>518</v>
      </c>
      <c r="B478" s="14">
        <v>285.0</v>
      </c>
      <c r="C478" s="15">
        <f t="shared" si="4"/>
        <v>14</v>
      </c>
      <c r="D478" s="14" t="s">
        <v>36</v>
      </c>
      <c r="E478" s="16">
        <f t="shared" ref="E478:G478" si="1431">ROUNDUP((XLOOKUP($D478,$T$3:$T$10,$U$3:$U$10)*XLOOKUP(E$2,$AA$3:$AA$5,$AB$3:$AB$5)-ABS(XLOOKUP($C478,$Q$3:$Q$16,$R$3:$R$16)))*$B478,-5)</f>
        <v>66500000</v>
      </c>
      <c r="F478" s="16">
        <f t="shared" si="1431"/>
        <v>120200000</v>
      </c>
      <c r="G478" s="16">
        <f t="shared" si="1431"/>
        <v>131300000</v>
      </c>
      <c r="H478" s="17">
        <f t="shared" ref="H478:J478" si="1432">roundup((XLOOKUP($D478,$T$3:$T$10,$U$3:$U$10)*XLOOKUP(H$2,$AA$3:$AA$5,$AC$3:$AC$5)-ABS(XLOOKUP($C478,$Q$3:$Q$16,$R$3:$R$16)))*$B478,-5)</f>
        <v>54300000</v>
      </c>
      <c r="I478" s="17">
        <f t="shared" si="1432"/>
        <v>149400000</v>
      </c>
      <c r="J478" s="17">
        <f t="shared" si="1432"/>
        <v>162400000</v>
      </c>
      <c r="K478" s="17">
        <f t="shared" ref="K478:M478" si="1433">roundup((XLOOKUP($D478,$T$3:$T$10,$U$3:$U$10)*XLOOKUP(K$2,$AA$3:$AA$5,$AD$3:$AD$5)-ABS(XLOOKUP($C478,$Q$3:$Q$16,$R$3:$R$16)))*$B478,-5)</f>
        <v>64800000</v>
      </c>
      <c r="L478" s="17">
        <f t="shared" si="1433"/>
        <v>169200000</v>
      </c>
      <c r="M478" s="17">
        <f t="shared" si="1433"/>
        <v>183500000</v>
      </c>
    </row>
    <row r="479">
      <c r="A479" s="14" t="s">
        <v>519</v>
      </c>
      <c r="B479" s="14">
        <v>282.0</v>
      </c>
      <c r="C479" s="15">
        <f t="shared" si="4"/>
        <v>14</v>
      </c>
      <c r="D479" s="14" t="s">
        <v>36</v>
      </c>
      <c r="E479" s="16">
        <f t="shared" ref="E479:G479" si="1434">ROUNDUP((XLOOKUP($D479,$T$3:$T$10,$U$3:$U$10)*XLOOKUP(E$2,$AA$3:$AA$5,$AB$3:$AB$5)-ABS(XLOOKUP($C479,$Q$3:$Q$16,$R$3:$R$16)))*$B479,-5)</f>
        <v>65800000</v>
      </c>
      <c r="F479" s="16">
        <f t="shared" si="1434"/>
        <v>118900000</v>
      </c>
      <c r="G479" s="16">
        <f t="shared" si="1434"/>
        <v>129900000</v>
      </c>
      <c r="H479" s="17">
        <f t="shared" ref="H479:J479" si="1435">roundup((XLOOKUP($D479,$T$3:$T$10,$U$3:$U$10)*XLOOKUP(H$2,$AA$3:$AA$5,$AC$3:$AC$5)-ABS(XLOOKUP($C479,$Q$3:$Q$16,$R$3:$R$16)))*$B479,-5)</f>
        <v>53700000</v>
      </c>
      <c r="I479" s="17">
        <f t="shared" si="1435"/>
        <v>147900000</v>
      </c>
      <c r="J479" s="17">
        <f t="shared" si="1435"/>
        <v>160700000</v>
      </c>
      <c r="K479" s="17">
        <f t="shared" ref="K479:M479" si="1436">roundup((XLOOKUP($D479,$T$3:$T$10,$U$3:$U$10)*XLOOKUP(K$2,$AA$3:$AA$5,$AD$3:$AD$5)-ABS(XLOOKUP($C479,$Q$3:$Q$16,$R$3:$R$16)))*$B479,-5)</f>
        <v>64200000</v>
      </c>
      <c r="L479" s="17">
        <f t="shared" si="1436"/>
        <v>167500000</v>
      </c>
      <c r="M479" s="17">
        <f t="shared" si="1436"/>
        <v>181600000</v>
      </c>
    </row>
    <row r="480">
      <c r="A480" s="14" t="s">
        <v>520</v>
      </c>
      <c r="B480" s="14">
        <v>185.0</v>
      </c>
      <c r="C480" s="15">
        <f t="shared" si="4"/>
        <v>13</v>
      </c>
      <c r="D480" s="14" t="s">
        <v>33</v>
      </c>
      <c r="E480" s="16">
        <f t="shared" ref="E480:G480" si="1437">ROUNDUP((XLOOKUP($D480,$T$3:$T$10,$U$3:$U$10)*XLOOKUP(E$2,$AA$3:$AA$5,$AB$3:$AB$5)-ABS(XLOOKUP($C480,$Q$3:$Q$16,$R$3:$R$16)))*$B480,-5)</f>
        <v>36400000</v>
      </c>
      <c r="F480" s="16">
        <f t="shared" si="1437"/>
        <v>67500000</v>
      </c>
      <c r="G480" s="16">
        <f t="shared" si="1437"/>
        <v>74000000</v>
      </c>
      <c r="H480" s="17">
        <f t="shared" ref="H480:J480" si="1438">roundup((XLOOKUP($D480,$T$3:$T$10,$U$3:$U$10)*XLOOKUP(H$2,$AA$3:$AA$5,$AC$3:$AC$5)-ABS(XLOOKUP($C480,$Q$3:$Q$16,$R$3:$R$16)))*$B480,-5)</f>
        <v>29400000</v>
      </c>
      <c r="I480" s="17">
        <f t="shared" si="1438"/>
        <v>84500000</v>
      </c>
      <c r="J480" s="17">
        <f t="shared" si="1438"/>
        <v>92000000</v>
      </c>
      <c r="K480" s="17">
        <f t="shared" ref="K480:M480" si="1439">roundup((XLOOKUP($D480,$T$3:$T$10,$U$3:$U$10)*XLOOKUP(K$2,$AA$3:$AA$5,$AD$3:$AD$5)-ABS(XLOOKUP($C480,$Q$3:$Q$16,$R$3:$R$16)))*$B480,-5)</f>
        <v>35500000</v>
      </c>
      <c r="L480" s="17">
        <f t="shared" si="1439"/>
        <v>95900000</v>
      </c>
      <c r="M480" s="17">
        <f t="shared" si="1439"/>
        <v>104200000</v>
      </c>
    </row>
    <row r="481">
      <c r="A481" s="14" t="s">
        <v>521</v>
      </c>
      <c r="B481" s="14">
        <v>284.0</v>
      </c>
      <c r="C481" s="15">
        <f t="shared" si="4"/>
        <v>14</v>
      </c>
      <c r="D481" s="14" t="s">
        <v>33</v>
      </c>
      <c r="E481" s="16">
        <f t="shared" ref="E481:G481" si="1440">ROUNDUP((XLOOKUP($D481,$T$3:$T$10,$U$3:$U$10)*XLOOKUP(E$2,$AA$3:$AA$5,$AB$3:$AB$5)-ABS(XLOOKUP($C481,$Q$3:$Q$16,$R$3:$R$16)))*$B481,-5)</f>
        <v>53300000</v>
      </c>
      <c r="F481" s="16">
        <f t="shared" si="1440"/>
        <v>101100000</v>
      </c>
      <c r="G481" s="16">
        <f t="shared" si="1440"/>
        <v>111000000</v>
      </c>
      <c r="H481" s="17">
        <f t="shared" ref="H481:J481" si="1441">roundup((XLOOKUP($D481,$T$3:$T$10,$U$3:$U$10)*XLOOKUP(H$2,$AA$3:$AA$5,$AC$3:$AC$5)-ABS(XLOOKUP($C481,$Q$3:$Q$16,$R$3:$R$16)))*$B481,-5)</f>
        <v>42500000</v>
      </c>
      <c r="I481" s="17">
        <f t="shared" si="1441"/>
        <v>127100000</v>
      </c>
      <c r="J481" s="17">
        <f t="shared" si="1441"/>
        <v>138600000</v>
      </c>
      <c r="K481" s="17">
        <f t="shared" ref="K481:M481" si="1442">roundup((XLOOKUP($D481,$T$3:$T$10,$U$3:$U$10)*XLOOKUP(K$2,$AA$3:$AA$5,$AD$3:$AD$5)-ABS(XLOOKUP($C481,$Q$3:$Q$16,$R$3:$R$16)))*$B481,-5)</f>
        <v>51900000</v>
      </c>
      <c r="L481" s="17">
        <f t="shared" si="1442"/>
        <v>144700000</v>
      </c>
      <c r="M481" s="17">
        <f t="shared" si="1442"/>
        <v>157400000</v>
      </c>
    </row>
    <row r="482">
      <c r="A482" s="14" t="s">
        <v>522</v>
      </c>
      <c r="B482" s="14">
        <v>251.0</v>
      </c>
      <c r="C482" s="15">
        <f t="shared" si="4"/>
        <v>14</v>
      </c>
      <c r="D482" s="14" t="s">
        <v>33</v>
      </c>
      <c r="E482" s="16">
        <f t="shared" ref="E482:G482" si="1443">ROUNDUP((XLOOKUP($D482,$T$3:$T$10,$U$3:$U$10)*XLOOKUP(E$2,$AA$3:$AA$5,$AB$3:$AB$5)-ABS(XLOOKUP($C482,$Q$3:$Q$16,$R$3:$R$16)))*$B482,-5)</f>
        <v>47200000</v>
      </c>
      <c r="F482" s="16">
        <f t="shared" si="1443"/>
        <v>89300000</v>
      </c>
      <c r="G482" s="16">
        <f t="shared" si="1443"/>
        <v>98100000</v>
      </c>
      <c r="H482" s="17">
        <f t="shared" ref="H482:J482" si="1444">roundup((XLOOKUP($D482,$T$3:$T$10,$U$3:$U$10)*XLOOKUP(H$2,$AA$3:$AA$5,$AC$3:$AC$5)-ABS(XLOOKUP($C482,$Q$3:$Q$16,$R$3:$R$16)))*$B482,-5)</f>
        <v>37600000</v>
      </c>
      <c r="I482" s="17">
        <f t="shared" si="1444"/>
        <v>112300000</v>
      </c>
      <c r="J482" s="17">
        <f t="shared" si="1444"/>
        <v>122500000</v>
      </c>
      <c r="K482" s="17">
        <f t="shared" ref="K482:M482" si="1445">roundup((XLOOKUP($D482,$T$3:$T$10,$U$3:$U$10)*XLOOKUP(K$2,$AA$3:$AA$5,$AD$3:$AD$5)-ABS(XLOOKUP($C482,$Q$3:$Q$16,$R$3:$R$16)))*$B482,-5)</f>
        <v>45800000</v>
      </c>
      <c r="L482" s="17">
        <f t="shared" si="1445"/>
        <v>127900000</v>
      </c>
      <c r="M482" s="17">
        <f t="shared" si="1445"/>
        <v>139100000</v>
      </c>
    </row>
    <row r="483">
      <c r="A483" s="14" t="s">
        <v>523</v>
      </c>
      <c r="B483" s="14">
        <v>109.0</v>
      </c>
      <c r="C483" s="15">
        <f t="shared" si="4"/>
        <v>11</v>
      </c>
      <c r="D483" s="14" t="s">
        <v>33</v>
      </c>
      <c r="E483" s="16">
        <f t="shared" ref="E483:G483" si="1446">ROUNDUP((XLOOKUP($D483,$T$3:$T$10,$U$3:$U$10)*XLOOKUP(E$2,$AA$3:$AA$5,$AB$3:$AB$5)-ABS(XLOOKUP($C483,$Q$3:$Q$16,$R$3:$R$16)))*$B483,-5)</f>
        <v>23700000</v>
      </c>
      <c r="F483" s="16">
        <f t="shared" si="1446"/>
        <v>42000000</v>
      </c>
      <c r="G483" s="16">
        <f t="shared" si="1446"/>
        <v>45800000</v>
      </c>
      <c r="H483" s="17">
        <f t="shared" ref="H483:J483" si="1447">roundup((XLOOKUP($D483,$T$3:$T$10,$U$3:$U$10)*XLOOKUP(H$2,$AA$3:$AA$5,$AC$3:$AC$5)-ABS(XLOOKUP($C483,$Q$3:$Q$16,$R$3:$R$16)))*$B483,-5)</f>
        <v>19500000</v>
      </c>
      <c r="I483" s="17">
        <f t="shared" si="1447"/>
        <v>52000000</v>
      </c>
      <c r="J483" s="17">
        <f t="shared" si="1447"/>
        <v>56400000</v>
      </c>
      <c r="K483" s="17">
        <f t="shared" ref="K483:M483" si="1448">roundup((XLOOKUP($D483,$T$3:$T$10,$U$3:$U$10)*XLOOKUP(K$2,$AA$3:$AA$5,$AD$3:$AD$5)-ABS(XLOOKUP($C483,$Q$3:$Q$16,$R$3:$R$16)))*$B483,-5)</f>
        <v>23100000</v>
      </c>
      <c r="L483" s="17">
        <f t="shared" si="1448"/>
        <v>58700000</v>
      </c>
      <c r="M483" s="17">
        <f t="shared" si="1448"/>
        <v>63600000</v>
      </c>
    </row>
    <row r="484">
      <c r="A484" s="14" t="s">
        <v>524</v>
      </c>
      <c r="B484" s="14">
        <v>152.0</v>
      </c>
      <c r="C484" s="15">
        <f t="shared" si="4"/>
        <v>11</v>
      </c>
      <c r="D484" s="14" t="s">
        <v>33</v>
      </c>
      <c r="E484" s="16">
        <f t="shared" ref="E484:G484" si="1449">ROUNDUP((XLOOKUP($D484,$T$3:$T$10,$U$3:$U$10)*XLOOKUP(E$2,$AA$3:$AA$5,$AB$3:$AB$5)-ABS(XLOOKUP($C484,$Q$3:$Q$16,$R$3:$R$16)))*$B484,-5)</f>
        <v>33000000</v>
      </c>
      <c r="F484" s="16">
        <f t="shared" si="1449"/>
        <v>58500000</v>
      </c>
      <c r="G484" s="16">
        <f t="shared" si="1449"/>
        <v>63800000</v>
      </c>
      <c r="H484" s="17">
        <f t="shared" ref="H484:J484" si="1450">roundup((XLOOKUP($D484,$T$3:$T$10,$U$3:$U$10)*XLOOKUP(H$2,$AA$3:$AA$5,$AC$3:$AC$5)-ABS(XLOOKUP($C484,$Q$3:$Q$16,$R$3:$R$16)))*$B484,-5)</f>
        <v>27200000</v>
      </c>
      <c r="I484" s="17">
        <f t="shared" si="1450"/>
        <v>72400000</v>
      </c>
      <c r="J484" s="17">
        <f t="shared" si="1450"/>
        <v>78600000</v>
      </c>
      <c r="K484" s="17">
        <f t="shared" ref="K484:M484" si="1451">roundup((XLOOKUP($D484,$T$3:$T$10,$U$3:$U$10)*XLOOKUP(K$2,$AA$3:$AA$5,$AD$3:$AD$5)-ABS(XLOOKUP($C484,$Q$3:$Q$16,$R$3:$R$16)))*$B484,-5)</f>
        <v>32200000</v>
      </c>
      <c r="L484" s="17">
        <f t="shared" si="1451"/>
        <v>81900000</v>
      </c>
      <c r="M484" s="17">
        <f t="shared" si="1451"/>
        <v>88700000</v>
      </c>
    </row>
    <row r="485">
      <c r="A485" s="14" t="s">
        <v>525</v>
      </c>
      <c r="B485" s="14">
        <v>132.0</v>
      </c>
      <c r="C485" s="15">
        <f t="shared" si="4"/>
        <v>11</v>
      </c>
      <c r="D485" s="14" t="s">
        <v>33</v>
      </c>
      <c r="E485" s="16">
        <f t="shared" ref="E485:G485" si="1452">ROUNDUP((XLOOKUP($D485,$T$3:$T$10,$U$3:$U$10)*XLOOKUP(E$2,$AA$3:$AA$5,$AB$3:$AB$5)-ABS(XLOOKUP($C485,$Q$3:$Q$16,$R$3:$R$16)))*$B485,-5)</f>
        <v>28700000</v>
      </c>
      <c r="F485" s="16">
        <f t="shared" si="1452"/>
        <v>50800000</v>
      </c>
      <c r="G485" s="16">
        <f t="shared" si="1452"/>
        <v>55400000</v>
      </c>
      <c r="H485" s="17">
        <f t="shared" ref="H485:J485" si="1453">roundup((XLOOKUP($D485,$T$3:$T$10,$U$3:$U$10)*XLOOKUP(H$2,$AA$3:$AA$5,$AC$3:$AC$5)-ABS(XLOOKUP($C485,$Q$3:$Q$16,$R$3:$R$16)))*$B485,-5)</f>
        <v>23600000</v>
      </c>
      <c r="I485" s="17">
        <f t="shared" si="1453"/>
        <v>62900000</v>
      </c>
      <c r="J485" s="17">
        <f t="shared" si="1453"/>
        <v>68300000</v>
      </c>
      <c r="K485" s="17">
        <f t="shared" ref="K485:M485" si="1454">roundup((XLOOKUP($D485,$T$3:$T$10,$U$3:$U$10)*XLOOKUP(K$2,$AA$3:$AA$5,$AD$3:$AD$5)-ABS(XLOOKUP($C485,$Q$3:$Q$16,$R$3:$R$16)))*$B485,-5)</f>
        <v>28000000</v>
      </c>
      <c r="L485" s="17">
        <f t="shared" si="1454"/>
        <v>71100000</v>
      </c>
      <c r="M485" s="17">
        <f t="shared" si="1454"/>
        <v>77000000</v>
      </c>
    </row>
    <row r="486">
      <c r="A486" s="14" t="s">
        <v>526</v>
      </c>
      <c r="B486" s="14">
        <v>68.0</v>
      </c>
      <c r="C486" s="15">
        <f t="shared" si="4"/>
        <v>9</v>
      </c>
      <c r="D486" s="14" t="s">
        <v>33</v>
      </c>
      <c r="E486" s="16">
        <f t="shared" ref="E486:G486" si="1455">ROUNDUP((XLOOKUP($D486,$T$3:$T$10,$U$3:$U$10)*XLOOKUP(E$2,$AA$3:$AA$5,$AB$3:$AB$5)-ABS(XLOOKUP($C486,$Q$3:$Q$16,$R$3:$R$16)))*$B486,-5)</f>
        <v>21000000</v>
      </c>
      <c r="F486" s="16">
        <f t="shared" si="1455"/>
        <v>32400000</v>
      </c>
      <c r="G486" s="16">
        <f t="shared" si="1455"/>
        <v>34800000</v>
      </c>
      <c r="H486" s="17">
        <f t="shared" ref="H486:J486" si="1456">roundup((XLOOKUP($D486,$T$3:$T$10,$U$3:$U$10)*XLOOKUP(H$2,$AA$3:$AA$5,$AC$3:$AC$5)-ABS(XLOOKUP($C486,$Q$3:$Q$16,$R$3:$R$16)))*$B486,-5)</f>
        <v>18400000</v>
      </c>
      <c r="I486" s="17">
        <f t="shared" si="1456"/>
        <v>38600000</v>
      </c>
      <c r="J486" s="17">
        <f t="shared" si="1456"/>
        <v>41400000</v>
      </c>
      <c r="K486" s="17">
        <f t="shared" ref="K486:M486" si="1457">roundup((XLOOKUP($D486,$T$3:$T$10,$U$3:$U$10)*XLOOKUP(K$2,$AA$3:$AA$5,$AD$3:$AD$5)-ABS(XLOOKUP($C486,$Q$3:$Q$16,$R$3:$R$16)))*$B486,-5)</f>
        <v>20600000</v>
      </c>
      <c r="L486" s="17">
        <f t="shared" si="1457"/>
        <v>42800000</v>
      </c>
      <c r="M486" s="17">
        <f t="shared" si="1457"/>
        <v>45900000</v>
      </c>
    </row>
    <row r="487">
      <c r="A487" s="14" t="s">
        <v>527</v>
      </c>
      <c r="B487" s="14">
        <v>88.0</v>
      </c>
      <c r="C487" s="15">
        <f t="shared" si="4"/>
        <v>11</v>
      </c>
      <c r="D487" s="14" t="s">
        <v>33</v>
      </c>
      <c r="E487" s="16">
        <f t="shared" ref="E487:G487" si="1458">ROUNDUP((XLOOKUP($D487,$T$3:$T$10,$U$3:$U$10)*XLOOKUP(E$2,$AA$3:$AA$5,$AB$3:$AB$5)-ABS(XLOOKUP($C487,$Q$3:$Q$16,$R$3:$R$16)))*$B487,-5)</f>
        <v>19100000</v>
      </c>
      <c r="F487" s="16">
        <f t="shared" si="1458"/>
        <v>33900000</v>
      </c>
      <c r="G487" s="16">
        <f t="shared" si="1458"/>
        <v>37000000</v>
      </c>
      <c r="H487" s="17">
        <f t="shared" ref="H487:J487" si="1459">roundup((XLOOKUP($D487,$T$3:$T$10,$U$3:$U$10)*XLOOKUP(H$2,$AA$3:$AA$5,$AC$3:$AC$5)-ABS(XLOOKUP($C487,$Q$3:$Q$16,$R$3:$R$16)))*$B487,-5)</f>
        <v>15800000</v>
      </c>
      <c r="I487" s="17">
        <f t="shared" si="1459"/>
        <v>42000000</v>
      </c>
      <c r="J487" s="17">
        <f t="shared" si="1459"/>
        <v>45500000</v>
      </c>
      <c r="K487" s="17">
        <f t="shared" ref="K487:M487" si="1460">roundup((XLOOKUP($D487,$T$3:$T$10,$U$3:$U$10)*XLOOKUP(K$2,$AA$3:$AA$5,$AD$3:$AD$5)-ABS(XLOOKUP($C487,$Q$3:$Q$16,$R$3:$R$16)))*$B487,-5)</f>
        <v>18700000</v>
      </c>
      <c r="L487" s="17">
        <f t="shared" si="1460"/>
        <v>47400000</v>
      </c>
      <c r="M487" s="17">
        <f t="shared" si="1460"/>
        <v>51300000</v>
      </c>
    </row>
    <row r="488">
      <c r="A488" s="14" t="s">
        <v>528</v>
      </c>
      <c r="B488" s="14">
        <v>98.0</v>
      </c>
      <c r="C488" s="15">
        <f t="shared" si="4"/>
        <v>11</v>
      </c>
      <c r="D488" s="14" t="s">
        <v>36</v>
      </c>
      <c r="E488" s="16">
        <f t="shared" ref="E488:G488" si="1461">ROUNDUP((XLOOKUP($D488,$T$3:$T$10,$U$3:$U$10)*XLOOKUP(E$2,$AA$3:$AA$5,$AB$3:$AB$5)-ABS(XLOOKUP($C488,$Q$3:$Q$16,$R$3:$R$16)))*$B488,-5)</f>
        <v>25700000</v>
      </c>
      <c r="F488" s="16">
        <f t="shared" si="1461"/>
        <v>44200000</v>
      </c>
      <c r="G488" s="16">
        <f t="shared" si="1461"/>
        <v>48000000</v>
      </c>
      <c r="H488" s="17">
        <f t="shared" ref="H488:J488" si="1462">roundup((XLOOKUP($D488,$T$3:$T$10,$U$3:$U$10)*XLOOKUP(H$2,$AA$3:$AA$5,$AC$3:$AC$5)-ABS(XLOOKUP($C488,$Q$3:$Q$16,$R$3:$R$16)))*$B488,-5)</f>
        <v>21500000</v>
      </c>
      <c r="I488" s="17">
        <f t="shared" si="1462"/>
        <v>54300000</v>
      </c>
      <c r="J488" s="17">
        <f t="shared" si="1462"/>
        <v>58700000</v>
      </c>
      <c r="K488" s="17">
        <f t="shared" ref="K488:M488" si="1463">roundup((XLOOKUP($D488,$T$3:$T$10,$U$3:$U$10)*XLOOKUP(K$2,$AA$3:$AA$5,$AD$3:$AD$5)-ABS(XLOOKUP($C488,$Q$3:$Q$16,$R$3:$R$16)))*$B488,-5)</f>
        <v>25200000</v>
      </c>
      <c r="L488" s="17">
        <f t="shared" si="1463"/>
        <v>61100000</v>
      </c>
      <c r="M488" s="17">
        <f t="shared" si="1463"/>
        <v>66000000</v>
      </c>
    </row>
    <row r="489">
      <c r="A489" s="14" t="s">
        <v>529</v>
      </c>
      <c r="B489" s="14">
        <v>232.0</v>
      </c>
      <c r="C489" s="15">
        <f t="shared" si="4"/>
        <v>14</v>
      </c>
      <c r="D489" s="14" t="s">
        <v>33</v>
      </c>
      <c r="E489" s="16">
        <f t="shared" ref="E489:G489" si="1464">ROUNDUP((XLOOKUP($D489,$T$3:$T$10,$U$3:$U$10)*XLOOKUP(E$2,$AA$3:$AA$5,$AB$3:$AB$5)-ABS(XLOOKUP($C489,$Q$3:$Q$16,$R$3:$R$16)))*$B489,-5)</f>
        <v>43600000</v>
      </c>
      <c r="F489" s="16">
        <f t="shared" si="1464"/>
        <v>82600000</v>
      </c>
      <c r="G489" s="16">
        <f t="shared" si="1464"/>
        <v>90600000</v>
      </c>
      <c r="H489" s="17">
        <f t="shared" ref="H489:J489" si="1465">roundup((XLOOKUP($D489,$T$3:$T$10,$U$3:$U$10)*XLOOKUP(H$2,$AA$3:$AA$5,$AC$3:$AC$5)-ABS(XLOOKUP($C489,$Q$3:$Q$16,$R$3:$R$16)))*$B489,-5)</f>
        <v>34700000</v>
      </c>
      <c r="I489" s="17">
        <f t="shared" si="1465"/>
        <v>103800000</v>
      </c>
      <c r="J489" s="17">
        <f t="shared" si="1465"/>
        <v>113200000</v>
      </c>
      <c r="K489" s="17">
        <f t="shared" ref="K489:M489" si="1466">roundup((XLOOKUP($D489,$T$3:$T$10,$U$3:$U$10)*XLOOKUP(K$2,$AA$3:$AA$5,$AD$3:$AD$5)-ABS(XLOOKUP($C489,$Q$3:$Q$16,$R$3:$R$16)))*$B489,-5)</f>
        <v>42400000</v>
      </c>
      <c r="L489" s="17">
        <f t="shared" si="1466"/>
        <v>118200000</v>
      </c>
      <c r="M489" s="17">
        <f t="shared" si="1466"/>
        <v>128600000</v>
      </c>
    </row>
    <row r="490">
      <c r="A490" s="14" t="s">
        <v>530</v>
      </c>
      <c r="B490" s="14">
        <v>299.0</v>
      </c>
      <c r="C490" s="15">
        <f t="shared" si="4"/>
        <v>14</v>
      </c>
      <c r="D490" s="14" t="s">
        <v>33</v>
      </c>
      <c r="E490" s="16">
        <f t="shared" ref="E490:G490" si="1467">ROUNDUP((XLOOKUP($D490,$T$3:$T$10,$U$3:$U$10)*XLOOKUP(E$2,$AA$3:$AA$5,$AB$3:$AB$5)-ABS(XLOOKUP($C490,$Q$3:$Q$16,$R$3:$R$16)))*$B490,-5)</f>
        <v>56200000</v>
      </c>
      <c r="F490" s="16">
        <f t="shared" si="1467"/>
        <v>106400000</v>
      </c>
      <c r="G490" s="16">
        <f t="shared" si="1467"/>
        <v>116800000</v>
      </c>
      <c r="H490" s="17">
        <f t="shared" ref="H490:J490" si="1468">roundup((XLOOKUP($D490,$T$3:$T$10,$U$3:$U$10)*XLOOKUP(H$2,$AA$3:$AA$5,$AC$3:$AC$5)-ABS(XLOOKUP($C490,$Q$3:$Q$16,$R$3:$R$16)))*$B490,-5)</f>
        <v>44700000</v>
      </c>
      <c r="I490" s="17">
        <f t="shared" si="1468"/>
        <v>133800000</v>
      </c>
      <c r="J490" s="17">
        <f t="shared" si="1468"/>
        <v>145900000</v>
      </c>
      <c r="K490" s="17">
        <f t="shared" ref="K490:M490" si="1469">roundup((XLOOKUP($D490,$T$3:$T$10,$U$3:$U$10)*XLOOKUP(K$2,$AA$3:$AA$5,$AD$3:$AD$5)-ABS(XLOOKUP($C490,$Q$3:$Q$16,$R$3:$R$16)))*$B490,-5)</f>
        <v>54600000</v>
      </c>
      <c r="L490" s="17">
        <f t="shared" si="1469"/>
        <v>152300000</v>
      </c>
      <c r="M490" s="17">
        <f t="shared" si="1469"/>
        <v>165700000</v>
      </c>
    </row>
    <row r="491">
      <c r="A491" s="14" t="s">
        <v>531</v>
      </c>
      <c r="B491" s="14">
        <v>247.0</v>
      </c>
      <c r="C491" s="15">
        <f t="shared" si="4"/>
        <v>14</v>
      </c>
      <c r="D491" s="14" t="s">
        <v>33</v>
      </c>
      <c r="E491" s="16">
        <f t="shared" ref="E491:G491" si="1470">ROUNDUP((XLOOKUP($D491,$T$3:$T$10,$U$3:$U$10)*XLOOKUP(E$2,$AA$3:$AA$5,$AB$3:$AB$5)-ABS(XLOOKUP($C491,$Q$3:$Q$16,$R$3:$R$16)))*$B491,-5)</f>
        <v>46400000</v>
      </c>
      <c r="F491" s="16">
        <f t="shared" si="1470"/>
        <v>87900000</v>
      </c>
      <c r="G491" s="16">
        <f t="shared" si="1470"/>
        <v>96500000</v>
      </c>
      <c r="H491" s="17">
        <f t="shared" ref="H491:J491" si="1471">roundup((XLOOKUP($D491,$T$3:$T$10,$U$3:$U$10)*XLOOKUP(H$2,$AA$3:$AA$5,$AC$3:$AC$5)-ABS(XLOOKUP($C491,$Q$3:$Q$16,$R$3:$R$16)))*$B491,-5)</f>
        <v>37000000</v>
      </c>
      <c r="I491" s="17">
        <f t="shared" si="1471"/>
        <v>110500000</v>
      </c>
      <c r="J491" s="17">
        <f t="shared" si="1471"/>
        <v>120600000</v>
      </c>
      <c r="K491" s="17">
        <f t="shared" ref="K491:M491" si="1472">roundup((XLOOKUP($D491,$T$3:$T$10,$U$3:$U$10)*XLOOKUP(K$2,$AA$3:$AA$5,$AD$3:$AD$5)-ABS(XLOOKUP($C491,$Q$3:$Q$16,$R$3:$R$16)))*$B491,-5)</f>
        <v>45100000</v>
      </c>
      <c r="L491" s="17">
        <f t="shared" si="1472"/>
        <v>125800000</v>
      </c>
      <c r="M491" s="17">
        <f t="shared" si="1472"/>
        <v>136900000</v>
      </c>
    </row>
    <row r="492">
      <c r="A492" s="14" t="s">
        <v>532</v>
      </c>
      <c r="B492" s="14">
        <v>151.0</v>
      </c>
      <c r="C492" s="15">
        <f t="shared" si="4"/>
        <v>11</v>
      </c>
      <c r="D492" s="14" t="s">
        <v>33</v>
      </c>
      <c r="E492" s="16">
        <f t="shared" ref="E492:G492" si="1473">ROUNDUP((XLOOKUP($D492,$T$3:$T$10,$U$3:$U$10)*XLOOKUP(E$2,$AA$3:$AA$5,$AB$3:$AB$5)-ABS(XLOOKUP($C492,$Q$3:$Q$16,$R$3:$R$16)))*$B492,-5)</f>
        <v>32800000</v>
      </c>
      <c r="F492" s="16">
        <f t="shared" si="1473"/>
        <v>58100000</v>
      </c>
      <c r="G492" s="16">
        <f t="shared" si="1473"/>
        <v>63400000</v>
      </c>
      <c r="H492" s="17">
        <f t="shared" ref="H492:J492" si="1474">roundup((XLOOKUP($D492,$T$3:$T$10,$U$3:$U$10)*XLOOKUP(H$2,$AA$3:$AA$5,$AC$3:$AC$5)-ABS(XLOOKUP($C492,$Q$3:$Q$16,$R$3:$R$16)))*$B492,-5)</f>
        <v>27000000</v>
      </c>
      <c r="I492" s="17">
        <f t="shared" si="1474"/>
        <v>72000000</v>
      </c>
      <c r="J492" s="17">
        <f t="shared" si="1474"/>
        <v>78100000</v>
      </c>
      <c r="K492" s="17">
        <f t="shared" ref="K492:M492" si="1475">roundup((XLOOKUP($D492,$T$3:$T$10,$U$3:$U$10)*XLOOKUP(K$2,$AA$3:$AA$5,$AD$3:$AD$5)-ABS(XLOOKUP($C492,$Q$3:$Q$16,$R$3:$R$16)))*$B492,-5)</f>
        <v>32000000</v>
      </c>
      <c r="L492" s="17">
        <f t="shared" si="1475"/>
        <v>81300000</v>
      </c>
      <c r="M492" s="17">
        <f t="shared" si="1475"/>
        <v>88100000</v>
      </c>
    </row>
    <row r="493">
      <c r="A493" s="14" t="s">
        <v>533</v>
      </c>
      <c r="B493" s="14">
        <v>196.0</v>
      </c>
      <c r="C493" s="15">
        <f t="shared" si="4"/>
        <v>13</v>
      </c>
      <c r="D493" s="14" t="s">
        <v>36</v>
      </c>
      <c r="E493" s="16">
        <f t="shared" ref="E493:G493" si="1476">ROUNDUP((XLOOKUP($D493,$T$3:$T$10,$U$3:$U$10)*XLOOKUP(E$2,$AA$3:$AA$5,$AB$3:$AB$5)-ABS(XLOOKUP($C493,$Q$3:$Q$16,$R$3:$R$16)))*$B493,-5)</f>
        <v>47500000</v>
      </c>
      <c r="F493" s="16">
        <f t="shared" si="1476"/>
        <v>84400000</v>
      </c>
      <c r="G493" s="16">
        <f t="shared" si="1476"/>
        <v>92100000</v>
      </c>
      <c r="H493" s="17">
        <f t="shared" ref="H493:J493" si="1477">roundup((XLOOKUP($D493,$T$3:$T$10,$U$3:$U$10)*XLOOKUP(H$2,$AA$3:$AA$5,$AC$3:$AC$5)-ABS(XLOOKUP($C493,$Q$3:$Q$16,$R$3:$R$16)))*$B493,-5)</f>
        <v>39100000</v>
      </c>
      <c r="I493" s="17">
        <f t="shared" si="1477"/>
        <v>104500000</v>
      </c>
      <c r="J493" s="17">
        <f t="shared" si="1477"/>
        <v>113500000</v>
      </c>
      <c r="K493" s="17">
        <f t="shared" ref="K493:M493" si="1478">roundup((XLOOKUP($D493,$T$3:$T$10,$U$3:$U$10)*XLOOKUP(K$2,$AA$3:$AA$5,$AD$3:$AD$5)-ABS(XLOOKUP($C493,$Q$3:$Q$16,$R$3:$R$16)))*$B493,-5)</f>
        <v>46400000</v>
      </c>
      <c r="L493" s="17">
        <f t="shared" si="1478"/>
        <v>118200000</v>
      </c>
      <c r="M493" s="17">
        <f t="shared" si="1478"/>
        <v>128000000</v>
      </c>
    </row>
    <row r="494">
      <c r="A494" s="14" t="s">
        <v>534</v>
      </c>
      <c r="B494" s="14">
        <v>64.0</v>
      </c>
      <c r="C494" s="15">
        <f t="shared" si="4"/>
        <v>9</v>
      </c>
      <c r="D494" s="14" t="s">
        <v>33</v>
      </c>
      <c r="E494" s="16">
        <f t="shared" ref="E494:G494" si="1479">ROUNDUP((XLOOKUP($D494,$T$3:$T$10,$U$3:$U$10)*XLOOKUP(E$2,$AA$3:$AA$5,$AB$3:$AB$5)-ABS(XLOOKUP($C494,$Q$3:$Q$16,$R$3:$R$16)))*$B494,-5)</f>
        <v>19700000</v>
      </c>
      <c r="F494" s="16">
        <f t="shared" si="1479"/>
        <v>30500000</v>
      </c>
      <c r="G494" s="16">
        <f t="shared" si="1479"/>
        <v>32700000</v>
      </c>
      <c r="H494" s="17">
        <f t="shared" ref="H494:J494" si="1480">roundup((XLOOKUP($D494,$T$3:$T$10,$U$3:$U$10)*XLOOKUP(H$2,$AA$3:$AA$5,$AC$3:$AC$5)-ABS(XLOOKUP($C494,$Q$3:$Q$16,$R$3:$R$16)))*$B494,-5)</f>
        <v>17300000</v>
      </c>
      <c r="I494" s="17">
        <f t="shared" si="1480"/>
        <v>36400000</v>
      </c>
      <c r="J494" s="17">
        <f t="shared" si="1480"/>
        <v>39000000</v>
      </c>
      <c r="K494" s="17">
        <f t="shared" ref="K494:M494" si="1481">roundup((XLOOKUP($D494,$T$3:$T$10,$U$3:$U$10)*XLOOKUP(K$2,$AA$3:$AA$5,$AD$3:$AD$5)-ABS(XLOOKUP($C494,$Q$3:$Q$16,$R$3:$R$16)))*$B494,-5)</f>
        <v>19400000</v>
      </c>
      <c r="L494" s="17">
        <f t="shared" si="1481"/>
        <v>40300000</v>
      </c>
      <c r="M494" s="17">
        <f t="shared" si="1481"/>
        <v>43200000</v>
      </c>
    </row>
    <row r="495">
      <c r="A495" s="14" t="s">
        <v>535</v>
      </c>
      <c r="B495" s="14">
        <v>222.0</v>
      </c>
      <c r="C495" s="15">
        <f t="shared" si="4"/>
        <v>14</v>
      </c>
      <c r="D495" s="14" t="s">
        <v>33</v>
      </c>
      <c r="E495" s="16">
        <f t="shared" ref="E495:G495" si="1482">ROUNDUP((XLOOKUP($D495,$T$3:$T$10,$U$3:$U$10)*XLOOKUP(E$2,$AA$3:$AA$5,$AB$3:$AB$5)-ABS(XLOOKUP($C495,$Q$3:$Q$16,$R$3:$R$16)))*$B495,-5)</f>
        <v>41700000</v>
      </c>
      <c r="F495" s="16">
        <f t="shared" si="1482"/>
        <v>79000000</v>
      </c>
      <c r="G495" s="16">
        <f t="shared" si="1482"/>
        <v>86700000</v>
      </c>
      <c r="H495" s="17">
        <f t="shared" ref="H495:J495" si="1483">roundup((XLOOKUP($D495,$T$3:$T$10,$U$3:$U$10)*XLOOKUP(H$2,$AA$3:$AA$5,$AC$3:$AC$5)-ABS(XLOOKUP($C495,$Q$3:$Q$16,$R$3:$R$16)))*$B495,-5)</f>
        <v>33200000</v>
      </c>
      <c r="I495" s="17">
        <f t="shared" si="1483"/>
        <v>99300000</v>
      </c>
      <c r="J495" s="17">
        <f t="shared" si="1483"/>
        <v>108400000</v>
      </c>
      <c r="K495" s="17">
        <f t="shared" ref="K495:M495" si="1484">roundup((XLOOKUP($D495,$T$3:$T$10,$U$3:$U$10)*XLOOKUP(K$2,$AA$3:$AA$5,$AD$3:$AD$5)-ABS(XLOOKUP($C495,$Q$3:$Q$16,$R$3:$R$16)))*$B495,-5)</f>
        <v>40600000</v>
      </c>
      <c r="L495" s="17">
        <f t="shared" si="1484"/>
        <v>113100000</v>
      </c>
      <c r="M495" s="17">
        <f t="shared" si="1484"/>
        <v>123000000</v>
      </c>
    </row>
    <row r="496">
      <c r="A496" s="14" t="s">
        <v>536</v>
      </c>
      <c r="B496" s="14">
        <v>689.0</v>
      </c>
      <c r="C496" s="15">
        <f t="shared" si="4"/>
        <v>14</v>
      </c>
      <c r="D496" s="14" t="s">
        <v>36</v>
      </c>
      <c r="E496" s="16">
        <f t="shared" ref="E496:G496" si="1485">ROUNDUP((XLOOKUP($D496,$T$3:$T$10,$U$3:$U$10)*XLOOKUP(E$2,$AA$3:$AA$5,$AB$3:$AB$5)-ABS(XLOOKUP($C496,$Q$3:$Q$16,$R$3:$R$16)))*$B496,-5)</f>
        <v>160700000</v>
      </c>
      <c r="F496" s="16">
        <f t="shared" si="1485"/>
        <v>290500000</v>
      </c>
      <c r="G496" s="16">
        <f t="shared" si="1485"/>
        <v>317300000</v>
      </c>
      <c r="H496" s="17">
        <f t="shared" ref="H496:J496" si="1486">roundup((XLOOKUP($D496,$T$3:$T$10,$U$3:$U$10)*XLOOKUP(H$2,$AA$3:$AA$5,$AC$3:$AC$5)-ABS(XLOOKUP($C496,$Q$3:$Q$16,$R$3:$R$16)))*$B496,-5)</f>
        <v>131200000</v>
      </c>
      <c r="I496" s="17">
        <f t="shared" si="1486"/>
        <v>361200000</v>
      </c>
      <c r="J496" s="17">
        <f t="shared" si="1486"/>
        <v>392500000</v>
      </c>
      <c r="K496" s="17">
        <f t="shared" ref="K496:M496" si="1487">roundup((XLOOKUP($D496,$T$3:$T$10,$U$3:$U$10)*XLOOKUP(K$2,$AA$3:$AA$5,$AD$3:$AD$5)-ABS(XLOOKUP($C496,$Q$3:$Q$16,$R$3:$R$16)))*$B496,-5)</f>
        <v>156700000</v>
      </c>
      <c r="L496" s="17">
        <f t="shared" si="1487"/>
        <v>409100000</v>
      </c>
      <c r="M496" s="17">
        <f t="shared" si="1487"/>
        <v>443500000</v>
      </c>
    </row>
    <row r="497">
      <c r="A497" s="14" t="s">
        <v>537</v>
      </c>
      <c r="B497" s="14">
        <v>207.0</v>
      </c>
      <c r="C497" s="15">
        <f t="shared" si="4"/>
        <v>13</v>
      </c>
      <c r="D497" s="14" t="s">
        <v>538</v>
      </c>
      <c r="E497" s="16" t="str">
        <f t="shared" ref="E497:G497" si="1488">ROUNDUP((XLOOKUP($D497,$T$3:$T$10,$U$3:$U$10)*XLOOKUP(E$2,$AA$3:$AA$5,$AB$3:$AB$5)-ABS(XLOOKUP($C497,$Q$3:$Q$16,$R$3:$R$16)))*$B497,-5)</f>
        <v>#N/A</v>
      </c>
      <c r="F497" s="16" t="str">
        <f t="shared" si="1488"/>
        <v>#N/A</v>
      </c>
      <c r="G497" s="16" t="str">
        <f t="shared" si="1488"/>
        <v>#N/A</v>
      </c>
      <c r="H497" s="17" t="str">
        <f t="shared" ref="H497:J497" si="1489">roundup((XLOOKUP($D497,$T$3:$T$10,$U$3:$U$10)*XLOOKUP(H$2,$AA$3:$AA$5,$AC$3:$AC$5)-ABS(XLOOKUP($C497,$Q$3:$Q$16,$R$3:$R$16)))*$B497,-5)</f>
        <v>#N/A</v>
      </c>
      <c r="I497" s="17" t="str">
        <f t="shared" si="1489"/>
        <v>#N/A</v>
      </c>
      <c r="J497" s="17" t="str">
        <f t="shared" si="1489"/>
        <v>#N/A</v>
      </c>
      <c r="K497" s="17" t="str">
        <f t="shared" ref="K497:M497" si="1490">roundup((XLOOKUP($D497,$T$3:$T$10,$U$3:$U$10)*XLOOKUP(K$2,$AA$3:$AA$5,$AD$3:$AD$5)-ABS(XLOOKUP($C497,$Q$3:$Q$16,$R$3:$R$16)))*$B497,-5)</f>
        <v>#N/A</v>
      </c>
      <c r="L497" s="17" t="str">
        <f t="shared" si="1490"/>
        <v>#N/A</v>
      </c>
      <c r="M497" s="17" t="str">
        <f t="shared" si="1490"/>
        <v>#N/A</v>
      </c>
    </row>
    <row r="498">
      <c r="A498" s="14" t="s">
        <v>539</v>
      </c>
      <c r="B498" s="14">
        <v>178.0</v>
      </c>
      <c r="C498" s="15">
        <f t="shared" si="4"/>
        <v>12</v>
      </c>
      <c r="D498" s="14" t="s">
        <v>36</v>
      </c>
      <c r="E498" s="16">
        <f t="shared" ref="E498:G498" si="1491">ROUNDUP((XLOOKUP($D498,$T$3:$T$10,$U$3:$U$10)*XLOOKUP(E$2,$AA$3:$AA$5,$AB$3:$AB$5)-ABS(XLOOKUP($C498,$Q$3:$Q$16,$R$3:$R$16)))*$B498,-5)</f>
        <v>45800000</v>
      </c>
      <c r="F498" s="16">
        <f t="shared" si="1491"/>
        <v>79400000</v>
      </c>
      <c r="G498" s="16">
        <f t="shared" si="1491"/>
        <v>86300000</v>
      </c>
      <c r="H498" s="17">
        <f t="shared" ref="H498:J498" si="1492">roundup((XLOOKUP($D498,$T$3:$T$10,$U$3:$U$10)*XLOOKUP(H$2,$AA$3:$AA$5,$AC$3:$AC$5)-ABS(XLOOKUP($C498,$Q$3:$Q$16,$R$3:$R$16)))*$B498,-5)</f>
        <v>38200000</v>
      </c>
      <c r="I498" s="17">
        <f t="shared" si="1492"/>
        <v>97600000</v>
      </c>
      <c r="J498" s="17">
        <f t="shared" si="1492"/>
        <v>105700000</v>
      </c>
      <c r="K498" s="17">
        <f t="shared" ref="K498:M498" si="1493">roundup((XLOOKUP($D498,$T$3:$T$10,$U$3:$U$10)*XLOOKUP(K$2,$AA$3:$AA$5,$AD$3:$AD$5)-ABS(XLOOKUP($C498,$Q$3:$Q$16,$R$3:$R$16)))*$B498,-5)</f>
        <v>44800000</v>
      </c>
      <c r="L498" s="17">
        <f t="shared" si="1493"/>
        <v>110000000</v>
      </c>
      <c r="M498" s="17">
        <f t="shared" si="1493"/>
        <v>118900000</v>
      </c>
    </row>
    <row r="499">
      <c r="A499" s="14" t="s">
        <v>540</v>
      </c>
      <c r="B499" s="14">
        <v>120.0</v>
      </c>
      <c r="C499" s="15">
        <f t="shared" si="4"/>
        <v>11</v>
      </c>
      <c r="D499" s="14" t="s">
        <v>36</v>
      </c>
      <c r="E499" s="16">
        <f t="shared" ref="E499:G499" si="1494">ROUNDUP((XLOOKUP($D499,$T$3:$T$10,$U$3:$U$10)*XLOOKUP(E$2,$AA$3:$AA$5,$AB$3:$AB$5)-ABS(XLOOKUP($C499,$Q$3:$Q$16,$R$3:$R$16)))*$B499,-5)</f>
        <v>31500000</v>
      </c>
      <c r="F499" s="16">
        <f t="shared" si="1494"/>
        <v>54100000</v>
      </c>
      <c r="G499" s="16">
        <f t="shared" si="1494"/>
        <v>58800000</v>
      </c>
      <c r="H499" s="17">
        <f t="shared" ref="H499:J499" si="1495">roundup((XLOOKUP($D499,$T$3:$T$10,$U$3:$U$10)*XLOOKUP(H$2,$AA$3:$AA$5,$AC$3:$AC$5)-ABS(XLOOKUP($C499,$Q$3:$Q$16,$R$3:$R$16)))*$B499,-5)</f>
        <v>26400000</v>
      </c>
      <c r="I499" s="17">
        <f t="shared" si="1495"/>
        <v>66400000</v>
      </c>
      <c r="J499" s="17">
        <f t="shared" si="1495"/>
        <v>71900000</v>
      </c>
      <c r="K499" s="17">
        <f t="shared" ref="K499:M499" si="1496">roundup((XLOOKUP($D499,$T$3:$T$10,$U$3:$U$10)*XLOOKUP(K$2,$AA$3:$AA$5,$AD$3:$AD$5)-ABS(XLOOKUP($C499,$Q$3:$Q$16,$R$3:$R$16)))*$B499,-5)</f>
        <v>30800000</v>
      </c>
      <c r="L499" s="17">
        <f t="shared" si="1496"/>
        <v>74800000</v>
      </c>
      <c r="M499" s="17">
        <f t="shared" si="1496"/>
        <v>80800000</v>
      </c>
    </row>
    <row r="500">
      <c r="A500" s="14" t="s">
        <v>541</v>
      </c>
      <c r="B500" s="14">
        <v>125.0</v>
      </c>
      <c r="C500" s="15">
        <f t="shared" si="4"/>
        <v>11</v>
      </c>
      <c r="D500" s="14" t="s">
        <v>36</v>
      </c>
      <c r="E500" s="16">
        <f t="shared" ref="E500:G500" si="1497">ROUNDUP((XLOOKUP($D500,$T$3:$T$10,$U$3:$U$10)*XLOOKUP(E$2,$AA$3:$AA$5,$AB$3:$AB$5)-ABS(XLOOKUP($C500,$Q$3:$Q$16,$R$3:$R$16)))*$B500,-5)</f>
        <v>32800000</v>
      </c>
      <c r="F500" s="16">
        <f t="shared" si="1497"/>
        <v>56400000</v>
      </c>
      <c r="G500" s="16">
        <f t="shared" si="1497"/>
        <v>61200000</v>
      </c>
      <c r="H500" s="17">
        <f t="shared" ref="H500:J500" si="1498">roundup((XLOOKUP($D500,$T$3:$T$10,$U$3:$U$10)*XLOOKUP(H$2,$AA$3:$AA$5,$AC$3:$AC$5)-ABS(XLOOKUP($C500,$Q$3:$Q$16,$R$3:$R$16)))*$B500,-5)</f>
        <v>27500000</v>
      </c>
      <c r="I500" s="17">
        <f t="shared" si="1498"/>
        <v>69200000</v>
      </c>
      <c r="J500" s="17">
        <f t="shared" si="1498"/>
        <v>74900000</v>
      </c>
      <c r="K500" s="17">
        <f t="shared" ref="K500:M500" si="1499">roundup((XLOOKUP($D500,$T$3:$T$10,$U$3:$U$10)*XLOOKUP(K$2,$AA$3:$AA$5,$AD$3:$AD$5)-ABS(XLOOKUP($C500,$Q$3:$Q$16,$R$3:$R$16)))*$B500,-5)</f>
        <v>32100000</v>
      </c>
      <c r="L500" s="17">
        <f t="shared" si="1499"/>
        <v>77900000</v>
      </c>
      <c r="M500" s="17">
        <f t="shared" si="1499"/>
        <v>84100000</v>
      </c>
    </row>
    <row r="501">
      <c r="A501" s="14" t="s">
        <v>542</v>
      </c>
      <c r="B501" s="14">
        <v>131.0</v>
      </c>
      <c r="C501" s="15">
        <f t="shared" si="4"/>
        <v>11</v>
      </c>
      <c r="D501" s="14" t="s">
        <v>36</v>
      </c>
      <c r="E501" s="16">
        <f t="shared" ref="E501:G501" si="1500">ROUNDUP((XLOOKUP($D501,$T$3:$T$10,$U$3:$U$10)*XLOOKUP(E$2,$AA$3:$AA$5,$AB$3:$AB$5)-ABS(XLOOKUP($C501,$Q$3:$Q$16,$R$3:$R$16)))*$B501,-5)</f>
        <v>34400000</v>
      </c>
      <c r="F501" s="16">
        <f t="shared" si="1500"/>
        <v>59100000</v>
      </c>
      <c r="G501" s="16">
        <f t="shared" si="1500"/>
        <v>64200000</v>
      </c>
      <c r="H501" s="17">
        <f t="shared" ref="H501:J501" si="1501">roundup((XLOOKUP($D501,$T$3:$T$10,$U$3:$U$10)*XLOOKUP(H$2,$AA$3:$AA$5,$AC$3:$AC$5)-ABS(XLOOKUP($C501,$Q$3:$Q$16,$R$3:$R$16)))*$B501,-5)</f>
        <v>28800000</v>
      </c>
      <c r="I501" s="17">
        <f t="shared" si="1501"/>
        <v>72500000</v>
      </c>
      <c r="J501" s="17">
        <f t="shared" si="1501"/>
        <v>78500000</v>
      </c>
      <c r="K501" s="17">
        <f t="shared" ref="K501:M501" si="1502">roundup((XLOOKUP($D501,$T$3:$T$10,$U$3:$U$10)*XLOOKUP(K$2,$AA$3:$AA$5,$AD$3:$AD$5)-ABS(XLOOKUP($C501,$Q$3:$Q$16,$R$3:$R$16)))*$B501,-5)</f>
        <v>33600000</v>
      </c>
      <c r="L501" s="17">
        <f t="shared" si="1502"/>
        <v>81600000</v>
      </c>
      <c r="M501" s="17">
        <f t="shared" si="1502"/>
        <v>88200000</v>
      </c>
    </row>
    <row r="502">
      <c r="A502" s="14" t="s">
        <v>543</v>
      </c>
      <c r="B502" s="14">
        <v>188.0</v>
      </c>
      <c r="C502" s="15">
        <f t="shared" si="4"/>
        <v>13</v>
      </c>
      <c r="D502" s="14" t="s">
        <v>36</v>
      </c>
      <c r="E502" s="16">
        <f t="shared" ref="E502:G502" si="1503">ROUNDUP((XLOOKUP($D502,$T$3:$T$10,$U$3:$U$10)*XLOOKUP(E$2,$AA$3:$AA$5,$AB$3:$AB$5)-ABS(XLOOKUP($C502,$Q$3:$Q$16,$R$3:$R$16)))*$B502,-5)</f>
        <v>45600000</v>
      </c>
      <c r="F502" s="16">
        <f t="shared" si="1503"/>
        <v>81000000</v>
      </c>
      <c r="G502" s="16">
        <f t="shared" si="1503"/>
        <v>88300000</v>
      </c>
      <c r="H502" s="17">
        <f t="shared" ref="H502:J502" si="1504">roundup((XLOOKUP($D502,$T$3:$T$10,$U$3:$U$10)*XLOOKUP(H$2,$AA$3:$AA$5,$AC$3:$AC$5)-ABS(XLOOKUP($C502,$Q$3:$Q$16,$R$3:$R$16)))*$B502,-5)</f>
        <v>37500000</v>
      </c>
      <c r="I502" s="17">
        <f t="shared" si="1504"/>
        <v>100300000</v>
      </c>
      <c r="J502" s="17">
        <f t="shared" si="1504"/>
        <v>108800000</v>
      </c>
      <c r="K502" s="17">
        <f t="shared" ref="K502:M502" si="1505">roundup((XLOOKUP($D502,$T$3:$T$10,$U$3:$U$10)*XLOOKUP(K$2,$AA$3:$AA$5,$AD$3:$AD$5)-ABS(XLOOKUP($C502,$Q$3:$Q$16,$R$3:$R$16)))*$B502,-5)</f>
        <v>44500000</v>
      </c>
      <c r="L502" s="17">
        <f t="shared" si="1505"/>
        <v>113300000</v>
      </c>
      <c r="M502" s="17">
        <f t="shared" si="1505"/>
        <v>122700000</v>
      </c>
    </row>
    <row r="503">
      <c r="A503" s="14" t="s">
        <v>544</v>
      </c>
      <c r="B503" s="14">
        <v>120.0</v>
      </c>
      <c r="C503" s="15">
        <f t="shared" si="4"/>
        <v>11</v>
      </c>
      <c r="D503" s="14" t="s">
        <v>36</v>
      </c>
      <c r="E503" s="16">
        <f t="shared" ref="E503:G503" si="1506">ROUNDUP((XLOOKUP($D503,$T$3:$T$10,$U$3:$U$10)*XLOOKUP(E$2,$AA$3:$AA$5,$AB$3:$AB$5)-ABS(XLOOKUP($C503,$Q$3:$Q$16,$R$3:$R$16)))*$B503,-5)</f>
        <v>31500000</v>
      </c>
      <c r="F503" s="16">
        <f t="shared" si="1506"/>
        <v>54100000</v>
      </c>
      <c r="G503" s="16">
        <f t="shared" si="1506"/>
        <v>58800000</v>
      </c>
      <c r="H503" s="17">
        <f t="shared" ref="H503:J503" si="1507">roundup((XLOOKUP($D503,$T$3:$T$10,$U$3:$U$10)*XLOOKUP(H$2,$AA$3:$AA$5,$AC$3:$AC$5)-ABS(XLOOKUP($C503,$Q$3:$Q$16,$R$3:$R$16)))*$B503,-5)</f>
        <v>26400000</v>
      </c>
      <c r="I503" s="17">
        <f t="shared" si="1507"/>
        <v>66400000</v>
      </c>
      <c r="J503" s="17">
        <f t="shared" si="1507"/>
        <v>71900000</v>
      </c>
      <c r="K503" s="17">
        <f t="shared" ref="K503:M503" si="1508">roundup((XLOOKUP($D503,$T$3:$T$10,$U$3:$U$10)*XLOOKUP(K$2,$AA$3:$AA$5,$AD$3:$AD$5)-ABS(XLOOKUP($C503,$Q$3:$Q$16,$R$3:$R$16)))*$B503,-5)</f>
        <v>30800000</v>
      </c>
      <c r="L503" s="17">
        <f t="shared" si="1508"/>
        <v>74800000</v>
      </c>
      <c r="M503" s="17">
        <f t="shared" si="1508"/>
        <v>80800000</v>
      </c>
    </row>
    <row r="504">
      <c r="A504" s="14" t="s">
        <v>545</v>
      </c>
      <c r="B504" s="14">
        <v>116.0</v>
      </c>
      <c r="C504" s="15">
        <f t="shared" si="4"/>
        <v>11</v>
      </c>
      <c r="D504" s="14" t="s">
        <v>36</v>
      </c>
      <c r="E504" s="16">
        <f t="shared" ref="E504:G504" si="1509">ROUNDUP((XLOOKUP($D504,$T$3:$T$10,$U$3:$U$10)*XLOOKUP(E$2,$AA$3:$AA$5,$AB$3:$AB$5)-ABS(XLOOKUP($C504,$Q$3:$Q$16,$R$3:$R$16)))*$B504,-5)</f>
        <v>30500000</v>
      </c>
      <c r="F504" s="16">
        <f t="shared" si="1509"/>
        <v>52300000</v>
      </c>
      <c r="G504" s="16">
        <f t="shared" si="1509"/>
        <v>56800000</v>
      </c>
      <c r="H504" s="17">
        <f t="shared" ref="H504:J504" si="1510">roundup((XLOOKUP($D504,$T$3:$T$10,$U$3:$U$10)*XLOOKUP(H$2,$AA$3:$AA$5,$AC$3:$AC$5)-ABS(XLOOKUP($C504,$Q$3:$Q$16,$R$3:$R$16)))*$B504,-5)</f>
        <v>25500000</v>
      </c>
      <c r="I504" s="17">
        <f t="shared" si="1510"/>
        <v>64200000</v>
      </c>
      <c r="J504" s="17">
        <f t="shared" si="1510"/>
        <v>69500000</v>
      </c>
      <c r="K504" s="17">
        <f t="shared" ref="K504:M504" si="1511">roundup((XLOOKUP($D504,$T$3:$T$10,$U$3:$U$10)*XLOOKUP(K$2,$AA$3:$AA$5,$AD$3:$AD$5)-ABS(XLOOKUP($C504,$Q$3:$Q$16,$R$3:$R$16)))*$B504,-5)</f>
        <v>29800000</v>
      </c>
      <c r="L504" s="17">
        <f t="shared" si="1511"/>
        <v>72300000</v>
      </c>
      <c r="M504" s="17">
        <f t="shared" si="1511"/>
        <v>78100000</v>
      </c>
    </row>
    <row r="505">
      <c r="A505" s="14" t="s">
        <v>546</v>
      </c>
      <c r="B505" s="14">
        <v>116.0</v>
      </c>
      <c r="C505" s="15">
        <f t="shared" si="4"/>
        <v>11</v>
      </c>
      <c r="D505" s="14" t="s">
        <v>33</v>
      </c>
      <c r="E505" s="16">
        <f t="shared" ref="E505:G505" si="1512">ROUNDUP((XLOOKUP($D505,$T$3:$T$10,$U$3:$U$10)*XLOOKUP(E$2,$AA$3:$AA$5,$AB$3:$AB$5)-ABS(XLOOKUP($C505,$Q$3:$Q$16,$R$3:$R$16)))*$B505,-5)</f>
        <v>25200000</v>
      </c>
      <c r="F505" s="16">
        <f t="shared" si="1512"/>
        <v>44700000</v>
      </c>
      <c r="G505" s="16">
        <f t="shared" si="1512"/>
        <v>48700000</v>
      </c>
      <c r="H505" s="17">
        <f t="shared" ref="H505:J505" si="1513">roundup((XLOOKUP($D505,$T$3:$T$10,$U$3:$U$10)*XLOOKUP(H$2,$AA$3:$AA$5,$AC$3:$AC$5)-ABS(XLOOKUP($C505,$Q$3:$Q$16,$R$3:$R$16)))*$B505,-5)</f>
        <v>20700000</v>
      </c>
      <c r="I505" s="17">
        <f t="shared" si="1513"/>
        <v>55300000</v>
      </c>
      <c r="J505" s="17">
        <f t="shared" si="1513"/>
        <v>60000000</v>
      </c>
      <c r="K505" s="17">
        <f t="shared" ref="K505:M505" si="1514">roundup((XLOOKUP($D505,$T$3:$T$10,$U$3:$U$10)*XLOOKUP(K$2,$AA$3:$AA$5,$AD$3:$AD$5)-ABS(XLOOKUP($C505,$Q$3:$Q$16,$R$3:$R$16)))*$B505,-5)</f>
        <v>24600000</v>
      </c>
      <c r="L505" s="17">
        <f t="shared" si="1514"/>
        <v>62500000</v>
      </c>
      <c r="M505" s="17">
        <f t="shared" si="1514"/>
        <v>67700000</v>
      </c>
    </row>
    <row r="506">
      <c r="A506" s="14" t="s">
        <v>547</v>
      </c>
      <c r="B506" s="14">
        <v>82.0</v>
      </c>
      <c r="C506" s="15">
        <f t="shared" si="4"/>
        <v>11</v>
      </c>
      <c r="D506" s="14" t="s">
        <v>36</v>
      </c>
      <c r="E506" s="16">
        <f t="shared" ref="E506:G506" si="1515">ROUNDUP((XLOOKUP($D506,$T$3:$T$10,$U$3:$U$10)*XLOOKUP(E$2,$AA$3:$AA$5,$AB$3:$AB$5)-ABS(XLOOKUP($C506,$Q$3:$Q$16,$R$3:$R$16)))*$B506,-5)</f>
        <v>21500000</v>
      </c>
      <c r="F506" s="16">
        <f t="shared" si="1515"/>
        <v>37000000</v>
      </c>
      <c r="G506" s="16">
        <f t="shared" si="1515"/>
        <v>40200000</v>
      </c>
      <c r="H506" s="17">
        <f t="shared" ref="H506:J506" si="1516">roundup((XLOOKUP($D506,$T$3:$T$10,$U$3:$U$10)*XLOOKUP(H$2,$AA$3:$AA$5,$AC$3:$AC$5)-ABS(XLOOKUP($C506,$Q$3:$Q$16,$R$3:$R$16)))*$B506,-5)</f>
        <v>18000000</v>
      </c>
      <c r="I506" s="17">
        <f t="shared" si="1516"/>
        <v>45400000</v>
      </c>
      <c r="J506" s="17">
        <f t="shared" si="1516"/>
        <v>49100000</v>
      </c>
      <c r="K506" s="17">
        <f t="shared" ref="K506:M506" si="1517">roundup((XLOOKUP($D506,$T$3:$T$10,$U$3:$U$10)*XLOOKUP(K$2,$AA$3:$AA$5,$AD$3:$AD$5)-ABS(XLOOKUP($C506,$Q$3:$Q$16,$R$3:$R$16)))*$B506,-5)</f>
        <v>21100000</v>
      </c>
      <c r="L506" s="17">
        <f t="shared" si="1517"/>
        <v>51100000</v>
      </c>
      <c r="M506" s="17">
        <f t="shared" si="1517"/>
        <v>55200000</v>
      </c>
    </row>
    <row r="507">
      <c r="A507" s="14" t="s">
        <v>548</v>
      </c>
      <c r="B507" s="14">
        <v>89.0</v>
      </c>
      <c r="C507" s="15">
        <f t="shared" si="4"/>
        <v>11</v>
      </c>
      <c r="D507" s="14" t="s">
        <v>33</v>
      </c>
      <c r="E507" s="16">
        <f t="shared" ref="E507:G507" si="1518">ROUNDUP((XLOOKUP($D507,$T$3:$T$10,$U$3:$U$10)*XLOOKUP(E$2,$AA$3:$AA$5,$AB$3:$AB$5)-ABS(XLOOKUP($C507,$Q$3:$Q$16,$R$3:$R$16)))*$B507,-5)</f>
        <v>19300000</v>
      </c>
      <c r="F507" s="16">
        <f t="shared" si="1518"/>
        <v>34300000</v>
      </c>
      <c r="G507" s="16">
        <f t="shared" si="1518"/>
        <v>37400000</v>
      </c>
      <c r="H507" s="17">
        <f t="shared" ref="H507:J507" si="1519">roundup((XLOOKUP($D507,$T$3:$T$10,$U$3:$U$10)*XLOOKUP(H$2,$AA$3:$AA$5,$AC$3:$AC$5)-ABS(XLOOKUP($C507,$Q$3:$Q$16,$R$3:$R$16)))*$B507,-5)</f>
        <v>15900000</v>
      </c>
      <c r="I507" s="17">
        <f t="shared" si="1519"/>
        <v>42400000</v>
      </c>
      <c r="J507" s="17">
        <f t="shared" si="1519"/>
        <v>46100000</v>
      </c>
      <c r="K507" s="17">
        <f t="shared" ref="K507:M507" si="1520">roundup((XLOOKUP($D507,$T$3:$T$10,$U$3:$U$10)*XLOOKUP(K$2,$AA$3:$AA$5,$AD$3:$AD$5)-ABS(XLOOKUP($C507,$Q$3:$Q$16,$R$3:$R$16)))*$B507,-5)</f>
        <v>18900000</v>
      </c>
      <c r="L507" s="17">
        <f t="shared" si="1520"/>
        <v>48000000</v>
      </c>
      <c r="M507" s="17">
        <f t="shared" si="1520"/>
        <v>51900000</v>
      </c>
    </row>
    <row r="508">
      <c r="A508" s="14" t="s">
        <v>549</v>
      </c>
      <c r="B508" s="14">
        <v>75.0</v>
      </c>
      <c r="C508" s="15">
        <f t="shared" si="4"/>
        <v>9</v>
      </c>
      <c r="D508" s="14" t="s">
        <v>33</v>
      </c>
      <c r="E508" s="16">
        <f t="shared" ref="E508:G508" si="1521">ROUNDUP((XLOOKUP($D508,$T$3:$T$10,$U$3:$U$10)*XLOOKUP(E$2,$AA$3:$AA$5,$AB$3:$AB$5)-ABS(XLOOKUP($C508,$Q$3:$Q$16,$R$3:$R$16)))*$B508,-5)</f>
        <v>23100000</v>
      </c>
      <c r="F508" s="16">
        <f t="shared" si="1521"/>
        <v>35700000</v>
      </c>
      <c r="G508" s="16">
        <f t="shared" si="1521"/>
        <v>38300000</v>
      </c>
      <c r="H508" s="17">
        <f t="shared" ref="H508:J508" si="1522">roundup((XLOOKUP($D508,$T$3:$T$10,$U$3:$U$10)*XLOOKUP(H$2,$AA$3:$AA$5,$AC$3:$AC$5)-ABS(XLOOKUP($C508,$Q$3:$Q$16,$R$3:$R$16)))*$B508,-5)</f>
        <v>20300000</v>
      </c>
      <c r="I508" s="17">
        <f t="shared" si="1522"/>
        <v>42600000</v>
      </c>
      <c r="J508" s="17">
        <f t="shared" si="1522"/>
        <v>45600000</v>
      </c>
      <c r="K508" s="17">
        <f t="shared" ref="K508:M508" si="1523">roundup((XLOOKUP($D508,$T$3:$T$10,$U$3:$U$10)*XLOOKUP(K$2,$AA$3:$AA$5,$AD$3:$AD$5)-ABS(XLOOKUP($C508,$Q$3:$Q$16,$R$3:$R$16)))*$B508,-5)</f>
        <v>22700000</v>
      </c>
      <c r="L508" s="17">
        <f t="shared" si="1523"/>
        <v>47200000</v>
      </c>
      <c r="M508" s="17">
        <f t="shared" si="1523"/>
        <v>50600000</v>
      </c>
    </row>
    <row r="509">
      <c r="A509" s="14" t="s">
        <v>550</v>
      </c>
      <c r="B509" s="14">
        <v>138.0</v>
      </c>
      <c r="C509" s="15">
        <f t="shared" si="4"/>
        <v>11</v>
      </c>
      <c r="D509" s="14" t="s">
        <v>33</v>
      </c>
      <c r="E509" s="16">
        <f t="shared" ref="E509:G509" si="1524">ROUNDUP((XLOOKUP($D509,$T$3:$T$10,$U$3:$U$10)*XLOOKUP(E$2,$AA$3:$AA$5,$AB$3:$AB$5)-ABS(XLOOKUP($C509,$Q$3:$Q$16,$R$3:$R$16)))*$B509,-5)</f>
        <v>30000000</v>
      </c>
      <c r="F509" s="16">
        <f t="shared" si="1524"/>
        <v>53100000</v>
      </c>
      <c r="G509" s="16">
        <f t="shared" si="1524"/>
        <v>57900000</v>
      </c>
      <c r="H509" s="17">
        <f t="shared" ref="H509:J509" si="1525">roundup((XLOOKUP($D509,$T$3:$T$10,$U$3:$U$10)*XLOOKUP(H$2,$AA$3:$AA$5,$AC$3:$AC$5)-ABS(XLOOKUP($C509,$Q$3:$Q$16,$R$3:$R$16)))*$B509,-5)</f>
        <v>24700000</v>
      </c>
      <c r="I509" s="17">
        <f t="shared" si="1525"/>
        <v>65800000</v>
      </c>
      <c r="J509" s="17">
        <f t="shared" si="1525"/>
        <v>71400000</v>
      </c>
      <c r="K509" s="17">
        <f t="shared" ref="K509:M509" si="1526">roundup((XLOOKUP($D509,$T$3:$T$10,$U$3:$U$10)*XLOOKUP(K$2,$AA$3:$AA$5,$AD$3:$AD$5)-ABS(XLOOKUP($C509,$Q$3:$Q$16,$R$3:$R$16)))*$B509,-5)</f>
        <v>29200000</v>
      </c>
      <c r="L509" s="17">
        <f t="shared" si="1526"/>
        <v>74300000</v>
      </c>
      <c r="M509" s="17">
        <f t="shared" si="1526"/>
        <v>80500000</v>
      </c>
    </row>
    <row r="510">
      <c r="A510" s="14" t="s">
        <v>551</v>
      </c>
      <c r="B510" s="14">
        <v>112.0</v>
      </c>
      <c r="C510" s="15">
        <f t="shared" si="4"/>
        <v>11</v>
      </c>
      <c r="D510" s="14" t="s">
        <v>36</v>
      </c>
      <c r="E510" s="16">
        <f t="shared" ref="E510:G510" si="1527">ROUNDUP((XLOOKUP($D510,$T$3:$T$10,$U$3:$U$10)*XLOOKUP(E$2,$AA$3:$AA$5,$AB$3:$AB$5)-ABS(XLOOKUP($C510,$Q$3:$Q$16,$R$3:$R$16)))*$B510,-5)</f>
        <v>29400000</v>
      </c>
      <c r="F510" s="16">
        <f t="shared" si="1527"/>
        <v>50500000</v>
      </c>
      <c r="G510" s="16">
        <f t="shared" si="1527"/>
        <v>54900000</v>
      </c>
      <c r="H510" s="17">
        <f t="shared" ref="H510:J510" si="1528">roundup((XLOOKUP($D510,$T$3:$T$10,$U$3:$U$10)*XLOOKUP(H$2,$AA$3:$AA$5,$AC$3:$AC$5)-ABS(XLOOKUP($C510,$Q$3:$Q$16,$R$3:$R$16)))*$B510,-5)</f>
        <v>24600000</v>
      </c>
      <c r="I510" s="17">
        <f t="shared" si="1528"/>
        <v>62000000</v>
      </c>
      <c r="J510" s="17">
        <f t="shared" si="1528"/>
        <v>67100000</v>
      </c>
      <c r="K510" s="17">
        <f t="shared" ref="K510:M510" si="1529">roundup((XLOOKUP($D510,$T$3:$T$10,$U$3:$U$10)*XLOOKUP(K$2,$AA$3:$AA$5,$AD$3:$AD$5)-ABS(XLOOKUP($C510,$Q$3:$Q$16,$R$3:$R$16)))*$B510,-5)</f>
        <v>28800000</v>
      </c>
      <c r="L510" s="17">
        <f t="shared" si="1529"/>
        <v>69800000</v>
      </c>
      <c r="M510" s="17">
        <f t="shared" si="1529"/>
        <v>75400000</v>
      </c>
    </row>
    <row r="511">
      <c r="A511" s="14" t="s">
        <v>552</v>
      </c>
      <c r="B511" s="14">
        <v>86.0</v>
      </c>
      <c r="C511" s="15">
        <f t="shared" si="4"/>
        <v>11</v>
      </c>
      <c r="D511" s="14" t="s">
        <v>33</v>
      </c>
      <c r="E511" s="16">
        <f t="shared" ref="E511:G511" si="1530">ROUNDUP((XLOOKUP($D511,$T$3:$T$10,$U$3:$U$10)*XLOOKUP(E$2,$AA$3:$AA$5,$AB$3:$AB$5)-ABS(XLOOKUP($C511,$Q$3:$Q$16,$R$3:$R$16)))*$B511,-5)</f>
        <v>18700000</v>
      </c>
      <c r="F511" s="16">
        <f t="shared" si="1530"/>
        <v>33100000</v>
      </c>
      <c r="G511" s="16">
        <f t="shared" si="1530"/>
        <v>36100000</v>
      </c>
      <c r="H511" s="17">
        <f t="shared" ref="H511:J511" si="1531">roundup((XLOOKUP($D511,$T$3:$T$10,$U$3:$U$10)*XLOOKUP(H$2,$AA$3:$AA$5,$AC$3:$AC$5)-ABS(XLOOKUP($C511,$Q$3:$Q$16,$R$3:$R$16)))*$B511,-5)</f>
        <v>15400000</v>
      </c>
      <c r="I511" s="17">
        <f t="shared" si="1531"/>
        <v>41000000</v>
      </c>
      <c r="J511" s="17">
        <f t="shared" si="1531"/>
        <v>44500000</v>
      </c>
      <c r="K511" s="17">
        <f t="shared" ref="K511:M511" si="1532">roundup((XLOOKUP($D511,$T$3:$T$10,$U$3:$U$10)*XLOOKUP(K$2,$AA$3:$AA$5,$AD$3:$AD$5)-ABS(XLOOKUP($C511,$Q$3:$Q$16,$R$3:$R$16)))*$B511,-5)</f>
        <v>18200000</v>
      </c>
      <c r="L511" s="17">
        <f t="shared" si="1532"/>
        <v>46300000</v>
      </c>
      <c r="M511" s="17">
        <f t="shared" si="1532"/>
        <v>50200000</v>
      </c>
    </row>
    <row r="512">
      <c r="A512" s="14" t="s">
        <v>553</v>
      </c>
      <c r="B512" s="14">
        <v>105.0</v>
      </c>
      <c r="C512" s="15">
        <f t="shared" si="4"/>
        <v>11</v>
      </c>
      <c r="D512" s="14" t="s">
        <v>36</v>
      </c>
      <c r="E512" s="16">
        <f t="shared" ref="E512:G512" si="1533">ROUNDUP((XLOOKUP($D512,$T$3:$T$10,$U$3:$U$10)*XLOOKUP(E$2,$AA$3:$AA$5,$AB$3:$AB$5)-ABS(XLOOKUP($C512,$Q$3:$Q$16,$R$3:$R$16)))*$B512,-5)</f>
        <v>27600000</v>
      </c>
      <c r="F512" s="16">
        <f t="shared" si="1533"/>
        <v>47400000</v>
      </c>
      <c r="G512" s="16">
        <f t="shared" si="1533"/>
        <v>51400000</v>
      </c>
      <c r="H512" s="17">
        <f t="shared" ref="H512:J512" si="1534">roundup((XLOOKUP($D512,$T$3:$T$10,$U$3:$U$10)*XLOOKUP(H$2,$AA$3:$AA$5,$AC$3:$AC$5)-ABS(XLOOKUP($C512,$Q$3:$Q$16,$R$3:$R$16)))*$B512,-5)</f>
        <v>23100000</v>
      </c>
      <c r="I512" s="17">
        <f t="shared" si="1534"/>
        <v>58100000</v>
      </c>
      <c r="J512" s="17">
        <f t="shared" si="1534"/>
        <v>62900000</v>
      </c>
      <c r="K512" s="17">
        <f t="shared" ref="K512:M512" si="1535">roundup((XLOOKUP($D512,$T$3:$T$10,$U$3:$U$10)*XLOOKUP(K$2,$AA$3:$AA$5,$AD$3:$AD$5)-ABS(XLOOKUP($C512,$Q$3:$Q$16,$R$3:$R$16)))*$B512,-5)</f>
        <v>27000000</v>
      </c>
      <c r="L512" s="17">
        <f t="shared" si="1535"/>
        <v>65400000</v>
      </c>
      <c r="M512" s="17">
        <f t="shared" si="1535"/>
        <v>70700000</v>
      </c>
    </row>
    <row r="513">
      <c r="A513" s="14" t="s">
        <v>554</v>
      </c>
      <c r="B513" s="14">
        <v>186.0</v>
      </c>
      <c r="C513" s="15">
        <f t="shared" si="4"/>
        <v>13</v>
      </c>
      <c r="D513" s="14" t="s">
        <v>33</v>
      </c>
      <c r="E513" s="16">
        <f t="shared" ref="E513:G513" si="1536">ROUNDUP((XLOOKUP($D513,$T$3:$T$10,$U$3:$U$10)*XLOOKUP(E$2,$AA$3:$AA$5,$AB$3:$AB$5)-ABS(XLOOKUP($C513,$Q$3:$Q$16,$R$3:$R$16)))*$B513,-5)</f>
        <v>36600000</v>
      </c>
      <c r="F513" s="16">
        <f t="shared" si="1536"/>
        <v>67900000</v>
      </c>
      <c r="G513" s="16">
        <f t="shared" si="1536"/>
        <v>74400000</v>
      </c>
      <c r="H513" s="17">
        <f t="shared" ref="H513:J513" si="1537">roundup((XLOOKUP($D513,$T$3:$T$10,$U$3:$U$10)*XLOOKUP(H$2,$AA$3:$AA$5,$AC$3:$AC$5)-ABS(XLOOKUP($C513,$Q$3:$Q$16,$R$3:$R$16)))*$B513,-5)</f>
        <v>29500000</v>
      </c>
      <c r="I513" s="17">
        <f t="shared" si="1537"/>
        <v>84900000</v>
      </c>
      <c r="J513" s="17">
        <f t="shared" si="1537"/>
        <v>92500000</v>
      </c>
      <c r="K513" s="17">
        <f t="shared" ref="K513:M513" si="1538">roundup((XLOOKUP($D513,$T$3:$T$10,$U$3:$U$10)*XLOOKUP(K$2,$AA$3:$AA$5,$AD$3:$AD$5)-ABS(XLOOKUP($C513,$Q$3:$Q$16,$R$3:$R$16)))*$B513,-5)</f>
        <v>35700000</v>
      </c>
      <c r="L513" s="17">
        <f t="shared" si="1538"/>
        <v>96500000</v>
      </c>
      <c r="M513" s="17">
        <f t="shared" si="1538"/>
        <v>104800000</v>
      </c>
    </row>
    <row r="514">
      <c r="A514" s="14" t="s">
        <v>555</v>
      </c>
      <c r="B514" s="14">
        <v>149.0</v>
      </c>
      <c r="C514" s="15">
        <f t="shared" si="4"/>
        <v>11</v>
      </c>
      <c r="D514" s="14" t="s">
        <v>33</v>
      </c>
      <c r="E514" s="16">
        <f t="shared" ref="E514:G514" si="1539">ROUNDUP((XLOOKUP($D514,$T$3:$T$10,$U$3:$U$10)*XLOOKUP(E$2,$AA$3:$AA$5,$AB$3:$AB$5)-ABS(XLOOKUP($C514,$Q$3:$Q$16,$R$3:$R$16)))*$B514,-5)</f>
        <v>32300000</v>
      </c>
      <c r="F514" s="16">
        <f t="shared" si="1539"/>
        <v>57400000</v>
      </c>
      <c r="G514" s="16">
        <f t="shared" si="1539"/>
        <v>62600000</v>
      </c>
      <c r="H514" s="17">
        <f t="shared" ref="H514:J514" si="1540">roundup((XLOOKUP($D514,$T$3:$T$10,$U$3:$U$10)*XLOOKUP(H$2,$AA$3:$AA$5,$AC$3:$AC$5)-ABS(XLOOKUP($C514,$Q$3:$Q$16,$R$3:$R$16)))*$B514,-5)</f>
        <v>26600000</v>
      </c>
      <c r="I514" s="17">
        <f t="shared" si="1540"/>
        <v>71000000</v>
      </c>
      <c r="J514" s="17">
        <f t="shared" si="1540"/>
        <v>77100000</v>
      </c>
      <c r="K514" s="17">
        <f t="shared" ref="K514:M514" si="1541">roundup((XLOOKUP($D514,$T$3:$T$10,$U$3:$U$10)*XLOOKUP(K$2,$AA$3:$AA$5,$AD$3:$AD$5)-ABS(XLOOKUP($C514,$Q$3:$Q$16,$R$3:$R$16)))*$B514,-5)</f>
        <v>31600000</v>
      </c>
      <c r="L514" s="17">
        <f t="shared" si="1541"/>
        <v>80300000</v>
      </c>
      <c r="M514" s="17">
        <f t="shared" si="1541"/>
        <v>86900000</v>
      </c>
    </row>
    <row r="515">
      <c r="A515" s="14" t="s">
        <v>556</v>
      </c>
      <c r="B515" s="14">
        <v>178.0</v>
      </c>
      <c r="C515" s="15">
        <f t="shared" si="4"/>
        <v>12</v>
      </c>
      <c r="D515" s="14" t="s">
        <v>36</v>
      </c>
      <c r="E515" s="16">
        <f t="shared" ref="E515:G515" si="1542">ROUNDUP((XLOOKUP($D515,$T$3:$T$10,$U$3:$U$10)*XLOOKUP(E$2,$AA$3:$AA$5,$AB$3:$AB$5)-ABS(XLOOKUP($C515,$Q$3:$Q$16,$R$3:$R$16)))*$B515,-5)</f>
        <v>45800000</v>
      </c>
      <c r="F515" s="16">
        <f t="shared" si="1542"/>
        <v>79400000</v>
      </c>
      <c r="G515" s="16">
        <f t="shared" si="1542"/>
        <v>86300000</v>
      </c>
      <c r="H515" s="17">
        <f t="shared" ref="H515:J515" si="1543">roundup((XLOOKUP($D515,$T$3:$T$10,$U$3:$U$10)*XLOOKUP(H$2,$AA$3:$AA$5,$AC$3:$AC$5)-ABS(XLOOKUP($C515,$Q$3:$Q$16,$R$3:$R$16)))*$B515,-5)</f>
        <v>38200000</v>
      </c>
      <c r="I515" s="17">
        <f t="shared" si="1543"/>
        <v>97600000</v>
      </c>
      <c r="J515" s="17">
        <f t="shared" si="1543"/>
        <v>105700000</v>
      </c>
      <c r="K515" s="17">
        <f t="shared" ref="K515:M515" si="1544">roundup((XLOOKUP($D515,$T$3:$T$10,$U$3:$U$10)*XLOOKUP(K$2,$AA$3:$AA$5,$AD$3:$AD$5)-ABS(XLOOKUP($C515,$Q$3:$Q$16,$R$3:$R$16)))*$B515,-5)</f>
        <v>44800000</v>
      </c>
      <c r="L515" s="17">
        <f t="shared" si="1544"/>
        <v>110000000</v>
      </c>
      <c r="M515" s="17">
        <f t="shared" si="1544"/>
        <v>118900000</v>
      </c>
    </row>
    <row r="516">
      <c r="A516" s="14" t="s">
        <v>557</v>
      </c>
      <c r="B516" s="14">
        <v>117.0</v>
      </c>
      <c r="C516" s="15">
        <f t="shared" si="4"/>
        <v>11</v>
      </c>
      <c r="D516" s="14" t="s">
        <v>36</v>
      </c>
      <c r="E516" s="16">
        <f t="shared" ref="E516:G516" si="1545">ROUNDUP((XLOOKUP($D516,$T$3:$T$10,$U$3:$U$10)*XLOOKUP(E$2,$AA$3:$AA$5,$AB$3:$AB$5)-ABS(XLOOKUP($C516,$Q$3:$Q$16,$R$3:$R$16)))*$B516,-5)</f>
        <v>30700000</v>
      </c>
      <c r="F516" s="16">
        <f t="shared" si="1545"/>
        <v>52800000</v>
      </c>
      <c r="G516" s="16">
        <f t="shared" si="1545"/>
        <v>57300000</v>
      </c>
      <c r="H516" s="17">
        <f t="shared" ref="H516:J516" si="1546">roundup((XLOOKUP($D516,$T$3:$T$10,$U$3:$U$10)*XLOOKUP(H$2,$AA$3:$AA$5,$AC$3:$AC$5)-ABS(XLOOKUP($C516,$Q$3:$Q$16,$R$3:$R$16)))*$B516,-5)</f>
        <v>25700000</v>
      </c>
      <c r="I516" s="17">
        <f t="shared" si="1546"/>
        <v>64800000</v>
      </c>
      <c r="J516" s="17">
        <f t="shared" si="1546"/>
        <v>70100000</v>
      </c>
      <c r="K516" s="17">
        <f t="shared" ref="K516:M516" si="1547">roundup((XLOOKUP($D516,$T$3:$T$10,$U$3:$U$10)*XLOOKUP(K$2,$AA$3:$AA$5,$AD$3:$AD$5)-ABS(XLOOKUP($C516,$Q$3:$Q$16,$R$3:$R$16)))*$B516,-5)</f>
        <v>30000000</v>
      </c>
      <c r="L516" s="17">
        <f t="shared" si="1547"/>
        <v>72900000</v>
      </c>
      <c r="M516" s="17">
        <f t="shared" si="1547"/>
        <v>78800000</v>
      </c>
    </row>
    <row r="517">
      <c r="A517" s="14" t="s">
        <v>558</v>
      </c>
      <c r="B517" s="14">
        <v>105.0</v>
      </c>
      <c r="C517" s="15">
        <f t="shared" si="4"/>
        <v>11</v>
      </c>
      <c r="D517" s="14" t="s">
        <v>36</v>
      </c>
      <c r="E517" s="16">
        <f t="shared" ref="E517:G517" si="1548">ROUNDUP((XLOOKUP($D517,$T$3:$T$10,$U$3:$U$10)*XLOOKUP(E$2,$AA$3:$AA$5,$AB$3:$AB$5)-ABS(XLOOKUP($C517,$Q$3:$Q$16,$R$3:$R$16)))*$B517,-5)</f>
        <v>27600000</v>
      </c>
      <c r="F517" s="16">
        <f t="shared" si="1548"/>
        <v>47400000</v>
      </c>
      <c r="G517" s="16">
        <f t="shared" si="1548"/>
        <v>51400000</v>
      </c>
      <c r="H517" s="17">
        <f t="shared" ref="H517:J517" si="1549">roundup((XLOOKUP($D517,$T$3:$T$10,$U$3:$U$10)*XLOOKUP(H$2,$AA$3:$AA$5,$AC$3:$AC$5)-ABS(XLOOKUP($C517,$Q$3:$Q$16,$R$3:$R$16)))*$B517,-5)</f>
        <v>23100000</v>
      </c>
      <c r="I517" s="17">
        <f t="shared" si="1549"/>
        <v>58100000</v>
      </c>
      <c r="J517" s="17">
        <f t="shared" si="1549"/>
        <v>62900000</v>
      </c>
      <c r="K517" s="17">
        <f t="shared" ref="K517:M517" si="1550">roundup((XLOOKUP($D517,$T$3:$T$10,$U$3:$U$10)*XLOOKUP(K$2,$AA$3:$AA$5,$AD$3:$AD$5)-ABS(XLOOKUP($C517,$Q$3:$Q$16,$R$3:$R$16)))*$B517,-5)</f>
        <v>27000000</v>
      </c>
      <c r="L517" s="17">
        <f t="shared" si="1550"/>
        <v>65400000</v>
      </c>
      <c r="M517" s="17">
        <f t="shared" si="1550"/>
        <v>70700000</v>
      </c>
    </row>
    <row r="518">
      <c r="A518" s="14" t="s">
        <v>559</v>
      </c>
      <c r="B518" s="14">
        <v>239.0</v>
      </c>
      <c r="C518" s="15">
        <f t="shared" si="4"/>
        <v>14</v>
      </c>
      <c r="D518" s="14" t="s">
        <v>33</v>
      </c>
      <c r="E518" s="16">
        <f t="shared" ref="E518:G518" si="1551">ROUNDUP((XLOOKUP($D518,$T$3:$T$10,$U$3:$U$10)*XLOOKUP(E$2,$AA$3:$AA$5,$AB$3:$AB$5)-ABS(XLOOKUP($C518,$Q$3:$Q$16,$R$3:$R$16)))*$B518,-5)</f>
        <v>44900000</v>
      </c>
      <c r="F518" s="16">
        <f t="shared" si="1551"/>
        <v>85100000</v>
      </c>
      <c r="G518" s="16">
        <f t="shared" si="1551"/>
        <v>93400000</v>
      </c>
      <c r="H518" s="17">
        <f t="shared" ref="H518:J518" si="1552">roundup((XLOOKUP($D518,$T$3:$T$10,$U$3:$U$10)*XLOOKUP(H$2,$AA$3:$AA$5,$AC$3:$AC$5)-ABS(XLOOKUP($C518,$Q$3:$Q$16,$R$3:$R$16)))*$B518,-5)</f>
        <v>35800000</v>
      </c>
      <c r="I518" s="17">
        <f t="shared" si="1552"/>
        <v>107000000</v>
      </c>
      <c r="J518" s="17">
        <f t="shared" si="1552"/>
        <v>116600000</v>
      </c>
      <c r="K518" s="17">
        <f t="shared" ref="K518:M518" si="1553">roundup((XLOOKUP($D518,$T$3:$T$10,$U$3:$U$10)*XLOOKUP(K$2,$AA$3:$AA$5,$AD$3:$AD$5)-ABS(XLOOKUP($C518,$Q$3:$Q$16,$R$3:$R$16)))*$B518,-5)</f>
        <v>43700000</v>
      </c>
      <c r="L518" s="17">
        <f t="shared" si="1553"/>
        <v>121800000</v>
      </c>
      <c r="M518" s="17">
        <f t="shared" si="1553"/>
        <v>132400000</v>
      </c>
    </row>
    <row r="519">
      <c r="A519" s="14" t="s">
        <v>560</v>
      </c>
      <c r="B519" s="14">
        <v>172.0</v>
      </c>
      <c r="C519" s="15">
        <f t="shared" si="4"/>
        <v>12</v>
      </c>
      <c r="D519" s="14" t="s">
        <v>36</v>
      </c>
      <c r="E519" s="16">
        <f t="shared" ref="E519:G519" si="1554">ROUNDUP((XLOOKUP($D519,$T$3:$T$10,$U$3:$U$10)*XLOOKUP(E$2,$AA$3:$AA$5,$AB$3:$AB$5)-ABS(XLOOKUP($C519,$Q$3:$Q$16,$R$3:$R$16)))*$B519,-5)</f>
        <v>44300000</v>
      </c>
      <c r="F519" s="16">
        <f t="shared" si="1554"/>
        <v>76700000</v>
      </c>
      <c r="G519" s="16">
        <f t="shared" si="1554"/>
        <v>83400000</v>
      </c>
      <c r="H519" s="17">
        <f t="shared" ref="H519:J519" si="1555">roundup((XLOOKUP($D519,$T$3:$T$10,$U$3:$U$10)*XLOOKUP(H$2,$AA$3:$AA$5,$AC$3:$AC$5)-ABS(XLOOKUP($C519,$Q$3:$Q$16,$R$3:$R$16)))*$B519,-5)</f>
        <v>36900000</v>
      </c>
      <c r="I519" s="17">
        <f t="shared" si="1555"/>
        <v>94300000</v>
      </c>
      <c r="J519" s="17">
        <f t="shared" si="1555"/>
        <v>102200000</v>
      </c>
      <c r="K519" s="17">
        <f t="shared" ref="K519:M519" si="1556">roundup((XLOOKUP($D519,$T$3:$T$10,$U$3:$U$10)*XLOOKUP(K$2,$AA$3:$AA$5,$AD$3:$AD$5)-ABS(XLOOKUP($C519,$Q$3:$Q$16,$R$3:$R$16)))*$B519,-5)</f>
        <v>43300000</v>
      </c>
      <c r="L519" s="17">
        <f t="shared" si="1556"/>
        <v>106300000</v>
      </c>
      <c r="M519" s="17">
        <f t="shared" si="1556"/>
        <v>114900000</v>
      </c>
    </row>
    <row r="520">
      <c r="A520" s="14" t="s">
        <v>561</v>
      </c>
      <c r="B520" s="14">
        <v>241.0</v>
      </c>
      <c r="C520" s="15">
        <f t="shared" si="4"/>
        <v>14</v>
      </c>
      <c r="D520" s="14" t="s">
        <v>33</v>
      </c>
      <c r="E520" s="16">
        <f t="shared" ref="E520:G520" si="1557">ROUNDUP((XLOOKUP($D520,$T$3:$T$10,$U$3:$U$10)*XLOOKUP(E$2,$AA$3:$AA$5,$AB$3:$AB$5)-ABS(XLOOKUP($C520,$Q$3:$Q$16,$R$3:$R$16)))*$B520,-5)</f>
        <v>45300000</v>
      </c>
      <c r="F520" s="16">
        <f t="shared" si="1557"/>
        <v>85800000</v>
      </c>
      <c r="G520" s="16">
        <f t="shared" si="1557"/>
        <v>94200000</v>
      </c>
      <c r="H520" s="17">
        <f t="shared" ref="H520:J520" si="1558">roundup((XLOOKUP($D520,$T$3:$T$10,$U$3:$U$10)*XLOOKUP(H$2,$AA$3:$AA$5,$AC$3:$AC$5)-ABS(XLOOKUP($C520,$Q$3:$Q$16,$R$3:$R$16)))*$B520,-5)</f>
        <v>36100000</v>
      </c>
      <c r="I520" s="17">
        <f t="shared" si="1558"/>
        <v>107800000</v>
      </c>
      <c r="J520" s="17">
        <f t="shared" si="1558"/>
        <v>117600000</v>
      </c>
      <c r="K520" s="17">
        <f t="shared" ref="K520:M520" si="1559">roundup((XLOOKUP($D520,$T$3:$T$10,$U$3:$U$10)*XLOOKUP(K$2,$AA$3:$AA$5,$AD$3:$AD$5)-ABS(XLOOKUP($C520,$Q$3:$Q$16,$R$3:$R$16)))*$B520,-5)</f>
        <v>44000000</v>
      </c>
      <c r="L520" s="17">
        <f t="shared" si="1559"/>
        <v>122800000</v>
      </c>
      <c r="M520" s="17">
        <f t="shared" si="1559"/>
        <v>133500000</v>
      </c>
    </row>
    <row r="521">
      <c r="A521" s="14" t="s">
        <v>562</v>
      </c>
      <c r="B521" s="14">
        <v>118.0</v>
      </c>
      <c r="C521" s="15">
        <f t="shared" si="4"/>
        <v>11</v>
      </c>
      <c r="D521" s="14" t="s">
        <v>33</v>
      </c>
      <c r="E521" s="16">
        <f t="shared" ref="E521:G521" si="1560">ROUNDUP((XLOOKUP($D521,$T$3:$T$10,$U$3:$U$10)*XLOOKUP(E$2,$AA$3:$AA$5,$AB$3:$AB$5)-ABS(XLOOKUP($C521,$Q$3:$Q$16,$R$3:$R$16)))*$B521,-5)</f>
        <v>25600000</v>
      </c>
      <c r="F521" s="16">
        <f t="shared" si="1560"/>
        <v>45400000</v>
      </c>
      <c r="G521" s="16">
        <f t="shared" si="1560"/>
        <v>49600000</v>
      </c>
      <c r="H521" s="17">
        <f t="shared" ref="H521:J521" si="1561">roundup((XLOOKUP($D521,$T$3:$T$10,$U$3:$U$10)*XLOOKUP(H$2,$AA$3:$AA$5,$AC$3:$AC$5)-ABS(XLOOKUP($C521,$Q$3:$Q$16,$R$3:$R$16)))*$B521,-5)</f>
        <v>21100000</v>
      </c>
      <c r="I521" s="17">
        <f t="shared" si="1561"/>
        <v>56300000</v>
      </c>
      <c r="J521" s="17">
        <f t="shared" si="1561"/>
        <v>61000000</v>
      </c>
      <c r="K521" s="17">
        <f t="shared" ref="K521:M521" si="1562">roundup((XLOOKUP($D521,$T$3:$T$10,$U$3:$U$10)*XLOOKUP(K$2,$AA$3:$AA$5,$AD$3:$AD$5)-ABS(XLOOKUP($C521,$Q$3:$Q$16,$R$3:$R$16)))*$B521,-5)</f>
        <v>25000000</v>
      </c>
      <c r="L521" s="17">
        <f t="shared" si="1562"/>
        <v>63600000</v>
      </c>
      <c r="M521" s="17">
        <f t="shared" si="1562"/>
        <v>68800000</v>
      </c>
    </row>
    <row r="522">
      <c r="A522" s="14" t="s">
        <v>563</v>
      </c>
      <c r="B522" s="14">
        <v>81.0</v>
      </c>
      <c r="C522" s="15">
        <f t="shared" si="4"/>
        <v>11</v>
      </c>
      <c r="D522" s="14" t="s">
        <v>36</v>
      </c>
      <c r="E522" s="16">
        <f t="shared" ref="E522:G522" si="1563">ROUNDUP((XLOOKUP($D522,$T$3:$T$10,$U$3:$U$10)*XLOOKUP(E$2,$AA$3:$AA$5,$AB$3:$AB$5)-ABS(XLOOKUP($C522,$Q$3:$Q$16,$R$3:$R$16)))*$B522,-5)</f>
        <v>21300000</v>
      </c>
      <c r="F522" s="16">
        <f t="shared" si="1563"/>
        <v>36500000</v>
      </c>
      <c r="G522" s="16">
        <f t="shared" si="1563"/>
        <v>39700000</v>
      </c>
      <c r="H522" s="17">
        <f t="shared" ref="H522:J522" si="1564">roundup((XLOOKUP($D522,$T$3:$T$10,$U$3:$U$10)*XLOOKUP(H$2,$AA$3:$AA$5,$AC$3:$AC$5)-ABS(XLOOKUP($C522,$Q$3:$Q$16,$R$3:$R$16)))*$B522,-5)</f>
        <v>17800000</v>
      </c>
      <c r="I522" s="17">
        <f t="shared" si="1564"/>
        <v>44900000</v>
      </c>
      <c r="J522" s="17">
        <f t="shared" si="1564"/>
        <v>48500000</v>
      </c>
      <c r="K522" s="17">
        <f t="shared" ref="K522:M522" si="1565">roundup((XLOOKUP($D522,$T$3:$T$10,$U$3:$U$10)*XLOOKUP(K$2,$AA$3:$AA$5,$AD$3:$AD$5)-ABS(XLOOKUP($C522,$Q$3:$Q$16,$R$3:$R$16)))*$B522,-5)</f>
        <v>20800000</v>
      </c>
      <c r="L522" s="17">
        <f t="shared" si="1565"/>
        <v>50500000</v>
      </c>
      <c r="M522" s="17">
        <f t="shared" si="1565"/>
        <v>54500000</v>
      </c>
    </row>
    <row r="523">
      <c r="A523" s="14" t="s">
        <v>564</v>
      </c>
      <c r="B523" s="14">
        <v>84.0</v>
      </c>
      <c r="C523" s="15">
        <f t="shared" si="4"/>
        <v>11</v>
      </c>
      <c r="D523" s="14" t="s">
        <v>36</v>
      </c>
      <c r="E523" s="16">
        <f t="shared" ref="E523:G523" si="1566">ROUNDUP((XLOOKUP($D523,$T$3:$T$10,$U$3:$U$10)*XLOOKUP(E$2,$AA$3:$AA$5,$AB$3:$AB$5)-ABS(XLOOKUP($C523,$Q$3:$Q$16,$R$3:$R$16)))*$B523,-5)</f>
        <v>22100000</v>
      </c>
      <c r="F523" s="16">
        <f t="shared" si="1566"/>
        <v>37900000</v>
      </c>
      <c r="G523" s="16">
        <f t="shared" si="1566"/>
        <v>41200000</v>
      </c>
      <c r="H523" s="17">
        <f t="shared" ref="H523:J523" si="1567">roundup((XLOOKUP($D523,$T$3:$T$10,$U$3:$U$10)*XLOOKUP(H$2,$AA$3:$AA$5,$AC$3:$AC$5)-ABS(XLOOKUP($C523,$Q$3:$Q$16,$R$3:$R$16)))*$B523,-5)</f>
        <v>18500000</v>
      </c>
      <c r="I523" s="17">
        <f t="shared" si="1567"/>
        <v>46500000</v>
      </c>
      <c r="J523" s="17">
        <f t="shared" si="1567"/>
        <v>50300000</v>
      </c>
      <c r="K523" s="17">
        <f t="shared" ref="K523:M523" si="1568">roundup((XLOOKUP($D523,$T$3:$T$10,$U$3:$U$10)*XLOOKUP(K$2,$AA$3:$AA$5,$AD$3:$AD$5)-ABS(XLOOKUP($C523,$Q$3:$Q$16,$R$3:$R$16)))*$B523,-5)</f>
        <v>21600000</v>
      </c>
      <c r="L523" s="17">
        <f t="shared" si="1568"/>
        <v>52400000</v>
      </c>
      <c r="M523" s="17">
        <f t="shared" si="1568"/>
        <v>56600000</v>
      </c>
    </row>
    <row r="524">
      <c r="A524" s="14" t="s">
        <v>565</v>
      </c>
      <c r="B524" s="14">
        <v>77.0</v>
      </c>
      <c r="C524" s="15">
        <f t="shared" si="4"/>
        <v>10</v>
      </c>
      <c r="D524" s="14" t="s">
        <v>33</v>
      </c>
      <c r="E524" s="16">
        <f t="shared" ref="E524:G524" si="1569">ROUNDUP((XLOOKUP($D524,$T$3:$T$10,$U$3:$U$10)*XLOOKUP(E$2,$AA$3:$AA$5,$AB$3:$AB$5)-ABS(XLOOKUP($C524,$Q$3:$Q$16,$R$3:$R$16)))*$B524,-5)</f>
        <v>19000000</v>
      </c>
      <c r="F524" s="16">
        <f t="shared" si="1569"/>
        <v>32000000</v>
      </c>
      <c r="G524" s="16">
        <f t="shared" si="1569"/>
        <v>34700000</v>
      </c>
      <c r="H524" s="17">
        <f t="shared" ref="H524:J524" si="1570">roundup((XLOOKUP($D524,$T$3:$T$10,$U$3:$U$10)*XLOOKUP(H$2,$AA$3:$AA$5,$AC$3:$AC$5)-ABS(XLOOKUP($C524,$Q$3:$Q$16,$R$3:$R$16)))*$B524,-5)</f>
        <v>16100000</v>
      </c>
      <c r="I524" s="17">
        <f t="shared" si="1570"/>
        <v>39000000</v>
      </c>
      <c r="J524" s="17">
        <f t="shared" si="1570"/>
        <v>42200000</v>
      </c>
      <c r="K524" s="17">
        <f t="shared" ref="K524:M524" si="1571">roundup((XLOOKUP($D524,$T$3:$T$10,$U$3:$U$10)*XLOOKUP(K$2,$AA$3:$AA$5,$AD$3:$AD$5)-ABS(XLOOKUP($C524,$Q$3:$Q$16,$R$3:$R$16)))*$B524,-5)</f>
        <v>18600000</v>
      </c>
      <c r="L524" s="17">
        <f t="shared" si="1571"/>
        <v>43800000</v>
      </c>
      <c r="M524" s="17">
        <f t="shared" si="1571"/>
        <v>47200000</v>
      </c>
    </row>
    <row r="525">
      <c r="A525" s="14" t="s">
        <v>566</v>
      </c>
      <c r="B525" s="14">
        <v>84.0</v>
      </c>
      <c r="C525" s="15">
        <f t="shared" si="4"/>
        <v>11</v>
      </c>
      <c r="D525" s="14" t="s">
        <v>33</v>
      </c>
      <c r="E525" s="16">
        <f t="shared" ref="E525:G525" si="1572">ROUNDUP((XLOOKUP($D525,$T$3:$T$10,$U$3:$U$10)*XLOOKUP(E$2,$AA$3:$AA$5,$AB$3:$AB$5)-ABS(XLOOKUP($C525,$Q$3:$Q$16,$R$3:$R$16)))*$B525,-5)</f>
        <v>18300000</v>
      </c>
      <c r="F525" s="16">
        <f t="shared" si="1572"/>
        <v>32400000</v>
      </c>
      <c r="G525" s="16">
        <f t="shared" si="1572"/>
        <v>35300000</v>
      </c>
      <c r="H525" s="17">
        <f t="shared" ref="H525:J525" si="1573">roundup((XLOOKUP($D525,$T$3:$T$10,$U$3:$U$10)*XLOOKUP(H$2,$AA$3:$AA$5,$AC$3:$AC$5)-ABS(XLOOKUP($C525,$Q$3:$Q$16,$R$3:$R$16)))*$B525,-5)</f>
        <v>15000000</v>
      </c>
      <c r="I525" s="17">
        <f t="shared" si="1573"/>
        <v>40100000</v>
      </c>
      <c r="J525" s="17">
        <f t="shared" si="1573"/>
        <v>43500000</v>
      </c>
      <c r="K525" s="17">
        <f t="shared" ref="K525:M525" si="1574">roundup((XLOOKUP($D525,$T$3:$T$10,$U$3:$U$10)*XLOOKUP(K$2,$AA$3:$AA$5,$AD$3:$AD$5)-ABS(XLOOKUP($C525,$Q$3:$Q$16,$R$3:$R$16)))*$B525,-5)</f>
        <v>17800000</v>
      </c>
      <c r="L525" s="17">
        <f t="shared" si="1574"/>
        <v>45300000</v>
      </c>
      <c r="M525" s="17">
        <f t="shared" si="1574"/>
        <v>49000000</v>
      </c>
    </row>
    <row r="526">
      <c r="A526" s="14" t="s">
        <v>567</v>
      </c>
      <c r="B526" s="14">
        <v>136.0</v>
      </c>
      <c r="C526" s="15">
        <f t="shared" si="4"/>
        <v>11</v>
      </c>
      <c r="D526" s="14" t="s">
        <v>33</v>
      </c>
      <c r="E526" s="16">
        <f t="shared" ref="E526:G526" si="1575">ROUNDUP((XLOOKUP($D526,$T$3:$T$10,$U$3:$U$10)*XLOOKUP(E$2,$AA$3:$AA$5,$AB$3:$AB$5)-ABS(XLOOKUP($C526,$Q$3:$Q$16,$R$3:$R$16)))*$B526,-5)</f>
        <v>29500000</v>
      </c>
      <c r="F526" s="16">
        <f t="shared" si="1575"/>
        <v>52400000</v>
      </c>
      <c r="G526" s="16">
        <f t="shared" si="1575"/>
        <v>57100000</v>
      </c>
      <c r="H526" s="17">
        <f t="shared" ref="H526:J526" si="1576">roundup((XLOOKUP($D526,$T$3:$T$10,$U$3:$U$10)*XLOOKUP(H$2,$AA$3:$AA$5,$AC$3:$AC$5)-ABS(XLOOKUP($C526,$Q$3:$Q$16,$R$3:$R$16)))*$B526,-5)</f>
        <v>24300000</v>
      </c>
      <c r="I526" s="17">
        <f t="shared" si="1576"/>
        <v>64800000</v>
      </c>
      <c r="J526" s="17">
        <f t="shared" si="1576"/>
        <v>70300000</v>
      </c>
      <c r="K526" s="17">
        <f t="shared" ref="K526:M526" si="1577">roundup((XLOOKUP($D526,$T$3:$T$10,$U$3:$U$10)*XLOOKUP(K$2,$AA$3:$AA$5,$AD$3:$AD$5)-ABS(XLOOKUP($C526,$Q$3:$Q$16,$R$3:$R$16)))*$B526,-5)</f>
        <v>28800000</v>
      </c>
      <c r="L526" s="17">
        <f t="shared" si="1577"/>
        <v>73300000</v>
      </c>
      <c r="M526" s="17">
        <f t="shared" si="1577"/>
        <v>79300000</v>
      </c>
    </row>
    <row r="527">
      <c r="A527" s="14" t="s">
        <v>568</v>
      </c>
      <c r="B527" s="14">
        <v>70.0</v>
      </c>
      <c r="C527" s="15">
        <f t="shared" si="4"/>
        <v>9</v>
      </c>
      <c r="D527" s="14" t="s">
        <v>36</v>
      </c>
      <c r="E527" s="16">
        <f t="shared" ref="E527:G527" si="1578">ROUNDUP((XLOOKUP($D527,$T$3:$T$10,$U$3:$U$10)*XLOOKUP(E$2,$AA$3:$AA$5,$AB$3:$AB$5)-ABS(XLOOKUP($C527,$Q$3:$Q$16,$R$3:$R$16)))*$B527,-5)</f>
        <v>24800000</v>
      </c>
      <c r="F527" s="16">
        <f t="shared" si="1578"/>
        <v>38000000</v>
      </c>
      <c r="G527" s="16">
        <f t="shared" si="1578"/>
        <v>40700000</v>
      </c>
      <c r="H527" s="17">
        <f t="shared" ref="H527:J527" si="1579">roundup((XLOOKUP($D527,$T$3:$T$10,$U$3:$U$10)*XLOOKUP(H$2,$AA$3:$AA$5,$AC$3:$AC$5)-ABS(XLOOKUP($C527,$Q$3:$Q$16,$R$3:$R$16)))*$B527,-5)</f>
        <v>21800000</v>
      </c>
      <c r="I527" s="17">
        <f t="shared" si="1579"/>
        <v>45100000</v>
      </c>
      <c r="J527" s="17">
        <f t="shared" si="1579"/>
        <v>48300000</v>
      </c>
      <c r="K527" s="17">
        <f t="shared" ref="K527:M527" si="1580">roundup((XLOOKUP($D527,$T$3:$T$10,$U$3:$U$10)*XLOOKUP(K$2,$AA$3:$AA$5,$AD$3:$AD$5)-ABS(XLOOKUP($C527,$Q$3:$Q$16,$R$3:$R$16)))*$B527,-5)</f>
        <v>24400000</v>
      </c>
      <c r="L527" s="17">
        <f t="shared" si="1580"/>
        <v>50000000</v>
      </c>
      <c r="M527" s="17">
        <f t="shared" si="1580"/>
        <v>53500000</v>
      </c>
    </row>
    <row r="528">
      <c r="A528" s="14" t="s">
        <v>569</v>
      </c>
      <c r="B528" s="14">
        <v>106.0</v>
      </c>
      <c r="C528" s="15">
        <f t="shared" si="4"/>
        <v>11</v>
      </c>
      <c r="D528" s="14" t="s">
        <v>36</v>
      </c>
      <c r="E528" s="16">
        <f t="shared" ref="E528:G528" si="1581">ROUNDUP((XLOOKUP($D528,$T$3:$T$10,$U$3:$U$10)*XLOOKUP(E$2,$AA$3:$AA$5,$AB$3:$AB$5)-ABS(XLOOKUP($C528,$Q$3:$Q$16,$R$3:$R$16)))*$B528,-5)</f>
        <v>27800000</v>
      </c>
      <c r="F528" s="16">
        <f t="shared" si="1581"/>
        <v>47800000</v>
      </c>
      <c r="G528" s="16">
        <f t="shared" si="1581"/>
        <v>51900000</v>
      </c>
      <c r="H528" s="17">
        <f t="shared" ref="H528:J528" si="1582">roundup((XLOOKUP($D528,$T$3:$T$10,$U$3:$U$10)*XLOOKUP(H$2,$AA$3:$AA$5,$AC$3:$AC$5)-ABS(XLOOKUP($C528,$Q$3:$Q$16,$R$3:$R$16)))*$B528,-5)</f>
        <v>23300000</v>
      </c>
      <c r="I528" s="17">
        <f t="shared" si="1582"/>
        <v>58700000</v>
      </c>
      <c r="J528" s="17">
        <f t="shared" si="1582"/>
        <v>63500000</v>
      </c>
      <c r="K528" s="17">
        <f t="shared" ref="K528:M528" si="1583">roundup((XLOOKUP($D528,$T$3:$T$10,$U$3:$U$10)*XLOOKUP(K$2,$AA$3:$AA$5,$AD$3:$AD$5)-ABS(XLOOKUP($C528,$Q$3:$Q$16,$R$3:$R$16)))*$B528,-5)</f>
        <v>27200000</v>
      </c>
      <c r="L528" s="17">
        <f t="shared" si="1583"/>
        <v>66100000</v>
      </c>
      <c r="M528" s="17">
        <f t="shared" si="1583"/>
        <v>71400000</v>
      </c>
    </row>
    <row r="529">
      <c r="A529" s="14" t="s">
        <v>570</v>
      </c>
      <c r="B529" s="14">
        <v>124.0</v>
      </c>
      <c r="C529" s="15">
        <f t="shared" si="4"/>
        <v>11</v>
      </c>
      <c r="D529" s="14" t="s">
        <v>197</v>
      </c>
      <c r="E529" s="16">
        <f t="shared" ref="E529:G529" si="1584">ROUNDUP((XLOOKUP($D529,$T$3:$T$10,$U$3:$U$10)*XLOOKUP(E$2,$AA$3:$AA$5,$AB$3:$AB$5)-ABS(XLOOKUP($C529,$Q$3:$Q$16,$R$3:$R$16)))*$B529,-5)</f>
        <v>29400000</v>
      </c>
      <c r="F529" s="16">
        <f t="shared" si="1584"/>
        <v>51300000</v>
      </c>
      <c r="G529" s="16">
        <f t="shared" si="1584"/>
        <v>55800000</v>
      </c>
      <c r="H529" s="17">
        <f t="shared" ref="H529:J529" si="1585">roundup((XLOOKUP($D529,$T$3:$T$10,$U$3:$U$10)*XLOOKUP(H$2,$AA$3:$AA$5,$AC$3:$AC$5)-ABS(XLOOKUP($C529,$Q$3:$Q$16,$R$3:$R$16)))*$B529,-5)</f>
        <v>24400000</v>
      </c>
      <c r="I529" s="17">
        <f t="shared" si="1585"/>
        <v>63300000</v>
      </c>
      <c r="J529" s="17">
        <f t="shared" si="1585"/>
        <v>68600000</v>
      </c>
      <c r="K529" s="17">
        <f t="shared" ref="K529:M529" si="1586">roundup((XLOOKUP($D529,$T$3:$T$10,$U$3:$U$10)*XLOOKUP(K$2,$AA$3:$AA$5,$AD$3:$AD$5)-ABS(XLOOKUP($C529,$Q$3:$Q$16,$R$3:$R$16)))*$B529,-5)</f>
        <v>28700000</v>
      </c>
      <c r="L529" s="17">
        <f t="shared" si="1586"/>
        <v>71400000</v>
      </c>
      <c r="M529" s="17">
        <f t="shared" si="1586"/>
        <v>77200000</v>
      </c>
    </row>
    <row r="530">
      <c r="A530" s="14" t="s">
        <v>571</v>
      </c>
      <c r="B530" s="14">
        <v>116.0</v>
      </c>
      <c r="C530" s="15">
        <f t="shared" si="4"/>
        <v>11</v>
      </c>
      <c r="D530" s="14" t="s">
        <v>33</v>
      </c>
      <c r="E530" s="16">
        <f t="shared" ref="E530:G530" si="1587">ROUNDUP((XLOOKUP($D530,$T$3:$T$10,$U$3:$U$10)*XLOOKUP(E$2,$AA$3:$AA$5,$AB$3:$AB$5)-ABS(XLOOKUP($C530,$Q$3:$Q$16,$R$3:$R$16)))*$B530,-5)</f>
        <v>25200000</v>
      </c>
      <c r="F530" s="16">
        <f t="shared" si="1587"/>
        <v>44700000</v>
      </c>
      <c r="G530" s="16">
        <f t="shared" si="1587"/>
        <v>48700000</v>
      </c>
      <c r="H530" s="17">
        <f t="shared" ref="H530:J530" si="1588">roundup((XLOOKUP($D530,$T$3:$T$10,$U$3:$U$10)*XLOOKUP(H$2,$AA$3:$AA$5,$AC$3:$AC$5)-ABS(XLOOKUP($C530,$Q$3:$Q$16,$R$3:$R$16)))*$B530,-5)</f>
        <v>20700000</v>
      </c>
      <c r="I530" s="17">
        <f t="shared" si="1588"/>
        <v>55300000</v>
      </c>
      <c r="J530" s="17">
        <f t="shared" si="1588"/>
        <v>60000000</v>
      </c>
      <c r="K530" s="17">
        <f t="shared" ref="K530:M530" si="1589">roundup((XLOOKUP($D530,$T$3:$T$10,$U$3:$U$10)*XLOOKUP(K$2,$AA$3:$AA$5,$AD$3:$AD$5)-ABS(XLOOKUP($C530,$Q$3:$Q$16,$R$3:$R$16)))*$B530,-5)</f>
        <v>24600000</v>
      </c>
      <c r="L530" s="17">
        <f t="shared" si="1589"/>
        <v>62500000</v>
      </c>
      <c r="M530" s="17">
        <f t="shared" si="1589"/>
        <v>67700000</v>
      </c>
    </row>
    <row r="531">
      <c r="A531" s="14" t="s">
        <v>572</v>
      </c>
      <c r="B531" s="14">
        <v>111.0</v>
      </c>
      <c r="C531" s="15">
        <f t="shared" si="4"/>
        <v>11</v>
      </c>
      <c r="D531" s="14" t="s">
        <v>36</v>
      </c>
      <c r="E531" s="16">
        <f t="shared" ref="E531:G531" si="1590">ROUNDUP((XLOOKUP($D531,$T$3:$T$10,$U$3:$U$10)*XLOOKUP(E$2,$AA$3:$AA$5,$AB$3:$AB$5)-ABS(XLOOKUP($C531,$Q$3:$Q$16,$R$3:$R$16)))*$B531,-5)</f>
        <v>29200000</v>
      </c>
      <c r="F531" s="16">
        <f t="shared" si="1590"/>
        <v>50100000</v>
      </c>
      <c r="G531" s="16">
        <f t="shared" si="1590"/>
        <v>54400000</v>
      </c>
      <c r="H531" s="17">
        <f t="shared" ref="H531:J531" si="1591">roundup((XLOOKUP($D531,$T$3:$T$10,$U$3:$U$10)*XLOOKUP(H$2,$AA$3:$AA$5,$AC$3:$AC$5)-ABS(XLOOKUP($C531,$Q$3:$Q$16,$R$3:$R$16)))*$B531,-5)</f>
        <v>24400000</v>
      </c>
      <c r="I531" s="17">
        <f t="shared" si="1591"/>
        <v>61400000</v>
      </c>
      <c r="J531" s="17">
        <f t="shared" si="1591"/>
        <v>66500000</v>
      </c>
      <c r="K531" s="17">
        <f t="shared" ref="K531:M531" si="1592">roundup((XLOOKUP($D531,$T$3:$T$10,$U$3:$U$10)*XLOOKUP(K$2,$AA$3:$AA$5,$AD$3:$AD$5)-ABS(XLOOKUP($C531,$Q$3:$Q$16,$R$3:$R$16)))*$B531,-5)</f>
        <v>28500000</v>
      </c>
      <c r="L531" s="17">
        <f t="shared" si="1592"/>
        <v>69200000</v>
      </c>
      <c r="M531" s="17">
        <f t="shared" si="1592"/>
        <v>74700000</v>
      </c>
    </row>
    <row r="532">
      <c r="A532" s="14" t="s">
        <v>573</v>
      </c>
      <c r="B532" s="14">
        <v>172.0</v>
      </c>
      <c r="C532" s="15">
        <f t="shared" si="4"/>
        <v>12</v>
      </c>
      <c r="D532" s="14" t="s">
        <v>36</v>
      </c>
      <c r="E532" s="16">
        <f t="shared" ref="E532:G532" si="1593">ROUNDUP((XLOOKUP($D532,$T$3:$T$10,$U$3:$U$10)*XLOOKUP(E$2,$AA$3:$AA$5,$AB$3:$AB$5)-ABS(XLOOKUP($C532,$Q$3:$Q$16,$R$3:$R$16)))*$B532,-5)</f>
        <v>44300000</v>
      </c>
      <c r="F532" s="16">
        <f t="shared" si="1593"/>
        <v>76700000</v>
      </c>
      <c r="G532" s="16">
        <f t="shared" si="1593"/>
        <v>83400000</v>
      </c>
      <c r="H532" s="17">
        <f t="shared" ref="H532:J532" si="1594">roundup((XLOOKUP($D532,$T$3:$T$10,$U$3:$U$10)*XLOOKUP(H$2,$AA$3:$AA$5,$AC$3:$AC$5)-ABS(XLOOKUP($C532,$Q$3:$Q$16,$R$3:$R$16)))*$B532,-5)</f>
        <v>36900000</v>
      </c>
      <c r="I532" s="17">
        <f t="shared" si="1594"/>
        <v>94300000</v>
      </c>
      <c r="J532" s="17">
        <f t="shared" si="1594"/>
        <v>102200000</v>
      </c>
      <c r="K532" s="17">
        <f t="shared" ref="K532:M532" si="1595">roundup((XLOOKUP($D532,$T$3:$T$10,$U$3:$U$10)*XLOOKUP(K$2,$AA$3:$AA$5,$AD$3:$AD$5)-ABS(XLOOKUP($C532,$Q$3:$Q$16,$R$3:$R$16)))*$B532,-5)</f>
        <v>43300000</v>
      </c>
      <c r="L532" s="17">
        <f t="shared" si="1595"/>
        <v>106300000</v>
      </c>
      <c r="M532" s="17">
        <f t="shared" si="1595"/>
        <v>114900000</v>
      </c>
    </row>
    <row r="533">
      <c r="A533" s="14" t="s">
        <v>574</v>
      </c>
      <c r="B533" s="14">
        <v>99.0</v>
      </c>
      <c r="C533" s="15">
        <f t="shared" si="4"/>
        <v>11</v>
      </c>
      <c r="D533" s="14" t="s">
        <v>33</v>
      </c>
      <c r="E533" s="16">
        <f t="shared" ref="E533:G533" si="1596">ROUNDUP((XLOOKUP($D533,$T$3:$T$10,$U$3:$U$10)*XLOOKUP(E$2,$AA$3:$AA$5,$AB$3:$AB$5)-ABS(XLOOKUP($C533,$Q$3:$Q$16,$R$3:$R$16)))*$B533,-5)</f>
        <v>21500000</v>
      </c>
      <c r="F533" s="16">
        <f t="shared" si="1596"/>
        <v>38100000</v>
      </c>
      <c r="G533" s="16">
        <f t="shared" si="1596"/>
        <v>41600000</v>
      </c>
      <c r="H533" s="17">
        <f t="shared" ref="H533:J533" si="1597">roundup((XLOOKUP($D533,$T$3:$T$10,$U$3:$U$10)*XLOOKUP(H$2,$AA$3:$AA$5,$AC$3:$AC$5)-ABS(XLOOKUP($C533,$Q$3:$Q$16,$R$3:$R$16)))*$B533,-5)</f>
        <v>17700000</v>
      </c>
      <c r="I533" s="17">
        <f t="shared" si="1597"/>
        <v>47200000</v>
      </c>
      <c r="J533" s="17">
        <f t="shared" si="1597"/>
        <v>51200000</v>
      </c>
      <c r="K533" s="17">
        <f t="shared" ref="K533:M533" si="1598">roundup((XLOOKUP($D533,$T$3:$T$10,$U$3:$U$10)*XLOOKUP(K$2,$AA$3:$AA$5,$AD$3:$AD$5)-ABS(XLOOKUP($C533,$Q$3:$Q$16,$R$3:$R$16)))*$B533,-5)</f>
        <v>21000000</v>
      </c>
      <c r="L533" s="17">
        <f t="shared" si="1598"/>
        <v>53300000</v>
      </c>
      <c r="M533" s="17">
        <f t="shared" si="1598"/>
        <v>57800000</v>
      </c>
    </row>
    <row r="534">
      <c r="A534" s="14" t="s">
        <v>575</v>
      </c>
      <c r="B534" s="14">
        <v>144.0</v>
      </c>
      <c r="C534" s="15">
        <f t="shared" si="4"/>
        <v>11</v>
      </c>
      <c r="D534" s="14" t="s">
        <v>33</v>
      </c>
      <c r="E534" s="16">
        <f t="shared" ref="E534:G534" si="1599">ROUNDUP((XLOOKUP($D534,$T$3:$T$10,$U$3:$U$10)*XLOOKUP(E$2,$AA$3:$AA$5,$AB$3:$AB$5)-ABS(XLOOKUP($C534,$Q$3:$Q$16,$R$3:$R$16)))*$B534,-5)</f>
        <v>31300000</v>
      </c>
      <c r="F534" s="16">
        <f t="shared" si="1599"/>
        <v>55500000</v>
      </c>
      <c r="G534" s="16">
        <f t="shared" si="1599"/>
        <v>60500000</v>
      </c>
      <c r="H534" s="17">
        <f t="shared" ref="H534:J534" si="1600">roundup((XLOOKUP($D534,$T$3:$T$10,$U$3:$U$10)*XLOOKUP(H$2,$AA$3:$AA$5,$AC$3:$AC$5)-ABS(XLOOKUP($C534,$Q$3:$Q$16,$R$3:$R$16)))*$B534,-5)</f>
        <v>25700000</v>
      </c>
      <c r="I534" s="17">
        <f t="shared" si="1600"/>
        <v>68600000</v>
      </c>
      <c r="J534" s="17">
        <f t="shared" si="1600"/>
        <v>74500000</v>
      </c>
      <c r="K534" s="17">
        <f t="shared" ref="K534:M534" si="1601">roundup((XLOOKUP($D534,$T$3:$T$10,$U$3:$U$10)*XLOOKUP(K$2,$AA$3:$AA$5,$AD$3:$AD$5)-ABS(XLOOKUP($C534,$Q$3:$Q$16,$R$3:$R$16)))*$B534,-5)</f>
        <v>30500000</v>
      </c>
      <c r="L534" s="17">
        <f t="shared" si="1601"/>
        <v>77600000</v>
      </c>
      <c r="M534" s="17">
        <f t="shared" si="1601"/>
        <v>84000000</v>
      </c>
    </row>
    <row r="535">
      <c r="A535" s="14" t="s">
        <v>576</v>
      </c>
      <c r="B535" s="14">
        <v>117.0</v>
      </c>
      <c r="C535" s="15">
        <f t="shared" si="4"/>
        <v>11</v>
      </c>
      <c r="D535" s="14" t="s">
        <v>197</v>
      </c>
      <c r="E535" s="16">
        <f t="shared" ref="E535:G535" si="1602">ROUNDUP((XLOOKUP($D535,$T$3:$T$10,$U$3:$U$10)*XLOOKUP(E$2,$AA$3:$AA$5,$AB$3:$AB$5)-ABS(XLOOKUP($C535,$Q$3:$Q$16,$R$3:$R$16)))*$B535,-5)</f>
        <v>27700000</v>
      </c>
      <c r="F535" s="16">
        <f t="shared" si="1602"/>
        <v>48400000</v>
      </c>
      <c r="G535" s="16">
        <f t="shared" si="1602"/>
        <v>52700000</v>
      </c>
      <c r="H535" s="17">
        <f t="shared" ref="H535:J535" si="1603">roundup((XLOOKUP($D535,$T$3:$T$10,$U$3:$U$10)*XLOOKUP(H$2,$AA$3:$AA$5,$AC$3:$AC$5)-ABS(XLOOKUP($C535,$Q$3:$Q$16,$R$3:$R$16)))*$B535,-5)</f>
        <v>23000000</v>
      </c>
      <c r="I535" s="17">
        <f t="shared" si="1603"/>
        <v>59700000</v>
      </c>
      <c r="J535" s="17">
        <f t="shared" si="1603"/>
        <v>64700000</v>
      </c>
      <c r="K535" s="17">
        <f t="shared" ref="K535:M535" si="1604">roundup((XLOOKUP($D535,$T$3:$T$10,$U$3:$U$10)*XLOOKUP(K$2,$AA$3:$AA$5,$AD$3:$AD$5)-ABS(XLOOKUP($C535,$Q$3:$Q$16,$R$3:$R$16)))*$B535,-5)</f>
        <v>27100000</v>
      </c>
      <c r="L535" s="17">
        <f t="shared" si="1604"/>
        <v>67300000</v>
      </c>
      <c r="M535" s="17">
        <f t="shared" si="1604"/>
        <v>72800000</v>
      </c>
    </row>
    <row r="536">
      <c r="A536" s="14" t="s">
        <v>577</v>
      </c>
      <c r="B536" s="14">
        <v>144.0</v>
      </c>
      <c r="C536" s="15">
        <f t="shared" si="4"/>
        <v>11</v>
      </c>
      <c r="D536" s="14" t="s">
        <v>197</v>
      </c>
      <c r="E536" s="16">
        <f t="shared" ref="E536:G536" si="1605">ROUNDUP((XLOOKUP($D536,$T$3:$T$10,$U$3:$U$10)*XLOOKUP(E$2,$AA$3:$AA$5,$AB$3:$AB$5)-ABS(XLOOKUP($C536,$Q$3:$Q$16,$R$3:$R$16)))*$B536,-5)</f>
        <v>34100000</v>
      </c>
      <c r="F536" s="16">
        <f t="shared" si="1605"/>
        <v>59600000</v>
      </c>
      <c r="G536" s="16">
        <f t="shared" si="1605"/>
        <v>64800000</v>
      </c>
      <c r="H536" s="17">
        <f t="shared" ref="H536:J536" si="1606">roundup((XLOOKUP($D536,$T$3:$T$10,$U$3:$U$10)*XLOOKUP(H$2,$AA$3:$AA$5,$AC$3:$AC$5)-ABS(XLOOKUP($C536,$Q$3:$Q$16,$R$3:$R$16)))*$B536,-5)</f>
        <v>28300000</v>
      </c>
      <c r="I536" s="17">
        <f t="shared" si="1606"/>
        <v>73500000</v>
      </c>
      <c r="J536" s="17">
        <f t="shared" si="1606"/>
        <v>79600000</v>
      </c>
      <c r="K536" s="17">
        <f t="shared" ref="K536:M536" si="1607">roundup((XLOOKUP($D536,$T$3:$T$10,$U$3:$U$10)*XLOOKUP(K$2,$AA$3:$AA$5,$AD$3:$AD$5)-ABS(XLOOKUP($C536,$Q$3:$Q$16,$R$3:$R$16)))*$B536,-5)</f>
        <v>33300000</v>
      </c>
      <c r="L536" s="17">
        <f t="shared" si="1607"/>
        <v>82900000</v>
      </c>
      <c r="M536" s="17">
        <f t="shared" si="1607"/>
        <v>89600000</v>
      </c>
    </row>
    <row r="537">
      <c r="A537" s="14" t="s">
        <v>578</v>
      </c>
      <c r="B537" s="14">
        <v>133.0</v>
      </c>
      <c r="C537" s="15">
        <f t="shared" si="4"/>
        <v>11</v>
      </c>
      <c r="D537" s="14" t="s">
        <v>197</v>
      </c>
      <c r="E537" s="16">
        <f t="shared" ref="E537:G537" si="1608">ROUNDUP((XLOOKUP($D537,$T$3:$T$10,$U$3:$U$10)*XLOOKUP(E$2,$AA$3:$AA$5,$AB$3:$AB$5)-ABS(XLOOKUP($C537,$Q$3:$Q$16,$R$3:$R$16)))*$B537,-5)</f>
        <v>31500000</v>
      </c>
      <c r="F537" s="16">
        <f t="shared" si="1608"/>
        <v>55000000</v>
      </c>
      <c r="G537" s="16">
        <f t="shared" si="1608"/>
        <v>59900000</v>
      </c>
      <c r="H537" s="17">
        <f t="shared" ref="H537:J537" si="1609">roundup((XLOOKUP($D537,$T$3:$T$10,$U$3:$U$10)*XLOOKUP(H$2,$AA$3:$AA$5,$AC$3:$AC$5)-ABS(XLOOKUP($C537,$Q$3:$Q$16,$R$3:$R$16)))*$B537,-5)</f>
        <v>26100000</v>
      </c>
      <c r="I537" s="17">
        <f t="shared" si="1609"/>
        <v>67900000</v>
      </c>
      <c r="J537" s="17">
        <f t="shared" si="1609"/>
        <v>73500000</v>
      </c>
      <c r="K537" s="17">
        <f t="shared" ref="K537:M537" si="1610">roundup((XLOOKUP($D537,$T$3:$T$10,$U$3:$U$10)*XLOOKUP(K$2,$AA$3:$AA$5,$AD$3:$AD$5)-ABS(XLOOKUP($C537,$Q$3:$Q$16,$R$3:$R$16)))*$B537,-5)</f>
        <v>30800000</v>
      </c>
      <c r="L537" s="17">
        <f t="shared" si="1610"/>
        <v>76500000</v>
      </c>
      <c r="M537" s="17">
        <f t="shared" si="1610"/>
        <v>82800000</v>
      </c>
    </row>
    <row r="538">
      <c r="A538" s="14" t="s">
        <v>579</v>
      </c>
      <c r="B538" s="14">
        <v>163.0</v>
      </c>
      <c r="C538" s="15">
        <f t="shared" si="4"/>
        <v>12</v>
      </c>
      <c r="D538" s="14" t="s">
        <v>197</v>
      </c>
      <c r="E538" s="16">
        <f t="shared" ref="E538:G538" si="1611">ROUNDUP((XLOOKUP($D538,$T$3:$T$10,$U$3:$U$10)*XLOOKUP(E$2,$AA$3:$AA$5,$AB$3:$AB$5)-ABS(XLOOKUP($C538,$Q$3:$Q$16,$R$3:$R$16)))*$B538,-5)</f>
        <v>37800000</v>
      </c>
      <c r="F538" s="16">
        <f t="shared" si="1611"/>
        <v>66600000</v>
      </c>
      <c r="G538" s="16">
        <f t="shared" si="1611"/>
        <v>72600000</v>
      </c>
      <c r="H538" s="17">
        <f t="shared" ref="H538:J538" si="1612">roundup((XLOOKUP($D538,$T$3:$T$10,$U$3:$U$10)*XLOOKUP(H$2,$AA$3:$AA$5,$AC$3:$AC$5)-ABS(XLOOKUP($C538,$Q$3:$Q$16,$R$3:$R$16)))*$B538,-5)</f>
        <v>31200000</v>
      </c>
      <c r="I538" s="17">
        <f t="shared" si="1612"/>
        <v>82300000</v>
      </c>
      <c r="J538" s="17">
        <f t="shared" si="1612"/>
        <v>89300000</v>
      </c>
      <c r="K538" s="17">
        <f t="shared" ref="K538:M538" si="1613">roundup((XLOOKUP($D538,$T$3:$T$10,$U$3:$U$10)*XLOOKUP(K$2,$AA$3:$AA$5,$AD$3:$AD$5)-ABS(XLOOKUP($C538,$Q$3:$Q$16,$R$3:$R$16)))*$B538,-5)</f>
        <v>36900000</v>
      </c>
      <c r="L538" s="17">
        <f t="shared" si="1613"/>
        <v>93000000</v>
      </c>
      <c r="M538" s="17">
        <f t="shared" si="1613"/>
        <v>100600000</v>
      </c>
    </row>
    <row r="539">
      <c r="A539" s="14" t="s">
        <v>580</v>
      </c>
      <c r="B539" s="14">
        <v>169.0</v>
      </c>
      <c r="C539" s="15">
        <f t="shared" si="4"/>
        <v>12</v>
      </c>
      <c r="D539" s="14" t="s">
        <v>197</v>
      </c>
      <c r="E539" s="16">
        <f t="shared" ref="E539:G539" si="1614">ROUNDUP((XLOOKUP($D539,$T$3:$T$10,$U$3:$U$10)*XLOOKUP(E$2,$AA$3:$AA$5,$AB$3:$AB$5)-ABS(XLOOKUP($C539,$Q$3:$Q$16,$R$3:$R$16)))*$B539,-5)</f>
        <v>39200000</v>
      </c>
      <c r="F539" s="16">
        <f t="shared" si="1614"/>
        <v>69100000</v>
      </c>
      <c r="G539" s="16">
        <f t="shared" si="1614"/>
        <v>75300000</v>
      </c>
      <c r="H539" s="17">
        <f t="shared" ref="H539:J539" si="1615">roundup((XLOOKUP($D539,$T$3:$T$10,$U$3:$U$10)*XLOOKUP(H$2,$AA$3:$AA$5,$AC$3:$AC$5)-ABS(XLOOKUP($C539,$Q$3:$Q$16,$R$3:$R$16)))*$B539,-5)</f>
        <v>32400000</v>
      </c>
      <c r="I539" s="17">
        <f t="shared" si="1615"/>
        <v>85400000</v>
      </c>
      <c r="J539" s="17">
        <f t="shared" si="1615"/>
        <v>92600000</v>
      </c>
      <c r="K539" s="17">
        <f t="shared" ref="K539:M539" si="1616">roundup((XLOOKUP($D539,$T$3:$T$10,$U$3:$U$10)*XLOOKUP(K$2,$AA$3:$AA$5,$AD$3:$AD$5)-ABS(XLOOKUP($C539,$Q$3:$Q$16,$R$3:$R$16)))*$B539,-5)</f>
        <v>38200000</v>
      </c>
      <c r="L539" s="17">
        <f t="shared" si="1616"/>
        <v>96400000</v>
      </c>
      <c r="M539" s="17">
        <f t="shared" si="1616"/>
        <v>104300000</v>
      </c>
    </row>
    <row r="540">
      <c r="A540" s="14" t="s">
        <v>581</v>
      </c>
      <c r="B540" s="14">
        <v>186.0</v>
      </c>
      <c r="C540" s="15">
        <f t="shared" si="4"/>
        <v>13</v>
      </c>
      <c r="D540" s="14" t="s">
        <v>197</v>
      </c>
      <c r="E540" s="16">
        <f t="shared" ref="E540:G540" si="1617">ROUNDUP((XLOOKUP($D540,$T$3:$T$10,$U$3:$U$10)*XLOOKUP(E$2,$AA$3:$AA$5,$AB$3:$AB$5)-ABS(XLOOKUP($C540,$Q$3:$Q$16,$R$3:$R$16)))*$B540,-5)</f>
        <v>40300000</v>
      </c>
      <c r="F540" s="16">
        <f t="shared" si="1617"/>
        <v>73200000</v>
      </c>
      <c r="G540" s="16">
        <f t="shared" si="1617"/>
        <v>80000000</v>
      </c>
      <c r="H540" s="17">
        <f t="shared" ref="H540:J540" si="1618">roundup((XLOOKUP($D540,$T$3:$T$10,$U$3:$U$10)*XLOOKUP(H$2,$AA$3:$AA$5,$AC$3:$AC$5)-ABS(XLOOKUP($C540,$Q$3:$Q$16,$R$3:$R$16)))*$B540,-5)</f>
        <v>32800000</v>
      </c>
      <c r="I540" s="17">
        <f t="shared" si="1618"/>
        <v>91100000</v>
      </c>
      <c r="J540" s="17">
        <f t="shared" si="1618"/>
        <v>99100000</v>
      </c>
      <c r="K540" s="17">
        <f t="shared" ref="K540:M540" si="1619">roundup((XLOOKUP($D540,$T$3:$T$10,$U$3:$U$10)*XLOOKUP(K$2,$AA$3:$AA$5,$AD$3:$AD$5)-ABS(XLOOKUP($C540,$Q$3:$Q$16,$R$3:$R$16)))*$B540,-5)</f>
        <v>39300000</v>
      </c>
      <c r="L540" s="17">
        <f t="shared" si="1619"/>
        <v>103300000</v>
      </c>
      <c r="M540" s="17">
        <f t="shared" si="1619"/>
        <v>112000000</v>
      </c>
    </row>
    <row r="541">
      <c r="A541" s="14" t="s">
        <v>582</v>
      </c>
      <c r="B541" s="14">
        <v>186.0</v>
      </c>
      <c r="C541" s="15">
        <f t="shared" si="4"/>
        <v>13</v>
      </c>
      <c r="D541" s="14" t="s">
        <v>197</v>
      </c>
      <c r="E541" s="16">
        <f t="shared" ref="E541:G541" si="1620">ROUNDUP((XLOOKUP($D541,$T$3:$T$10,$U$3:$U$10)*XLOOKUP(E$2,$AA$3:$AA$5,$AB$3:$AB$5)-ABS(XLOOKUP($C541,$Q$3:$Q$16,$R$3:$R$16)))*$B541,-5)</f>
        <v>40300000</v>
      </c>
      <c r="F541" s="16">
        <f t="shared" si="1620"/>
        <v>73200000</v>
      </c>
      <c r="G541" s="16">
        <f t="shared" si="1620"/>
        <v>80000000</v>
      </c>
      <c r="H541" s="17">
        <f t="shared" ref="H541:J541" si="1621">roundup((XLOOKUP($D541,$T$3:$T$10,$U$3:$U$10)*XLOOKUP(H$2,$AA$3:$AA$5,$AC$3:$AC$5)-ABS(XLOOKUP($C541,$Q$3:$Q$16,$R$3:$R$16)))*$B541,-5)</f>
        <v>32800000</v>
      </c>
      <c r="I541" s="17">
        <f t="shared" si="1621"/>
        <v>91100000</v>
      </c>
      <c r="J541" s="17">
        <f t="shared" si="1621"/>
        <v>99100000</v>
      </c>
      <c r="K541" s="17">
        <f t="shared" ref="K541:M541" si="1622">roundup((XLOOKUP($D541,$T$3:$T$10,$U$3:$U$10)*XLOOKUP(K$2,$AA$3:$AA$5,$AD$3:$AD$5)-ABS(XLOOKUP($C541,$Q$3:$Q$16,$R$3:$R$16)))*$B541,-5)</f>
        <v>39300000</v>
      </c>
      <c r="L541" s="17">
        <f t="shared" si="1622"/>
        <v>103300000</v>
      </c>
      <c r="M541" s="17">
        <f t="shared" si="1622"/>
        <v>112000000</v>
      </c>
    </row>
    <row r="542">
      <c r="A542" s="14" t="s">
        <v>583</v>
      </c>
      <c r="B542" s="14">
        <v>206.0</v>
      </c>
      <c r="C542" s="15">
        <f t="shared" si="4"/>
        <v>13</v>
      </c>
      <c r="D542" s="14" t="s">
        <v>197</v>
      </c>
      <c r="E542" s="16">
        <f t="shared" ref="E542:G542" si="1623">ROUNDUP((XLOOKUP($D542,$T$3:$T$10,$U$3:$U$10)*XLOOKUP(E$2,$AA$3:$AA$5,$AB$3:$AB$5)-ABS(XLOOKUP($C542,$Q$3:$Q$16,$R$3:$R$16)))*$B542,-5)</f>
        <v>44600000</v>
      </c>
      <c r="F542" s="16">
        <f t="shared" si="1623"/>
        <v>81100000</v>
      </c>
      <c r="G542" s="16">
        <f t="shared" si="1623"/>
        <v>88600000</v>
      </c>
      <c r="H542" s="17">
        <f t="shared" ref="H542:J542" si="1624">roundup((XLOOKUP($D542,$T$3:$T$10,$U$3:$U$10)*XLOOKUP(H$2,$AA$3:$AA$5,$AC$3:$AC$5)-ABS(XLOOKUP($C542,$Q$3:$Q$16,$R$3:$R$16)))*$B542,-5)</f>
        <v>36400000</v>
      </c>
      <c r="I542" s="17">
        <f t="shared" si="1624"/>
        <v>100900000</v>
      </c>
      <c r="J542" s="17">
        <f t="shared" si="1624"/>
        <v>109700000</v>
      </c>
      <c r="K542" s="17">
        <f t="shared" ref="K542:M542" si="1625">roundup((XLOOKUP($D542,$T$3:$T$10,$U$3:$U$10)*XLOOKUP(K$2,$AA$3:$AA$5,$AD$3:$AD$5)-ABS(XLOOKUP($C542,$Q$3:$Q$16,$R$3:$R$16)))*$B542,-5)</f>
        <v>43500000</v>
      </c>
      <c r="L542" s="17">
        <f t="shared" si="1625"/>
        <v>114400000</v>
      </c>
      <c r="M542" s="17">
        <f t="shared" si="1625"/>
        <v>124100000</v>
      </c>
    </row>
    <row r="543">
      <c r="A543" s="14" t="s">
        <v>584</v>
      </c>
      <c r="B543" s="14">
        <v>247.0</v>
      </c>
      <c r="C543" s="15">
        <f t="shared" si="4"/>
        <v>14</v>
      </c>
      <c r="D543" s="14" t="s">
        <v>197</v>
      </c>
      <c r="E543" s="16">
        <f t="shared" ref="E543:G543" si="1626">ROUNDUP((XLOOKUP($D543,$T$3:$T$10,$U$3:$U$10)*XLOOKUP(E$2,$AA$3:$AA$5,$AB$3:$AB$5)-ABS(XLOOKUP($C543,$Q$3:$Q$16,$R$3:$R$16)))*$B543,-5)</f>
        <v>51300000</v>
      </c>
      <c r="F543" s="16">
        <f t="shared" si="1626"/>
        <v>95000000</v>
      </c>
      <c r="G543" s="16">
        <f t="shared" si="1626"/>
        <v>104000000</v>
      </c>
      <c r="H543" s="17">
        <f t="shared" ref="H543:J543" si="1627">roundup((XLOOKUP($D543,$T$3:$T$10,$U$3:$U$10)*XLOOKUP(H$2,$AA$3:$AA$5,$AC$3:$AC$5)-ABS(XLOOKUP($C543,$Q$3:$Q$16,$R$3:$R$16)))*$B543,-5)</f>
        <v>41400000</v>
      </c>
      <c r="I543" s="17">
        <f t="shared" si="1627"/>
        <v>118800000</v>
      </c>
      <c r="J543" s="17">
        <f t="shared" si="1627"/>
        <v>129300000</v>
      </c>
      <c r="K543" s="17">
        <f t="shared" ref="K543:M543" si="1628">roundup((XLOOKUP($D543,$T$3:$T$10,$U$3:$U$10)*XLOOKUP(K$2,$AA$3:$AA$5,$AD$3:$AD$5)-ABS(XLOOKUP($C543,$Q$3:$Q$16,$R$3:$R$16)))*$B543,-5)</f>
        <v>49900000</v>
      </c>
      <c r="L543" s="17">
        <f t="shared" si="1628"/>
        <v>134900000</v>
      </c>
      <c r="M543" s="17">
        <f t="shared" si="1628"/>
        <v>146500000</v>
      </c>
    </row>
    <row r="544">
      <c r="A544" s="14" t="s">
        <v>585</v>
      </c>
      <c r="B544" s="14">
        <v>258.0</v>
      </c>
      <c r="C544" s="15">
        <f t="shared" si="4"/>
        <v>14</v>
      </c>
      <c r="D544" s="14" t="s">
        <v>197</v>
      </c>
      <c r="E544" s="16">
        <f t="shared" ref="E544:G544" si="1629">ROUNDUP((XLOOKUP($D544,$T$3:$T$10,$U$3:$U$10)*XLOOKUP(E$2,$AA$3:$AA$5,$AB$3:$AB$5)-ABS(XLOOKUP($C544,$Q$3:$Q$16,$R$3:$R$16)))*$B544,-5)</f>
        <v>53600000</v>
      </c>
      <c r="F544" s="16">
        <f t="shared" si="1629"/>
        <v>99200000</v>
      </c>
      <c r="G544" s="16">
        <f t="shared" si="1629"/>
        <v>108700000</v>
      </c>
      <c r="H544" s="17">
        <f t="shared" ref="H544:J544" si="1630">roundup((XLOOKUP($D544,$T$3:$T$10,$U$3:$U$10)*XLOOKUP(H$2,$AA$3:$AA$5,$AC$3:$AC$5)-ABS(XLOOKUP($C544,$Q$3:$Q$16,$R$3:$R$16)))*$B544,-5)</f>
        <v>43200000</v>
      </c>
      <c r="I544" s="17">
        <f t="shared" si="1630"/>
        <v>124100000</v>
      </c>
      <c r="J544" s="17">
        <f t="shared" si="1630"/>
        <v>135100000</v>
      </c>
      <c r="K544" s="17">
        <f t="shared" ref="K544:M544" si="1631">roundup((XLOOKUP($D544,$T$3:$T$10,$U$3:$U$10)*XLOOKUP(K$2,$AA$3:$AA$5,$AD$3:$AD$5)-ABS(XLOOKUP($C544,$Q$3:$Q$16,$R$3:$R$16)))*$B544,-5)</f>
        <v>52200000</v>
      </c>
      <c r="L544" s="17">
        <f t="shared" si="1631"/>
        <v>140900000</v>
      </c>
      <c r="M544" s="17">
        <f t="shared" si="1631"/>
        <v>153000000</v>
      </c>
    </row>
    <row r="545">
      <c r="A545" s="14" t="s">
        <v>586</v>
      </c>
      <c r="B545" s="14">
        <v>324.0</v>
      </c>
      <c r="C545" s="15">
        <f t="shared" si="4"/>
        <v>14</v>
      </c>
      <c r="D545" s="14" t="s">
        <v>197</v>
      </c>
      <c r="E545" s="16">
        <f t="shared" ref="E545:G545" si="1632">ROUNDUP((XLOOKUP($D545,$T$3:$T$10,$U$3:$U$10)*XLOOKUP(E$2,$AA$3:$AA$5,$AB$3:$AB$5)-ABS(XLOOKUP($C545,$Q$3:$Q$16,$R$3:$R$16)))*$B545,-5)</f>
        <v>67300000</v>
      </c>
      <c r="F545" s="16">
        <f t="shared" si="1632"/>
        <v>124600000</v>
      </c>
      <c r="G545" s="16">
        <f t="shared" si="1632"/>
        <v>136500000</v>
      </c>
      <c r="H545" s="17">
        <f t="shared" ref="H545:J545" si="1633">roundup((XLOOKUP($D545,$T$3:$T$10,$U$3:$U$10)*XLOOKUP(H$2,$AA$3:$AA$5,$AC$3:$AC$5)-ABS(XLOOKUP($C545,$Q$3:$Q$16,$R$3:$R$16)))*$B545,-5)</f>
        <v>54200000</v>
      </c>
      <c r="I545" s="17">
        <f t="shared" si="1633"/>
        <v>155800000</v>
      </c>
      <c r="J545" s="17">
        <f t="shared" si="1633"/>
        <v>169700000</v>
      </c>
      <c r="K545" s="17">
        <f t="shared" ref="K545:M545" si="1634">roundup((XLOOKUP($D545,$T$3:$T$10,$U$3:$U$10)*XLOOKUP(K$2,$AA$3:$AA$5,$AD$3:$AD$5)-ABS(XLOOKUP($C545,$Q$3:$Q$16,$R$3:$R$16)))*$B545,-5)</f>
        <v>65500000</v>
      </c>
      <c r="L545" s="17">
        <f t="shared" si="1634"/>
        <v>177000000</v>
      </c>
      <c r="M545" s="17">
        <f t="shared" si="1634"/>
        <v>192200000</v>
      </c>
    </row>
    <row r="546">
      <c r="A546" s="14" t="s">
        <v>587</v>
      </c>
      <c r="B546" s="14">
        <v>403.0</v>
      </c>
      <c r="C546" s="15">
        <f t="shared" si="4"/>
        <v>14</v>
      </c>
      <c r="D546" s="14" t="s">
        <v>197</v>
      </c>
      <c r="E546" s="16">
        <f t="shared" ref="E546:G546" si="1635">ROUNDUP((XLOOKUP($D546,$T$3:$T$10,$U$3:$U$10)*XLOOKUP(E$2,$AA$3:$AA$5,$AB$3:$AB$5)-ABS(XLOOKUP($C546,$Q$3:$Q$16,$R$3:$R$16)))*$B546,-5)</f>
        <v>83700000</v>
      </c>
      <c r="F546" s="16">
        <f t="shared" si="1635"/>
        <v>155000000</v>
      </c>
      <c r="G546" s="16">
        <f t="shared" si="1635"/>
        <v>169700000</v>
      </c>
      <c r="H546" s="17">
        <f t="shared" ref="H546:J546" si="1636">roundup((XLOOKUP($D546,$T$3:$T$10,$U$3:$U$10)*XLOOKUP(H$2,$AA$3:$AA$5,$AC$3:$AC$5)-ABS(XLOOKUP($C546,$Q$3:$Q$16,$R$3:$R$16)))*$B546,-5)</f>
        <v>67400000</v>
      </c>
      <c r="I546" s="17">
        <f t="shared" si="1636"/>
        <v>193800000</v>
      </c>
      <c r="J546" s="17">
        <f t="shared" si="1636"/>
        <v>211000000</v>
      </c>
      <c r="K546" s="17">
        <f t="shared" ref="K546:M546" si="1637">roundup((XLOOKUP($D546,$T$3:$T$10,$U$3:$U$10)*XLOOKUP(K$2,$AA$3:$AA$5,$AD$3:$AD$5)-ABS(XLOOKUP($C546,$Q$3:$Q$16,$R$3:$R$16)))*$B546,-5)</f>
        <v>81500000</v>
      </c>
      <c r="L546" s="17">
        <f t="shared" si="1637"/>
        <v>220100000</v>
      </c>
      <c r="M546" s="17">
        <f t="shared" si="1637"/>
        <v>239000000</v>
      </c>
    </row>
    <row r="547">
      <c r="A547" s="14" t="s">
        <v>588</v>
      </c>
      <c r="B547" s="14">
        <v>187.0</v>
      </c>
      <c r="C547" s="15">
        <f t="shared" si="4"/>
        <v>13</v>
      </c>
      <c r="D547" s="14" t="s">
        <v>33</v>
      </c>
      <c r="E547" s="16">
        <f t="shared" ref="E547:G547" si="1638">ROUNDUP((XLOOKUP($D547,$T$3:$T$10,$U$3:$U$10)*XLOOKUP(E$2,$AA$3:$AA$5,$AB$3:$AB$5)-ABS(XLOOKUP($C547,$Q$3:$Q$16,$R$3:$R$16)))*$B547,-5)</f>
        <v>36800000</v>
      </c>
      <c r="F547" s="16">
        <f t="shared" si="1638"/>
        <v>68300000</v>
      </c>
      <c r="G547" s="16">
        <f t="shared" si="1638"/>
        <v>74800000</v>
      </c>
      <c r="H547" s="17">
        <f t="shared" ref="H547:J547" si="1639">roundup((XLOOKUP($D547,$T$3:$T$10,$U$3:$U$10)*XLOOKUP(H$2,$AA$3:$AA$5,$AC$3:$AC$5)-ABS(XLOOKUP($C547,$Q$3:$Q$16,$R$3:$R$16)))*$B547,-5)</f>
        <v>29700000</v>
      </c>
      <c r="I547" s="17">
        <f t="shared" si="1639"/>
        <v>85400000</v>
      </c>
      <c r="J547" s="17">
        <f t="shared" si="1639"/>
        <v>93000000</v>
      </c>
      <c r="K547" s="17">
        <f t="shared" ref="K547:M547" si="1640">roundup((XLOOKUP($D547,$T$3:$T$10,$U$3:$U$10)*XLOOKUP(K$2,$AA$3:$AA$5,$AD$3:$AD$5)-ABS(XLOOKUP($C547,$Q$3:$Q$16,$R$3:$R$16)))*$B547,-5)</f>
        <v>35900000</v>
      </c>
      <c r="L547" s="17">
        <f t="shared" si="1640"/>
        <v>97000000</v>
      </c>
      <c r="M547" s="17">
        <f t="shared" si="1640"/>
        <v>105300000</v>
      </c>
    </row>
    <row r="548">
      <c r="A548" s="14" t="s">
        <v>589</v>
      </c>
      <c r="B548" s="14">
        <v>204.0</v>
      </c>
      <c r="C548" s="15">
        <f t="shared" si="4"/>
        <v>13</v>
      </c>
      <c r="D548" s="14" t="s">
        <v>36</v>
      </c>
      <c r="E548" s="16">
        <f t="shared" ref="E548:G548" si="1641">ROUNDUP((XLOOKUP($D548,$T$3:$T$10,$U$3:$U$10)*XLOOKUP(E$2,$AA$3:$AA$5,$AB$3:$AB$5)-ABS(XLOOKUP($C548,$Q$3:$Q$16,$R$3:$R$16)))*$B548,-5)</f>
        <v>49500000</v>
      </c>
      <c r="F548" s="16">
        <f t="shared" si="1641"/>
        <v>87900000</v>
      </c>
      <c r="G548" s="16">
        <f t="shared" si="1641"/>
        <v>95800000</v>
      </c>
      <c r="H548" s="17">
        <f t="shared" ref="H548:J548" si="1642">roundup((XLOOKUP($D548,$T$3:$T$10,$U$3:$U$10)*XLOOKUP(H$2,$AA$3:$AA$5,$AC$3:$AC$5)-ABS(XLOOKUP($C548,$Q$3:$Q$16,$R$3:$R$16)))*$B548,-5)</f>
        <v>40700000</v>
      </c>
      <c r="I548" s="17">
        <f t="shared" si="1642"/>
        <v>108800000</v>
      </c>
      <c r="J548" s="17">
        <f t="shared" si="1642"/>
        <v>118100000</v>
      </c>
      <c r="K548" s="17">
        <f t="shared" ref="K548:M548" si="1643">roundup((XLOOKUP($D548,$T$3:$T$10,$U$3:$U$10)*XLOOKUP(K$2,$AA$3:$AA$5,$AD$3:$AD$5)-ABS(XLOOKUP($C548,$Q$3:$Q$16,$R$3:$R$16)))*$B548,-5)</f>
        <v>48300000</v>
      </c>
      <c r="L548" s="17">
        <f t="shared" si="1643"/>
        <v>123000000</v>
      </c>
      <c r="M548" s="17">
        <f t="shared" si="1643"/>
        <v>133200000</v>
      </c>
    </row>
    <row r="549">
      <c r="A549" s="14" t="s">
        <v>590</v>
      </c>
      <c r="B549" s="14">
        <v>261.0</v>
      </c>
      <c r="C549" s="15">
        <f t="shared" si="4"/>
        <v>14</v>
      </c>
      <c r="D549" s="14" t="s">
        <v>33</v>
      </c>
      <c r="E549" s="16">
        <f t="shared" ref="E549:G549" si="1644">ROUNDUP((XLOOKUP($D549,$T$3:$T$10,$U$3:$U$10)*XLOOKUP(E$2,$AA$3:$AA$5,$AB$3:$AB$5)-ABS(XLOOKUP($C549,$Q$3:$Q$16,$R$3:$R$16)))*$B549,-5)</f>
        <v>49000000</v>
      </c>
      <c r="F549" s="16">
        <f t="shared" si="1644"/>
        <v>92900000</v>
      </c>
      <c r="G549" s="16">
        <f t="shared" si="1644"/>
        <v>102000000</v>
      </c>
      <c r="H549" s="17">
        <f t="shared" ref="H549:J549" si="1645">roundup((XLOOKUP($D549,$T$3:$T$10,$U$3:$U$10)*XLOOKUP(H$2,$AA$3:$AA$5,$AC$3:$AC$5)-ABS(XLOOKUP($C549,$Q$3:$Q$16,$R$3:$R$16)))*$B549,-5)</f>
        <v>39100000</v>
      </c>
      <c r="I549" s="17">
        <f t="shared" si="1645"/>
        <v>116800000</v>
      </c>
      <c r="J549" s="17">
        <f t="shared" si="1645"/>
        <v>127400000</v>
      </c>
      <c r="K549" s="17">
        <f t="shared" ref="K549:M549" si="1646">roundup((XLOOKUP($D549,$T$3:$T$10,$U$3:$U$10)*XLOOKUP(K$2,$AA$3:$AA$5,$AD$3:$AD$5)-ABS(XLOOKUP($C549,$Q$3:$Q$16,$R$3:$R$16)))*$B549,-5)</f>
        <v>47700000</v>
      </c>
      <c r="L549" s="17">
        <f t="shared" si="1646"/>
        <v>133000000</v>
      </c>
      <c r="M549" s="17">
        <f t="shared" si="1646"/>
        <v>144600000</v>
      </c>
    </row>
    <row r="550">
      <c r="A550" s="14" t="s">
        <v>591</v>
      </c>
      <c r="B550" s="14">
        <v>181.0</v>
      </c>
      <c r="C550" s="15">
        <f t="shared" si="4"/>
        <v>13</v>
      </c>
      <c r="D550" s="14" t="s">
        <v>36</v>
      </c>
      <c r="E550" s="16">
        <f t="shared" ref="E550:G550" si="1647">ROUNDUP((XLOOKUP($D550,$T$3:$T$10,$U$3:$U$10)*XLOOKUP(E$2,$AA$3:$AA$5,$AB$3:$AB$5)-ABS(XLOOKUP($C550,$Q$3:$Q$16,$R$3:$R$16)))*$B550,-5)</f>
        <v>43900000</v>
      </c>
      <c r="F550" s="16">
        <f t="shared" si="1647"/>
        <v>78000000</v>
      </c>
      <c r="G550" s="16">
        <f t="shared" si="1647"/>
        <v>85000000</v>
      </c>
      <c r="H550" s="17">
        <f t="shared" ref="H550:J550" si="1648">roundup((XLOOKUP($D550,$T$3:$T$10,$U$3:$U$10)*XLOOKUP(H$2,$AA$3:$AA$5,$AC$3:$AC$5)-ABS(XLOOKUP($C550,$Q$3:$Q$16,$R$3:$R$16)))*$B550,-5)</f>
        <v>36100000</v>
      </c>
      <c r="I550" s="17">
        <f t="shared" si="1648"/>
        <v>96600000</v>
      </c>
      <c r="J550" s="17">
        <f t="shared" si="1648"/>
        <v>104800000</v>
      </c>
      <c r="K550" s="17">
        <f t="shared" ref="K550:M550" si="1649">roundup((XLOOKUP($D550,$T$3:$T$10,$U$3:$U$10)*XLOOKUP(K$2,$AA$3:$AA$5,$AD$3:$AD$5)-ABS(XLOOKUP($C550,$Q$3:$Q$16,$R$3:$R$16)))*$B550,-5)</f>
        <v>42800000</v>
      </c>
      <c r="L550" s="17">
        <f t="shared" si="1649"/>
        <v>109100000</v>
      </c>
      <c r="M550" s="17">
        <f t="shared" si="1649"/>
        <v>118200000</v>
      </c>
    </row>
    <row r="551">
      <c r="A551" s="14" t="s">
        <v>592</v>
      </c>
      <c r="B551" s="14">
        <v>170.0</v>
      </c>
      <c r="C551" s="15">
        <f t="shared" si="4"/>
        <v>12</v>
      </c>
      <c r="D551" s="14" t="s">
        <v>36</v>
      </c>
      <c r="E551" s="16">
        <f t="shared" ref="E551:G551" si="1650">ROUNDUP((XLOOKUP($D551,$T$3:$T$10,$U$3:$U$10)*XLOOKUP(E$2,$AA$3:$AA$5,$AB$3:$AB$5)-ABS(XLOOKUP($C551,$Q$3:$Q$16,$R$3:$R$16)))*$B551,-5)</f>
        <v>43800000</v>
      </c>
      <c r="F551" s="16">
        <f t="shared" si="1650"/>
        <v>75800000</v>
      </c>
      <c r="G551" s="16">
        <f t="shared" si="1650"/>
        <v>82400000</v>
      </c>
      <c r="H551" s="17">
        <f t="shared" ref="H551:J551" si="1651">roundup((XLOOKUP($D551,$T$3:$T$10,$U$3:$U$10)*XLOOKUP(H$2,$AA$3:$AA$5,$AC$3:$AC$5)-ABS(XLOOKUP($C551,$Q$3:$Q$16,$R$3:$R$16)))*$B551,-5)</f>
        <v>36500000</v>
      </c>
      <c r="I551" s="17">
        <f t="shared" si="1651"/>
        <v>93200000</v>
      </c>
      <c r="J551" s="17">
        <f t="shared" si="1651"/>
        <v>101000000</v>
      </c>
      <c r="K551" s="17">
        <f t="shared" ref="K551:M551" si="1652">roundup((XLOOKUP($D551,$T$3:$T$10,$U$3:$U$10)*XLOOKUP(K$2,$AA$3:$AA$5,$AD$3:$AD$5)-ABS(XLOOKUP($C551,$Q$3:$Q$16,$R$3:$R$16)))*$B551,-5)</f>
        <v>42800000</v>
      </c>
      <c r="L551" s="17">
        <f t="shared" si="1652"/>
        <v>105100000</v>
      </c>
      <c r="M551" s="17">
        <f t="shared" si="1652"/>
        <v>113600000</v>
      </c>
    </row>
    <row r="552">
      <c r="A552" s="14" t="s">
        <v>593</v>
      </c>
      <c r="B552" s="14">
        <v>158.0</v>
      </c>
      <c r="C552" s="15">
        <f t="shared" si="4"/>
        <v>11</v>
      </c>
      <c r="D552" s="14" t="s">
        <v>33</v>
      </c>
      <c r="E552" s="16">
        <f t="shared" ref="E552:G552" si="1653">ROUNDUP((XLOOKUP($D552,$T$3:$T$10,$U$3:$U$10)*XLOOKUP(E$2,$AA$3:$AA$5,$AB$3:$AB$5)-ABS(XLOOKUP($C552,$Q$3:$Q$16,$R$3:$R$16)))*$B552,-5)</f>
        <v>34300000</v>
      </c>
      <c r="F552" s="16">
        <f t="shared" si="1653"/>
        <v>60800000</v>
      </c>
      <c r="G552" s="16">
        <f t="shared" si="1653"/>
        <v>66300000</v>
      </c>
      <c r="H552" s="17">
        <f t="shared" ref="H552:J552" si="1654">roundup((XLOOKUP($D552,$T$3:$T$10,$U$3:$U$10)*XLOOKUP(H$2,$AA$3:$AA$5,$AC$3:$AC$5)-ABS(XLOOKUP($C552,$Q$3:$Q$16,$R$3:$R$16)))*$B552,-5)</f>
        <v>28200000</v>
      </c>
      <c r="I552" s="17">
        <f t="shared" si="1654"/>
        <v>75300000</v>
      </c>
      <c r="J552" s="17">
        <f t="shared" si="1654"/>
        <v>81700000</v>
      </c>
      <c r="K552" s="17">
        <f t="shared" ref="K552:M552" si="1655">roundup((XLOOKUP($D552,$T$3:$T$10,$U$3:$U$10)*XLOOKUP(K$2,$AA$3:$AA$5,$AD$3:$AD$5)-ABS(XLOOKUP($C552,$Q$3:$Q$16,$R$3:$R$16)))*$B552,-5)</f>
        <v>33500000</v>
      </c>
      <c r="L552" s="17">
        <f t="shared" si="1655"/>
        <v>85100000</v>
      </c>
      <c r="M552" s="17">
        <f t="shared" si="1655"/>
        <v>92200000</v>
      </c>
    </row>
    <row r="553">
      <c r="A553" s="14" t="s">
        <v>594</v>
      </c>
      <c r="B553" s="14">
        <v>144.0</v>
      </c>
      <c r="C553" s="15">
        <f t="shared" si="4"/>
        <v>11</v>
      </c>
      <c r="D553" s="14" t="s">
        <v>33</v>
      </c>
      <c r="E553" s="16">
        <f t="shared" ref="E553:G553" si="1656">ROUNDUP((XLOOKUP($D553,$T$3:$T$10,$U$3:$U$10)*XLOOKUP(E$2,$AA$3:$AA$5,$AB$3:$AB$5)-ABS(XLOOKUP($C553,$Q$3:$Q$16,$R$3:$R$16)))*$B553,-5)</f>
        <v>31300000</v>
      </c>
      <c r="F553" s="16">
        <f t="shared" si="1656"/>
        <v>55500000</v>
      </c>
      <c r="G553" s="16">
        <f t="shared" si="1656"/>
        <v>60500000</v>
      </c>
      <c r="H553" s="17">
        <f t="shared" ref="H553:J553" si="1657">roundup((XLOOKUP($D553,$T$3:$T$10,$U$3:$U$10)*XLOOKUP(H$2,$AA$3:$AA$5,$AC$3:$AC$5)-ABS(XLOOKUP($C553,$Q$3:$Q$16,$R$3:$R$16)))*$B553,-5)</f>
        <v>25700000</v>
      </c>
      <c r="I553" s="17">
        <f t="shared" si="1657"/>
        <v>68600000</v>
      </c>
      <c r="J553" s="17">
        <f t="shared" si="1657"/>
        <v>74500000</v>
      </c>
      <c r="K553" s="17">
        <f t="shared" ref="K553:M553" si="1658">roundup((XLOOKUP($D553,$T$3:$T$10,$U$3:$U$10)*XLOOKUP(K$2,$AA$3:$AA$5,$AD$3:$AD$5)-ABS(XLOOKUP($C553,$Q$3:$Q$16,$R$3:$R$16)))*$B553,-5)</f>
        <v>30500000</v>
      </c>
      <c r="L553" s="17">
        <f t="shared" si="1658"/>
        <v>77600000</v>
      </c>
      <c r="M553" s="17">
        <f t="shared" si="1658"/>
        <v>84000000</v>
      </c>
    </row>
    <row r="554">
      <c r="A554" s="14" t="s">
        <v>595</v>
      </c>
      <c r="B554" s="14">
        <v>198.0</v>
      </c>
      <c r="C554" s="15">
        <f t="shared" si="4"/>
        <v>13</v>
      </c>
      <c r="D554" s="14" t="s">
        <v>36</v>
      </c>
      <c r="E554" s="16">
        <f t="shared" ref="E554:G554" si="1659">ROUNDUP((XLOOKUP($D554,$T$3:$T$10,$U$3:$U$10)*XLOOKUP(E$2,$AA$3:$AA$5,$AB$3:$AB$5)-ABS(XLOOKUP($C554,$Q$3:$Q$16,$R$3:$R$16)))*$B554,-5)</f>
        <v>48000000</v>
      </c>
      <c r="F554" s="16">
        <f t="shared" si="1659"/>
        <v>85300000</v>
      </c>
      <c r="G554" s="16">
        <f t="shared" si="1659"/>
        <v>93000000</v>
      </c>
      <c r="H554" s="17">
        <f t="shared" ref="H554:J554" si="1660">roundup((XLOOKUP($D554,$T$3:$T$10,$U$3:$U$10)*XLOOKUP(H$2,$AA$3:$AA$5,$AC$3:$AC$5)-ABS(XLOOKUP($C554,$Q$3:$Q$16,$R$3:$R$16)))*$B554,-5)</f>
        <v>39500000</v>
      </c>
      <c r="I554" s="17">
        <f t="shared" si="1660"/>
        <v>105600000</v>
      </c>
      <c r="J554" s="17">
        <f t="shared" si="1660"/>
        <v>114600000</v>
      </c>
      <c r="K554" s="17">
        <f t="shared" ref="K554:M554" si="1661">roundup((XLOOKUP($D554,$T$3:$T$10,$U$3:$U$10)*XLOOKUP(K$2,$AA$3:$AA$5,$AD$3:$AD$5)-ABS(XLOOKUP($C554,$Q$3:$Q$16,$R$3:$R$16)))*$B554,-5)</f>
        <v>46800000</v>
      </c>
      <c r="L554" s="17">
        <f t="shared" si="1661"/>
        <v>119400000</v>
      </c>
      <c r="M554" s="17">
        <f t="shared" si="1661"/>
        <v>129300000</v>
      </c>
    </row>
    <row r="555">
      <c r="A555" s="14" t="s">
        <v>596</v>
      </c>
      <c r="B555" s="14">
        <v>168.0</v>
      </c>
      <c r="C555" s="15">
        <f t="shared" si="4"/>
        <v>12</v>
      </c>
      <c r="D555" s="14" t="s">
        <v>197</v>
      </c>
      <c r="E555" s="16">
        <f t="shared" ref="E555:G555" si="1662">ROUNDUP((XLOOKUP($D555,$T$3:$T$10,$U$3:$U$10)*XLOOKUP(E$2,$AA$3:$AA$5,$AB$3:$AB$5)-ABS(XLOOKUP($C555,$Q$3:$Q$16,$R$3:$R$16)))*$B555,-5)</f>
        <v>38900000</v>
      </c>
      <c r="F555" s="16">
        <f t="shared" si="1662"/>
        <v>68700000</v>
      </c>
      <c r="G555" s="16">
        <f t="shared" si="1662"/>
        <v>74800000</v>
      </c>
      <c r="H555" s="17">
        <f t="shared" ref="H555:J555" si="1663">roundup((XLOOKUP($D555,$T$3:$T$10,$U$3:$U$10)*XLOOKUP(H$2,$AA$3:$AA$5,$AC$3:$AC$5)-ABS(XLOOKUP($C555,$Q$3:$Q$16,$R$3:$R$16)))*$B555,-5)</f>
        <v>32200000</v>
      </c>
      <c r="I555" s="17">
        <f t="shared" si="1663"/>
        <v>84900000</v>
      </c>
      <c r="J555" s="17">
        <f t="shared" si="1663"/>
        <v>92000000</v>
      </c>
      <c r="K555" s="17">
        <f t="shared" ref="K555:M555" si="1664">roundup((XLOOKUP($D555,$T$3:$T$10,$U$3:$U$10)*XLOOKUP(K$2,$AA$3:$AA$5,$AD$3:$AD$5)-ABS(XLOOKUP($C555,$Q$3:$Q$16,$R$3:$R$16)))*$B555,-5)</f>
        <v>38000000</v>
      </c>
      <c r="L555" s="17">
        <f t="shared" si="1664"/>
        <v>95800000</v>
      </c>
      <c r="M555" s="17">
        <f t="shared" si="1664"/>
        <v>103700000</v>
      </c>
    </row>
    <row r="556">
      <c r="A556" s="14" t="s">
        <v>597</v>
      </c>
      <c r="B556" s="14">
        <v>159.0</v>
      </c>
      <c r="C556" s="15">
        <f t="shared" si="4"/>
        <v>11</v>
      </c>
      <c r="D556" s="14" t="s">
        <v>36</v>
      </c>
      <c r="E556" s="16">
        <f t="shared" ref="E556:G556" si="1665">ROUNDUP((XLOOKUP($D556,$T$3:$T$10,$U$3:$U$10)*XLOOKUP(E$2,$AA$3:$AA$5,$AB$3:$AB$5)-ABS(XLOOKUP($C556,$Q$3:$Q$16,$R$3:$R$16)))*$B556,-5)</f>
        <v>41700000</v>
      </c>
      <c r="F556" s="16">
        <f t="shared" si="1665"/>
        <v>71700000</v>
      </c>
      <c r="G556" s="16">
        <f t="shared" si="1665"/>
        <v>77900000</v>
      </c>
      <c r="H556" s="17">
        <f t="shared" ref="H556:J556" si="1666">roundup((XLOOKUP($D556,$T$3:$T$10,$U$3:$U$10)*XLOOKUP(H$2,$AA$3:$AA$5,$AC$3:$AC$5)-ABS(XLOOKUP($C556,$Q$3:$Q$16,$R$3:$R$16)))*$B556,-5)</f>
        <v>34900000</v>
      </c>
      <c r="I556" s="17">
        <f t="shared" si="1666"/>
        <v>88000000</v>
      </c>
      <c r="J556" s="17">
        <f t="shared" si="1666"/>
        <v>95200000</v>
      </c>
      <c r="K556" s="17">
        <f t="shared" ref="K556:M556" si="1667">roundup((XLOOKUP($D556,$T$3:$T$10,$U$3:$U$10)*XLOOKUP(K$2,$AA$3:$AA$5,$AD$3:$AD$5)-ABS(XLOOKUP($C556,$Q$3:$Q$16,$R$3:$R$16)))*$B556,-5)</f>
        <v>40800000</v>
      </c>
      <c r="L556" s="17">
        <f t="shared" si="1667"/>
        <v>99100000</v>
      </c>
      <c r="M556" s="17">
        <f t="shared" si="1667"/>
        <v>107000000</v>
      </c>
    </row>
    <row r="557">
      <c r="A557" s="14" t="s">
        <v>598</v>
      </c>
      <c r="B557" s="14">
        <v>162.0</v>
      </c>
      <c r="C557" s="15">
        <f t="shared" si="4"/>
        <v>12</v>
      </c>
      <c r="D557" s="14" t="s">
        <v>33</v>
      </c>
      <c r="E557" s="16">
        <f t="shared" ref="E557:G557" si="1668">ROUNDUP((XLOOKUP($D557,$T$3:$T$10,$U$3:$U$10)*XLOOKUP(E$2,$AA$3:$AA$5,$AB$3:$AB$5)-ABS(XLOOKUP($C557,$Q$3:$Q$16,$R$3:$R$16)))*$B557,-5)</f>
        <v>34300000</v>
      </c>
      <c r="F557" s="16">
        <f t="shared" si="1668"/>
        <v>61600000</v>
      </c>
      <c r="G557" s="16">
        <f t="shared" si="1668"/>
        <v>67200000</v>
      </c>
      <c r="H557" s="17">
        <f t="shared" ref="H557:J557" si="1669">roundup((XLOOKUP($D557,$T$3:$T$10,$U$3:$U$10)*XLOOKUP(H$2,$AA$3:$AA$5,$AC$3:$AC$5)-ABS(XLOOKUP($C557,$Q$3:$Q$16,$R$3:$R$16)))*$B557,-5)</f>
        <v>28100000</v>
      </c>
      <c r="I557" s="17">
        <f t="shared" si="1669"/>
        <v>76400000</v>
      </c>
      <c r="J557" s="17">
        <f t="shared" si="1669"/>
        <v>83000000</v>
      </c>
      <c r="K557" s="17">
        <f t="shared" ref="K557:M557" si="1670">roundup((XLOOKUP($D557,$T$3:$T$10,$U$3:$U$10)*XLOOKUP(K$2,$AA$3:$AA$5,$AD$3:$AD$5)-ABS(XLOOKUP($C557,$Q$3:$Q$16,$R$3:$R$16)))*$B557,-5)</f>
        <v>33500000</v>
      </c>
      <c r="L557" s="17">
        <f t="shared" si="1670"/>
        <v>86400000</v>
      </c>
      <c r="M557" s="17">
        <f t="shared" si="1670"/>
        <v>93700000</v>
      </c>
    </row>
    <row r="558">
      <c r="A558" s="14" t="s">
        <v>599</v>
      </c>
      <c r="B558" s="14">
        <v>106.0</v>
      </c>
      <c r="C558" s="15">
        <f t="shared" si="4"/>
        <v>11</v>
      </c>
      <c r="D558" s="14" t="s">
        <v>33</v>
      </c>
      <c r="E558" s="16">
        <f t="shared" ref="E558:G558" si="1671">ROUNDUP((XLOOKUP($D558,$T$3:$T$10,$U$3:$U$10)*XLOOKUP(E$2,$AA$3:$AA$5,$AB$3:$AB$5)-ABS(XLOOKUP($C558,$Q$3:$Q$16,$R$3:$R$16)))*$B558,-5)</f>
        <v>23000000</v>
      </c>
      <c r="F558" s="16">
        <f t="shared" si="1671"/>
        <v>40800000</v>
      </c>
      <c r="G558" s="16">
        <f t="shared" si="1671"/>
        <v>44500000</v>
      </c>
      <c r="H558" s="17">
        <f t="shared" ref="H558:J558" si="1672">roundup((XLOOKUP($D558,$T$3:$T$10,$U$3:$U$10)*XLOOKUP(H$2,$AA$3:$AA$5,$AC$3:$AC$5)-ABS(XLOOKUP($C558,$Q$3:$Q$16,$R$3:$R$16)))*$B558,-5)</f>
        <v>19000000</v>
      </c>
      <c r="I558" s="17">
        <f t="shared" si="1672"/>
        <v>50500000</v>
      </c>
      <c r="J558" s="17">
        <f t="shared" si="1672"/>
        <v>54800000</v>
      </c>
      <c r="K558" s="17">
        <f t="shared" ref="K558:M558" si="1673">roundup((XLOOKUP($D558,$T$3:$T$10,$U$3:$U$10)*XLOOKUP(K$2,$AA$3:$AA$5,$AD$3:$AD$5)-ABS(XLOOKUP($C558,$Q$3:$Q$16,$R$3:$R$16)))*$B558,-5)</f>
        <v>22500000</v>
      </c>
      <c r="L558" s="17">
        <f t="shared" si="1673"/>
        <v>57100000</v>
      </c>
      <c r="M558" s="17">
        <f t="shared" si="1673"/>
        <v>61800000</v>
      </c>
    </row>
    <row r="559">
      <c r="A559" s="14" t="s">
        <v>600</v>
      </c>
      <c r="B559" s="14">
        <v>62.0</v>
      </c>
      <c r="C559" s="15">
        <f t="shared" si="4"/>
        <v>9</v>
      </c>
      <c r="D559" s="14" t="s">
        <v>33</v>
      </c>
      <c r="E559" s="16">
        <f t="shared" ref="E559:G559" si="1674">ROUNDUP((XLOOKUP($D559,$T$3:$T$10,$U$3:$U$10)*XLOOKUP(E$2,$AA$3:$AA$5,$AB$3:$AB$5)-ABS(XLOOKUP($C559,$Q$3:$Q$16,$R$3:$R$16)))*$B559,-5)</f>
        <v>19100000</v>
      </c>
      <c r="F559" s="16">
        <f t="shared" si="1674"/>
        <v>29500000</v>
      </c>
      <c r="G559" s="16">
        <f t="shared" si="1674"/>
        <v>31700000</v>
      </c>
      <c r="H559" s="17">
        <f t="shared" ref="H559:J559" si="1675">roundup((XLOOKUP($D559,$T$3:$T$10,$U$3:$U$10)*XLOOKUP(H$2,$AA$3:$AA$5,$AC$3:$AC$5)-ABS(XLOOKUP($C559,$Q$3:$Q$16,$R$3:$R$16)))*$B559,-5)</f>
        <v>16800000</v>
      </c>
      <c r="I559" s="17">
        <f t="shared" si="1675"/>
        <v>35200000</v>
      </c>
      <c r="J559" s="17">
        <f t="shared" si="1675"/>
        <v>37700000</v>
      </c>
      <c r="K559" s="17">
        <f t="shared" ref="K559:M559" si="1676">roundup((XLOOKUP($D559,$T$3:$T$10,$U$3:$U$10)*XLOOKUP(K$2,$AA$3:$AA$5,$AD$3:$AD$5)-ABS(XLOOKUP($C559,$Q$3:$Q$16,$R$3:$R$16)))*$B559,-5)</f>
        <v>18800000</v>
      </c>
      <c r="L559" s="17">
        <f t="shared" si="1676"/>
        <v>39100000</v>
      </c>
      <c r="M559" s="17">
        <f t="shared" si="1676"/>
        <v>41800000</v>
      </c>
    </row>
    <row r="560">
      <c r="A560" s="14" t="s">
        <v>601</v>
      </c>
      <c r="B560" s="14">
        <v>106.0</v>
      </c>
      <c r="C560" s="15">
        <f t="shared" si="4"/>
        <v>11</v>
      </c>
      <c r="D560" s="14" t="s">
        <v>36</v>
      </c>
      <c r="E560" s="16">
        <f t="shared" ref="E560:G560" si="1677">ROUNDUP((XLOOKUP($D560,$T$3:$T$10,$U$3:$U$10)*XLOOKUP(E$2,$AA$3:$AA$5,$AB$3:$AB$5)-ABS(XLOOKUP($C560,$Q$3:$Q$16,$R$3:$R$16)))*$B560,-5)</f>
        <v>27800000</v>
      </c>
      <c r="F560" s="16">
        <f t="shared" si="1677"/>
        <v>47800000</v>
      </c>
      <c r="G560" s="16">
        <f t="shared" si="1677"/>
        <v>51900000</v>
      </c>
      <c r="H560" s="17">
        <f t="shared" ref="H560:J560" si="1678">roundup((XLOOKUP($D560,$T$3:$T$10,$U$3:$U$10)*XLOOKUP(H$2,$AA$3:$AA$5,$AC$3:$AC$5)-ABS(XLOOKUP($C560,$Q$3:$Q$16,$R$3:$R$16)))*$B560,-5)</f>
        <v>23300000</v>
      </c>
      <c r="I560" s="17">
        <f t="shared" si="1678"/>
        <v>58700000</v>
      </c>
      <c r="J560" s="17">
        <f t="shared" si="1678"/>
        <v>63500000</v>
      </c>
      <c r="K560" s="17">
        <f t="shared" ref="K560:M560" si="1679">roundup((XLOOKUP($D560,$T$3:$T$10,$U$3:$U$10)*XLOOKUP(K$2,$AA$3:$AA$5,$AD$3:$AD$5)-ABS(XLOOKUP($C560,$Q$3:$Q$16,$R$3:$R$16)))*$B560,-5)</f>
        <v>27200000</v>
      </c>
      <c r="L560" s="17">
        <f t="shared" si="1679"/>
        <v>66100000</v>
      </c>
      <c r="M560" s="17">
        <f t="shared" si="1679"/>
        <v>71400000</v>
      </c>
    </row>
    <row r="561">
      <c r="A561" s="14" t="s">
        <v>602</v>
      </c>
      <c r="B561" s="14">
        <v>162.0</v>
      </c>
      <c r="C561" s="15">
        <f t="shared" si="4"/>
        <v>12</v>
      </c>
      <c r="D561" s="14" t="s">
        <v>36</v>
      </c>
      <c r="E561" s="16">
        <f t="shared" ref="E561:G561" si="1680">ROUNDUP((XLOOKUP($D561,$T$3:$T$10,$U$3:$U$10)*XLOOKUP(E$2,$AA$3:$AA$5,$AB$3:$AB$5)-ABS(XLOOKUP($C561,$Q$3:$Q$16,$R$3:$R$16)))*$B561,-5)</f>
        <v>41700000</v>
      </c>
      <c r="F561" s="16">
        <f t="shared" si="1680"/>
        <v>72200000</v>
      </c>
      <c r="G561" s="16">
        <f t="shared" si="1680"/>
        <v>78500000</v>
      </c>
      <c r="H561" s="17">
        <f t="shared" ref="H561:J561" si="1681">roundup((XLOOKUP($D561,$T$3:$T$10,$U$3:$U$10)*XLOOKUP(H$2,$AA$3:$AA$5,$AC$3:$AC$5)-ABS(XLOOKUP($C561,$Q$3:$Q$16,$R$3:$R$16)))*$B561,-5)</f>
        <v>34800000</v>
      </c>
      <c r="I561" s="17">
        <f t="shared" si="1681"/>
        <v>88900000</v>
      </c>
      <c r="J561" s="17">
        <f t="shared" si="1681"/>
        <v>96200000</v>
      </c>
      <c r="K561" s="17">
        <f t="shared" ref="K561:M561" si="1682">roundup((XLOOKUP($D561,$T$3:$T$10,$U$3:$U$10)*XLOOKUP(K$2,$AA$3:$AA$5,$AD$3:$AD$5)-ABS(XLOOKUP($C561,$Q$3:$Q$16,$R$3:$R$16)))*$B561,-5)</f>
        <v>40800000</v>
      </c>
      <c r="L561" s="17">
        <f t="shared" si="1682"/>
        <v>100100000</v>
      </c>
      <c r="M561" s="17">
        <f t="shared" si="1682"/>
        <v>108200000</v>
      </c>
    </row>
    <row r="562">
      <c r="A562" s="14" t="s">
        <v>603</v>
      </c>
      <c r="B562" s="14">
        <v>167.0</v>
      </c>
      <c r="C562" s="15">
        <f t="shared" si="4"/>
        <v>12</v>
      </c>
      <c r="D562" s="14" t="s">
        <v>33</v>
      </c>
      <c r="E562" s="16">
        <f t="shared" ref="E562:G562" si="1683">ROUNDUP((XLOOKUP($D562,$T$3:$T$10,$U$3:$U$10)*XLOOKUP(E$2,$AA$3:$AA$5,$AB$3:$AB$5)-ABS(XLOOKUP($C562,$Q$3:$Q$16,$R$3:$R$16)))*$B562,-5)</f>
        <v>35400000</v>
      </c>
      <c r="F562" s="16">
        <f t="shared" si="1683"/>
        <v>63500000</v>
      </c>
      <c r="G562" s="16">
        <f t="shared" si="1683"/>
        <v>69300000</v>
      </c>
      <c r="H562" s="17">
        <f t="shared" ref="H562:J562" si="1684">roundup((XLOOKUP($D562,$T$3:$T$10,$U$3:$U$10)*XLOOKUP(H$2,$AA$3:$AA$5,$AC$3:$AC$5)-ABS(XLOOKUP($C562,$Q$3:$Q$16,$R$3:$R$16)))*$B562,-5)</f>
        <v>29000000</v>
      </c>
      <c r="I562" s="17">
        <f t="shared" si="1684"/>
        <v>78800000</v>
      </c>
      <c r="J562" s="17">
        <f t="shared" si="1684"/>
        <v>85500000</v>
      </c>
      <c r="K562" s="17">
        <f t="shared" ref="K562:M562" si="1685">roundup((XLOOKUP($D562,$T$3:$T$10,$U$3:$U$10)*XLOOKUP(K$2,$AA$3:$AA$5,$AD$3:$AD$5)-ABS(XLOOKUP($C562,$Q$3:$Q$16,$R$3:$R$16)))*$B562,-5)</f>
        <v>34500000</v>
      </c>
      <c r="L562" s="17">
        <f t="shared" si="1685"/>
        <v>89100000</v>
      </c>
      <c r="M562" s="17">
        <f t="shared" si="1685"/>
        <v>96600000</v>
      </c>
    </row>
    <row r="563">
      <c r="A563" s="14" t="s">
        <v>604</v>
      </c>
      <c r="B563" s="14">
        <v>133.0</v>
      </c>
      <c r="C563" s="15">
        <f t="shared" si="4"/>
        <v>11</v>
      </c>
      <c r="D563" s="14" t="s">
        <v>36</v>
      </c>
      <c r="E563" s="16">
        <f t="shared" ref="E563:G563" si="1686">ROUNDUP((XLOOKUP($D563,$T$3:$T$10,$U$3:$U$10)*XLOOKUP(E$2,$AA$3:$AA$5,$AB$3:$AB$5)-ABS(XLOOKUP($C563,$Q$3:$Q$16,$R$3:$R$16)))*$B563,-5)</f>
        <v>34900000</v>
      </c>
      <c r="F563" s="16">
        <f t="shared" si="1686"/>
        <v>60000000</v>
      </c>
      <c r="G563" s="16">
        <f t="shared" si="1686"/>
        <v>65200000</v>
      </c>
      <c r="H563" s="17">
        <f t="shared" ref="H563:J563" si="1687">roundup((XLOOKUP($D563,$T$3:$T$10,$U$3:$U$10)*XLOOKUP(H$2,$AA$3:$AA$5,$AC$3:$AC$5)-ABS(XLOOKUP($C563,$Q$3:$Q$16,$R$3:$R$16)))*$B563,-5)</f>
        <v>29200000</v>
      </c>
      <c r="I563" s="17">
        <f t="shared" si="1687"/>
        <v>73600000</v>
      </c>
      <c r="J563" s="17">
        <f t="shared" si="1687"/>
        <v>79700000</v>
      </c>
      <c r="K563" s="17">
        <f t="shared" ref="K563:M563" si="1688">roundup((XLOOKUP($D563,$T$3:$T$10,$U$3:$U$10)*XLOOKUP(K$2,$AA$3:$AA$5,$AD$3:$AD$5)-ABS(XLOOKUP($C563,$Q$3:$Q$16,$R$3:$R$16)))*$B563,-5)</f>
        <v>34100000</v>
      </c>
      <c r="L563" s="17">
        <f t="shared" si="1688"/>
        <v>82900000</v>
      </c>
      <c r="M563" s="17">
        <f t="shared" si="1688"/>
        <v>89500000</v>
      </c>
    </row>
    <row r="564">
      <c r="A564" s="14" t="s">
        <v>605</v>
      </c>
      <c r="B564" s="14">
        <v>70.0</v>
      </c>
      <c r="C564" s="15">
        <f t="shared" si="4"/>
        <v>9</v>
      </c>
      <c r="D564" s="14" t="s">
        <v>33</v>
      </c>
      <c r="E564" s="16">
        <f t="shared" ref="E564:G564" si="1689">ROUNDUP((XLOOKUP($D564,$T$3:$T$10,$U$3:$U$10)*XLOOKUP(E$2,$AA$3:$AA$5,$AB$3:$AB$5)-ABS(XLOOKUP($C564,$Q$3:$Q$16,$R$3:$R$16)))*$B564,-5)</f>
        <v>21600000</v>
      </c>
      <c r="F564" s="16">
        <f t="shared" si="1689"/>
        <v>33400000</v>
      </c>
      <c r="G564" s="16">
        <f t="shared" si="1689"/>
        <v>35800000</v>
      </c>
      <c r="H564" s="17">
        <f t="shared" ref="H564:J564" si="1690">roundup((XLOOKUP($D564,$T$3:$T$10,$U$3:$U$10)*XLOOKUP(H$2,$AA$3:$AA$5,$AC$3:$AC$5)-ABS(XLOOKUP($C564,$Q$3:$Q$16,$R$3:$R$16)))*$B564,-5)</f>
        <v>18900000</v>
      </c>
      <c r="I564" s="17">
        <f t="shared" si="1690"/>
        <v>39800000</v>
      </c>
      <c r="J564" s="17">
        <f t="shared" si="1690"/>
        <v>42600000</v>
      </c>
      <c r="K564" s="17">
        <f t="shared" ref="K564:M564" si="1691">roundup((XLOOKUP($D564,$T$3:$T$10,$U$3:$U$10)*XLOOKUP(K$2,$AA$3:$AA$5,$AD$3:$AD$5)-ABS(XLOOKUP($C564,$Q$3:$Q$16,$R$3:$R$16)))*$B564,-5)</f>
        <v>21200000</v>
      </c>
      <c r="L564" s="17">
        <f t="shared" si="1691"/>
        <v>44100000</v>
      </c>
      <c r="M564" s="17">
        <f t="shared" si="1691"/>
        <v>47200000</v>
      </c>
    </row>
    <row r="565">
      <c r="A565" s="14" t="s">
        <v>606</v>
      </c>
      <c r="B565" s="14">
        <v>171.0</v>
      </c>
      <c r="C565" s="15">
        <f t="shared" si="4"/>
        <v>12</v>
      </c>
      <c r="D565" s="14" t="s">
        <v>33</v>
      </c>
      <c r="E565" s="16">
        <f t="shared" ref="E565:G565" si="1692">ROUNDUP((XLOOKUP($D565,$T$3:$T$10,$U$3:$U$10)*XLOOKUP(E$2,$AA$3:$AA$5,$AB$3:$AB$5)-ABS(XLOOKUP($C565,$Q$3:$Q$16,$R$3:$R$16)))*$B565,-5)</f>
        <v>36200000</v>
      </c>
      <c r="F565" s="16">
        <f t="shared" si="1692"/>
        <v>65000000</v>
      </c>
      <c r="G565" s="16">
        <f t="shared" si="1692"/>
        <v>70900000</v>
      </c>
      <c r="H565" s="17">
        <f t="shared" ref="H565:J565" si="1693">roundup((XLOOKUP($D565,$T$3:$T$10,$U$3:$U$10)*XLOOKUP(H$2,$AA$3:$AA$5,$AC$3:$AC$5)-ABS(XLOOKUP($C565,$Q$3:$Q$16,$R$3:$R$16)))*$B565,-5)</f>
        <v>29700000</v>
      </c>
      <c r="I565" s="17">
        <f t="shared" si="1693"/>
        <v>80600000</v>
      </c>
      <c r="J565" s="17">
        <f t="shared" si="1693"/>
        <v>87600000</v>
      </c>
      <c r="K565" s="17">
        <f t="shared" ref="K565:M565" si="1694">roundup((XLOOKUP($D565,$T$3:$T$10,$U$3:$U$10)*XLOOKUP(K$2,$AA$3:$AA$5,$AD$3:$AD$5)-ABS(XLOOKUP($C565,$Q$3:$Q$16,$R$3:$R$16)))*$B565,-5)</f>
        <v>35400000</v>
      </c>
      <c r="L565" s="17">
        <f t="shared" si="1694"/>
        <v>91200000</v>
      </c>
      <c r="M565" s="17">
        <f t="shared" si="1694"/>
        <v>98900000</v>
      </c>
    </row>
    <row r="566">
      <c r="A566" s="14" t="s">
        <v>607</v>
      </c>
      <c r="B566" s="14">
        <v>131.0</v>
      </c>
      <c r="C566" s="15">
        <f t="shared" si="4"/>
        <v>11</v>
      </c>
      <c r="D566" s="14" t="s">
        <v>36</v>
      </c>
      <c r="E566" s="16">
        <f t="shared" ref="E566:G566" si="1695">ROUNDUP((XLOOKUP($D566,$T$3:$T$10,$U$3:$U$10)*XLOOKUP(E$2,$AA$3:$AA$5,$AB$3:$AB$5)-ABS(XLOOKUP($C566,$Q$3:$Q$16,$R$3:$R$16)))*$B566,-5)</f>
        <v>34400000</v>
      </c>
      <c r="F566" s="16">
        <f t="shared" si="1695"/>
        <v>59100000</v>
      </c>
      <c r="G566" s="16">
        <f t="shared" si="1695"/>
        <v>64200000</v>
      </c>
      <c r="H566" s="17">
        <f t="shared" ref="H566:J566" si="1696">roundup((XLOOKUP($D566,$T$3:$T$10,$U$3:$U$10)*XLOOKUP(H$2,$AA$3:$AA$5,$AC$3:$AC$5)-ABS(XLOOKUP($C566,$Q$3:$Q$16,$R$3:$R$16)))*$B566,-5)</f>
        <v>28800000</v>
      </c>
      <c r="I566" s="17">
        <f t="shared" si="1696"/>
        <v>72500000</v>
      </c>
      <c r="J566" s="17">
        <f t="shared" si="1696"/>
        <v>78500000</v>
      </c>
      <c r="K566" s="17">
        <f t="shared" ref="K566:M566" si="1697">roundup((XLOOKUP($D566,$T$3:$T$10,$U$3:$U$10)*XLOOKUP(K$2,$AA$3:$AA$5,$AD$3:$AD$5)-ABS(XLOOKUP($C566,$Q$3:$Q$16,$R$3:$R$16)))*$B566,-5)</f>
        <v>33600000</v>
      </c>
      <c r="L566" s="17">
        <f t="shared" si="1697"/>
        <v>81600000</v>
      </c>
      <c r="M566" s="17">
        <f t="shared" si="1697"/>
        <v>88200000</v>
      </c>
    </row>
    <row r="567">
      <c r="A567" s="14" t="s">
        <v>608</v>
      </c>
      <c r="B567" s="14">
        <v>110.0</v>
      </c>
      <c r="C567" s="15">
        <f t="shared" si="4"/>
        <v>11</v>
      </c>
      <c r="D567" s="14" t="s">
        <v>36</v>
      </c>
      <c r="E567" s="16">
        <f t="shared" ref="E567:G567" si="1698">ROUNDUP((XLOOKUP($D567,$T$3:$T$10,$U$3:$U$10)*XLOOKUP(E$2,$AA$3:$AA$5,$AB$3:$AB$5)-ABS(XLOOKUP($C567,$Q$3:$Q$16,$R$3:$R$16)))*$B567,-5)</f>
        <v>28900000</v>
      </c>
      <c r="F567" s="16">
        <f t="shared" si="1698"/>
        <v>49600000</v>
      </c>
      <c r="G567" s="16">
        <f t="shared" si="1698"/>
        <v>53900000</v>
      </c>
      <c r="H567" s="17">
        <f t="shared" ref="H567:J567" si="1699">roundup((XLOOKUP($D567,$T$3:$T$10,$U$3:$U$10)*XLOOKUP(H$2,$AA$3:$AA$5,$AC$3:$AC$5)-ABS(XLOOKUP($C567,$Q$3:$Q$16,$R$3:$R$16)))*$B567,-5)</f>
        <v>24200000</v>
      </c>
      <c r="I567" s="17">
        <f t="shared" si="1699"/>
        <v>60900000</v>
      </c>
      <c r="J567" s="17">
        <f t="shared" si="1699"/>
        <v>65900000</v>
      </c>
      <c r="K567" s="17">
        <f t="shared" ref="K567:M567" si="1700">roundup((XLOOKUP($D567,$T$3:$T$10,$U$3:$U$10)*XLOOKUP(K$2,$AA$3:$AA$5,$AD$3:$AD$5)-ABS(XLOOKUP($C567,$Q$3:$Q$16,$R$3:$R$16)))*$B567,-5)</f>
        <v>28200000</v>
      </c>
      <c r="L567" s="17">
        <f t="shared" si="1700"/>
        <v>68500000</v>
      </c>
      <c r="M567" s="17">
        <f t="shared" si="1700"/>
        <v>74000000</v>
      </c>
    </row>
    <row r="568">
      <c r="A568" s="14" t="s">
        <v>609</v>
      </c>
      <c r="B568" s="14">
        <v>104.0</v>
      </c>
      <c r="C568" s="15">
        <f t="shared" si="4"/>
        <v>11</v>
      </c>
      <c r="D568" s="14" t="s">
        <v>36</v>
      </c>
      <c r="E568" s="16">
        <f t="shared" ref="E568:G568" si="1701">ROUNDUP((XLOOKUP($D568,$T$3:$T$10,$U$3:$U$10)*XLOOKUP(E$2,$AA$3:$AA$5,$AB$3:$AB$5)-ABS(XLOOKUP($C568,$Q$3:$Q$16,$R$3:$R$16)))*$B568,-5)</f>
        <v>27300000</v>
      </c>
      <c r="F568" s="16">
        <f t="shared" si="1701"/>
        <v>46900000</v>
      </c>
      <c r="G568" s="16">
        <f t="shared" si="1701"/>
        <v>51000000</v>
      </c>
      <c r="H568" s="17">
        <f t="shared" ref="H568:J568" si="1702">roundup((XLOOKUP($D568,$T$3:$T$10,$U$3:$U$10)*XLOOKUP(H$2,$AA$3:$AA$5,$AC$3:$AC$5)-ABS(XLOOKUP($C568,$Q$3:$Q$16,$R$3:$R$16)))*$B568,-5)</f>
        <v>22900000</v>
      </c>
      <c r="I568" s="17">
        <f t="shared" si="1702"/>
        <v>57600000</v>
      </c>
      <c r="J568" s="17">
        <f t="shared" si="1702"/>
        <v>62300000</v>
      </c>
      <c r="K568" s="17">
        <f t="shared" ref="K568:M568" si="1703">roundup((XLOOKUP($D568,$T$3:$T$10,$U$3:$U$10)*XLOOKUP(K$2,$AA$3:$AA$5,$AD$3:$AD$5)-ABS(XLOOKUP($C568,$Q$3:$Q$16,$R$3:$R$16)))*$B568,-5)</f>
        <v>26700000</v>
      </c>
      <c r="L568" s="17">
        <f t="shared" si="1703"/>
        <v>64800000</v>
      </c>
      <c r="M568" s="17">
        <f t="shared" si="1703"/>
        <v>70000000</v>
      </c>
    </row>
    <row r="569">
      <c r="A569" s="14" t="s">
        <v>610</v>
      </c>
      <c r="B569" s="14">
        <v>37.0</v>
      </c>
      <c r="C569" s="15">
        <f t="shared" si="4"/>
        <v>4</v>
      </c>
      <c r="D569" s="14" t="s">
        <v>33</v>
      </c>
      <c r="E569" s="16">
        <f t="shared" ref="E569:G569" si="1704">ROUNDUP((XLOOKUP($D569,$T$3:$T$10,$U$3:$U$10)*XLOOKUP(E$2,$AA$3:$AA$5,$AB$3:$AB$5)-ABS(XLOOKUP($C569,$Q$3:$Q$16,$R$3:$R$16)))*$B569,-5)</f>
        <v>12700000</v>
      </c>
      <c r="F569" s="16">
        <f t="shared" si="1704"/>
        <v>18900000</v>
      </c>
      <c r="G569" s="16">
        <f t="shared" si="1704"/>
        <v>20200000</v>
      </c>
      <c r="H569" s="17">
        <f t="shared" ref="H569:J569" si="1705">roundup((XLOOKUP($D569,$T$3:$T$10,$U$3:$U$10)*XLOOKUP(H$2,$AA$3:$AA$5,$AC$3:$AC$5)-ABS(XLOOKUP($C569,$Q$3:$Q$16,$R$3:$R$16)))*$B569,-5)</f>
        <v>11200000</v>
      </c>
      <c r="I569" s="17">
        <f t="shared" si="1705"/>
        <v>22300000</v>
      </c>
      <c r="J569" s="17">
        <f t="shared" si="1705"/>
        <v>23800000</v>
      </c>
      <c r="K569" s="17">
        <f t="shared" ref="K569:M569" si="1706">roundup((XLOOKUP($D569,$T$3:$T$10,$U$3:$U$10)*XLOOKUP(K$2,$AA$3:$AA$5,$AD$3:$AD$5)-ABS(XLOOKUP($C569,$Q$3:$Q$16,$R$3:$R$16)))*$B569,-5)</f>
        <v>12500000</v>
      </c>
      <c r="L569" s="17">
        <f t="shared" si="1706"/>
        <v>24600000</v>
      </c>
      <c r="M569" s="17">
        <f t="shared" si="1706"/>
        <v>26200000</v>
      </c>
    </row>
    <row r="570">
      <c r="A570" s="14" t="s">
        <v>611</v>
      </c>
      <c r="B570" s="14">
        <v>69.0</v>
      </c>
      <c r="C570" s="15">
        <f t="shared" si="4"/>
        <v>9</v>
      </c>
      <c r="D570" s="14" t="s">
        <v>33</v>
      </c>
      <c r="E570" s="16">
        <f t="shared" ref="E570:G570" si="1707">ROUNDUP((XLOOKUP($D570,$T$3:$T$10,$U$3:$U$10)*XLOOKUP(E$2,$AA$3:$AA$5,$AB$3:$AB$5)-ABS(XLOOKUP($C570,$Q$3:$Q$16,$R$3:$R$16)))*$B570,-5)</f>
        <v>21300000</v>
      </c>
      <c r="F570" s="16">
        <f t="shared" si="1707"/>
        <v>32900000</v>
      </c>
      <c r="G570" s="16">
        <f t="shared" si="1707"/>
        <v>35300000</v>
      </c>
      <c r="H570" s="17">
        <f t="shared" ref="H570:J570" si="1708">roundup((XLOOKUP($D570,$T$3:$T$10,$U$3:$U$10)*XLOOKUP(H$2,$AA$3:$AA$5,$AC$3:$AC$5)-ABS(XLOOKUP($C570,$Q$3:$Q$16,$R$3:$R$16)))*$B570,-5)</f>
        <v>18600000</v>
      </c>
      <c r="I570" s="17">
        <f t="shared" si="1708"/>
        <v>39200000</v>
      </c>
      <c r="J570" s="17">
        <f t="shared" si="1708"/>
        <v>42000000</v>
      </c>
      <c r="K570" s="17">
        <f t="shared" ref="K570:M570" si="1709">roundup((XLOOKUP($D570,$T$3:$T$10,$U$3:$U$10)*XLOOKUP(K$2,$AA$3:$AA$5,$AD$3:$AD$5)-ABS(XLOOKUP($C570,$Q$3:$Q$16,$R$3:$R$16)))*$B570,-5)</f>
        <v>20900000</v>
      </c>
      <c r="L570" s="17">
        <f t="shared" si="1709"/>
        <v>43500000</v>
      </c>
      <c r="M570" s="17">
        <f t="shared" si="1709"/>
        <v>46600000</v>
      </c>
    </row>
    <row r="571">
      <c r="A571" s="14" t="s">
        <v>612</v>
      </c>
      <c r="B571" s="14">
        <v>73.0</v>
      </c>
      <c r="C571" s="15">
        <f t="shared" si="4"/>
        <v>9</v>
      </c>
      <c r="D571" s="14" t="s">
        <v>33</v>
      </c>
      <c r="E571" s="16">
        <f t="shared" ref="E571:G571" si="1710">ROUNDUP((XLOOKUP($D571,$T$3:$T$10,$U$3:$U$10)*XLOOKUP(E$2,$AA$3:$AA$5,$AB$3:$AB$5)-ABS(XLOOKUP($C571,$Q$3:$Q$16,$R$3:$R$16)))*$B571,-5)</f>
        <v>22500000</v>
      </c>
      <c r="F571" s="16">
        <f t="shared" si="1710"/>
        <v>34800000</v>
      </c>
      <c r="G571" s="16">
        <f t="shared" si="1710"/>
        <v>37300000</v>
      </c>
      <c r="H571" s="17">
        <f t="shared" ref="H571:J571" si="1711">roundup((XLOOKUP($D571,$T$3:$T$10,$U$3:$U$10)*XLOOKUP(H$2,$AA$3:$AA$5,$AC$3:$AC$5)-ABS(XLOOKUP($C571,$Q$3:$Q$16,$R$3:$R$16)))*$B571,-5)</f>
        <v>19700000</v>
      </c>
      <c r="I571" s="17">
        <f t="shared" si="1711"/>
        <v>41500000</v>
      </c>
      <c r="J571" s="17">
        <f t="shared" si="1711"/>
        <v>44400000</v>
      </c>
      <c r="K571" s="17">
        <f t="shared" ref="K571:M571" si="1712">roundup((XLOOKUP($D571,$T$3:$T$10,$U$3:$U$10)*XLOOKUP(K$2,$AA$3:$AA$5,$AD$3:$AD$5)-ABS(XLOOKUP($C571,$Q$3:$Q$16,$R$3:$R$16)))*$B571,-5)</f>
        <v>22100000</v>
      </c>
      <c r="L571" s="17">
        <f t="shared" si="1712"/>
        <v>46000000</v>
      </c>
      <c r="M571" s="17">
        <f t="shared" si="1712"/>
        <v>49200000</v>
      </c>
    </row>
    <row r="572">
      <c r="A572" s="14" t="s">
        <v>613</v>
      </c>
      <c r="B572" s="14">
        <v>115.0</v>
      </c>
      <c r="C572" s="15">
        <f t="shared" si="4"/>
        <v>11</v>
      </c>
      <c r="D572" s="14" t="s">
        <v>33</v>
      </c>
      <c r="E572" s="16">
        <f t="shared" ref="E572:G572" si="1713">ROUNDUP((XLOOKUP($D572,$T$3:$T$10,$U$3:$U$10)*XLOOKUP(E$2,$AA$3:$AA$5,$AB$3:$AB$5)-ABS(XLOOKUP($C572,$Q$3:$Q$16,$R$3:$R$16)))*$B572,-5)</f>
        <v>25000000</v>
      </c>
      <c r="F572" s="16">
        <f t="shared" si="1713"/>
        <v>44300000</v>
      </c>
      <c r="G572" s="16">
        <f t="shared" si="1713"/>
        <v>48300000</v>
      </c>
      <c r="H572" s="17">
        <f t="shared" ref="H572:J572" si="1714">roundup((XLOOKUP($D572,$T$3:$T$10,$U$3:$U$10)*XLOOKUP(H$2,$AA$3:$AA$5,$AC$3:$AC$5)-ABS(XLOOKUP($C572,$Q$3:$Q$16,$R$3:$R$16)))*$B572,-5)</f>
        <v>20600000</v>
      </c>
      <c r="I572" s="17">
        <f t="shared" si="1714"/>
        <v>54800000</v>
      </c>
      <c r="J572" s="17">
        <f t="shared" si="1714"/>
        <v>59500000</v>
      </c>
      <c r="K572" s="17">
        <f t="shared" ref="K572:M572" si="1715">roundup((XLOOKUP($D572,$T$3:$T$10,$U$3:$U$10)*XLOOKUP(K$2,$AA$3:$AA$5,$AD$3:$AD$5)-ABS(XLOOKUP($C572,$Q$3:$Q$16,$R$3:$R$16)))*$B572,-5)</f>
        <v>24400000</v>
      </c>
      <c r="L572" s="17">
        <f t="shared" si="1715"/>
        <v>62000000</v>
      </c>
      <c r="M572" s="17">
        <f t="shared" si="1715"/>
        <v>67100000</v>
      </c>
    </row>
    <row r="573">
      <c r="A573" s="14" t="s">
        <v>614</v>
      </c>
      <c r="B573" s="14">
        <v>62.0</v>
      </c>
      <c r="C573" s="15">
        <f t="shared" si="4"/>
        <v>9</v>
      </c>
      <c r="D573" s="14" t="s">
        <v>36</v>
      </c>
      <c r="E573" s="16">
        <f t="shared" ref="E573:G573" si="1716">ROUNDUP((XLOOKUP($D573,$T$3:$T$10,$U$3:$U$10)*XLOOKUP(E$2,$AA$3:$AA$5,$AB$3:$AB$5)-ABS(XLOOKUP($C573,$Q$3:$Q$16,$R$3:$R$16)))*$B573,-5)</f>
        <v>21900000</v>
      </c>
      <c r="F573" s="16">
        <f t="shared" si="1716"/>
        <v>33600000</v>
      </c>
      <c r="G573" s="16">
        <f t="shared" si="1716"/>
        <v>36000000</v>
      </c>
      <c r="H573" s="17">
        <f t="shared" ref="H573:J573" si="1717">roundup((XLOOKUP($D573,$T$3:$T$10,$U$3:$U$10)*XLOOKUP(H$2,$AA$3:$AA$5,$AC$3:$AC$5)-ABS(XLOOKUP($C573,$Q$3:$Q$16,$R$3:$R$16)))*$B573,-5)</f>
        <v>19300000</v>
      </c>
      <c r="I573" s="17">
        <f t="shared" si="1717"/>
        <v>40000000</v>
      </c>
      <c r="J573" s="17">
        <f t="shared" si="1717"/>
        <v>42800000</v>
      </c>
      <c r="K573" s="17">
        <f t="shared" ref="K573:M573" si="1718">roundup((XLOOKUP($D573,$T$3:$T$10,$U$3:$U$10)*XLOOKUP(K$2,$AA$3:$AA$5,$AD$3:$AD$5)-ABS(XLOOKUP($C573,$Q$3:$Q$16,$R$3:$R$16)))*$B573,-5)</f>
        <v>21600000</v>
      </c>
      <c r="L573" s="17">
        <f t="shared" si="1718"/>
        <v>44300000</v>
      </c>
      <c r="M573" s="17">
        <f t="shared" si="1718"/>
        <v>47400000</v>
      </c>
    </row>
    <row r="574">
      <c r="A574" s="14" t="s">
        <v>615</v>
      </c>
      <c r="B574" s="14">
        <v>161.0</v>
      </c>
      <c r="C574" s="15">
        <f t="shared" si="4"/>
        <v>12</v>
      </c>
      <c r="D574" s="14" t="s">
        <v>616</v>
      </c>
      <c r="E574" s="16">
        <f t="shared" ref="E574:G574" si="1719">ROUNDUP((XLOOKUP($D574,$T$3:$T$10,$U$3:$U$10)*XLOOKUP(E$2,$AA$3:$AA$5,$AB$3:$AB$5)-ABS(XLOOKUP($C574,$Q$3:$Q$16,$R$3:$R$16)))*$B574,-5)</f>
        <v>43600000</v>
      </c>
      <c r="F574" s="16">
        <f t="shared" si="1719"/>
        <v>74800000</v>
      </c>
      <c r="G574" s="16">
        <f t="shared" si="1719"/>
        <v>81300000</v>
      </c>
      <c r="H574" s="17">
        <f t="shared" ref="H574:J574" si="1720">roundup((XLOOKUP($D574,$T$3:$T$10,$U$3:$U$10)*XLOOKUP(H$2,$AA$3:$AA$5,$AC$3:$AC$5)-ABS(XLOOKUP($C574,$Q$3:$Q$16,$R$3:$R$16)))*$B574,-5)</f>
        <v>36400000</v>
      </c>
      <c r="I574" s="17">
        <f t="shared" si="1720"/>
        <v>91900000</v>
      </c>
      <c r="J574" s="17">
        <f t="shared" si="1720"/>
        <v>99400000</v>
      </c>
      <c r="K574" s="17">
        <f t="shared" ref="K574:M574" si="1721">roundup((XLOOKUP($D574,$T$3:$T$10,$U$3:$U$10)*XLOOKUP(K$2,$AA$3:$AA$5,$AD$3:$AD$5)-ABS(XLOOKUP($C574,$Q$3:$Q$16,$R$3:$R$16)))*$B574,-5)</f>
        <v>42600000</v>
      </c>
      <c r="L574" s="17">
        <f t="shared" si="1721"/>
        <v>103400000</v>
      </c>
      <c r="M574" s="17">
        <f t="shared" si="1721"/>
        <v>111700000</v>
      </c>
    </row>
    <row r="575">
      <c r="A575" s="14" t="s">
        <v>617</v>
      </c>
      <c r="B575" s="14">
        <v>152.0</v>
      </c>
      <c r="C575" s="15">
        <f t="shared" si="4"/>
        <v>11</v>
      </c>
      <c r="D575" s="14" t="s">
        <v>33</v>
      </c>
      <c r="E575" s="16">
        <f t="shared" ref="E575:G575" si="1722">ROUNDUP((XLOOKUP($D575,$T$3:$T$10,$U$3:$U$10)*XLOOKUP(E$2,$AA$3:$AA$5,$AB$3:$AB$5)-ABS(XLOOKUP($C575,$Q$3:$Q$16,$R$3:$R$16)))*$B575,-5)</f>
        <v>33000000</v>
      </c>
      <c r="F575" s="16">
        <f t="shared" si="1722"/>
        <v>58500000</v>
      </c>
      <c r="G575" s="16">
        <f t="shared" si="1722"/>
        <v>63800000</v>
      </c>
      <c r="H575" s="17">
        <f t="shared" ref="H575:J575" si="1723">roundup((XLOOKUP($D575,$T$3:$T$10,$U$3:$U$10)*XLOOKUP(H$2,$AA$3:$AA$5,$AC$3:$AC$5)-ABS(XLOOKUP($C575,$Q$3:$Q$16,$R$3:$R$16)))*$B575,-5)</f>
        <v>27200000</v>
      </c>
      <c r="I575" s="17">
        <f t="shared" si="1723"/>
        <v>72400000</v>
      </c>
      <c r="J575" s="17">
        <f t="shared" si="1723"/>
        <v>78600000</v>
      </c>
      <c r="K575" s="17">
        <f t="shared" ref="K575:M575" si="1724">roundup((XLOOKUP($D575,$T$3:$T$10,$U$3:$U$10)*XLOOKUP(K$2,$AA$3:$AA$5,$AD$3:$AD$5)-ABS(XLOOKUP($C575,$Q$3:$Q$16,$R$3:$R$16)))*$B575,-5)</f>
        <v>32200000</v>
      </c>
      <c r="L575" s="17">
        <f t="shared" si="1724"/>
        <v>81900000</v>
      </c>
      <c r="M575" s="17">
        <f t="shared" si="1724"/>
        <v>88700000</v>
      </c>
    </row>
    <row r="576">
      <c r="A576" s="14" t="s">
        <v>618</v>
      </c>
      <c r="B576" s="14">
        <v>123.0</v>
      </c>
      <c r="C576" s="15">
        <f t="shared" si="4"/>
        <v>11</v>
      </c>
      <c r="D576" s="14" t="s">
        <v>616</v>
      </c>
      <c r="E576" s="16">
        <f t="shared" ref="E576:G576" si="1725">ROUNDUP((XLOOKUP($D576,$T$3:$T$10,$U$3:$U$10)*XLOOKUP(E$2,$AA$3:$AA$5,$AB$3:$AB$5)-ABS(XLOOKUP($C576,$Q$3:$Q$16,$R$3:$R$16)))*$B576,-5)</f>
        <v>33900000</v>
      </c>
      <c r="F576" s="16">
        <f t="shared" si="1725"/>
        <v>57800000</v>
      </c>
      <c r="G576" s="16">
        <f t="shared" si="1725"/>
        <v>62700000</v>
      </c>
      <c r="H576" s="17">
        <f t="shared" ref="H576:J576" si="1726">roundup((XLOOKUP($D576,$T$3:$T$10,$U$3:$U$10)*XLOOKUP(H$2,$AA$3:$AA$5,$AC$3:$AC$5)-ABS(XLOOKUP($C576,$Q$3:$Q$16,$R$3:$R$16)))*$B576,-5)</f>
        <v>28500000</v>
      </c>
      <c r="I576" s="17">
        <f t="shared" si="1726"/>
        <v>70800000</v>
      </c>
      <c r="J576" s="17">
        <f t="shared" si="1726"/>
        <v>76600000</v>
      </c>
      <c r="K576" s="17">
        <f t="shared" ref="K576:M576" si="1727">roundup((XLOOKUP($D576,$T$3:$T$10,$U$3:$U$10)*XLOOKUP(K$2,$AA$3:$AA$5,$AD$3:$AD$5)-ABS(XLOOKUP($C576,$Q$3:$Q$16,$R$3:$R$16)))*$B576,-5)</f>
        <v>33200000</v>
      </c>
      <c r="L576" s="17">
        <f t="shared" si="1727"/>
        <v>79600000</v>
      </c>
      <c r="M576" s="17">
        <f t="shared" si="1727"/>
        <v>86000000</v>
      </c>
    </row>
    <row r="577">
      <c r="A577" s="14" t="s">
        <v>619</v>
      </c>
      <c r="B577" s="14">
        <v>145.0</v>
      </c>
      <c r="C577" s="15">
        <f t="shared" si="4"/>
        <v>11</v>
      </c>
      <c r="D577" s="14" t="s">
        <v>616</v>
      </c>
      <c r="E577" s="16">
        <f t="shared" ref="E577:G577" si="1728">ROUNDUP((XLOOKUP($D577,$T$3:$T$10,$U$3:$U$10)*XLOOKUP(E$2,$AA$3:$AA$5,$AB$3:$AB$5)-ABS(XLOOKUP($C577,$Q$3:$Q$16,$R$3:$R$16)))*$B577,-5)</f>
        <v>40000000</v>
      </c>
      <c r="F577" s="16">
        <f t="shared" si="1728"/>
        <v>68100000</v>
      </c>
      <c r="G577" s="16">
        <f t="shared" si="1728"/>
        <v>73900000</v>
      </c>
      <c r="H577" s="17">
        <f t="shared" ref="H577:J577" si="1729">roundup((XLOOKUP($D577,$T$3:$T$10,$U$3:$U$10)*XLOOKUP(H$2,$AA$3:$AA$5,$AC$3:$AC$5)-ABS(XLOOKUP($C577,$Q$3:$Q$16,$R$3:$R$16)))*$B577,-5)</f>
        <v>33600000</v>
      </c>
      <c r="I577" s="17">
        <f t="shared" si="1729"/>
        <v>83500000</v>
      </c>
      <c r="J577" s="17">
        <f t="shared" si="1729"/>
        <v>90300000</v>
      </c>
      <c r="K577" s="17">
        <f t="shared" ref="K577:M577" si="1730">roundup((XLOOKUP($D577,$T$3:$T$10,$U$3:$U$10)*XLOOKUP(K$2,$AA$3:$AA$5,$AD$3:$AD$5)-ABS(XLOOKUP($C577,$Q$3:$Q$16,$R$3:$R$16)))*$B577,-5)</f>
        <v>39100000</v>
      </c>
      <c r="L577" s="17">
        <f t="shared" si="1730"/>
        <v>93800000</v>
      </c>
      <c r="M577" s="17">
        <f t="shared" si="1730"/>
        <v>101300000</v>
      </c>
    </row>
    <row r="578">
      <c r="A578" s="14" t="s">
        <v>620</v>
      </c>
      <c r="B578" s="14">
        <v>117.0</v>
      </c>
      <c r="C578" s="15">
        <f t="shared" si="4"/>
        <v>11</v>
      </c>
      <c r="D578" s="14" t="s">
        <v>616</v>
      </c>
      <c r="E578" s="16">
        <f t="shared" ref="E578:G578" si="1731">ROUNDUP((XLOOKUP($D578,$T$3:$T$10,$U$3:$U$10)*XLOOKUP(E$2,$AA$3:$AA$5,$AB$3:$AB$5)-ABS(XLOOKUP($C578,$Q$3:$Q$16,$R$3:$R$16)))*$B578,-5)</f>
        <v>32300000</v>
      </c>
      <c r="F578" s="16">
        <f t="shared" si="1731"/>
        <v>55000000</v>
      </c>
      <c r="G578" s="16">
        <f t="shared" si="1731"/>
        <v>59700000</v>
      </c>
      <c r="H578" s="17">
        <f t="shared" ref="H578:J578" si="1732">roundup((XLOOKUP($D578,$T$3:$T$10,$U$3:$U$10)*XLOOKUP(H$2,$AA$3:$AA$5,$AC$3:$AC$5)-ABS(XLOOKUP($C578,$Q$3:$Q$16,$R$3:$R$16)))*$B578,-5)</f>
        <v>27100000</v>
      </c>
      <c r="I578" s="17">
        <f t="shared" si="1732"/>
        <v>67400000</v>
      </c>
      <c r="J578" s="17">
        <f t="shared" si="1732"/>
        <v>72800000</v>
      </c>
      <c r="K578" s="17">
        <f t="shared" ref="K578:M578" si="1733">roundup((XLOOKUP($D578,$T$3:$T$10,$U$3:$U$10)*XLOOKUP(K$2,$AA$3:$AA$5,$AD$3:$AD$5)-ABS(XLOOKUP($C578,$Q$3:$Q$16,$R$3:$R$16)))*$B578,-5)</f>
        <v>31500000</v>
      </c>
      <c r="L578" s="17">
        <f t="shared" si="1733"/>
        <v>75700000</v>
      </c>
      <c r="M578" s="17">
        <f t="shared" si="1733"/>
        <v>81800000</v>
      </c>
    </row>
    <row r="579">
      <c r="A579" s="14" t="s">
        <v>621</v>
      </c>
      <c r="B579" s="14">
        <v>187.0</v>
      </c>
      <c r="C579" s="15">
        <f t="shared" si="4"/>
        <v>13</v>
      </c>
      <c r="D579" s="14" t="s">
        <v>616</v>
      </c>
      <c r="E579" s="16">
        <f t="shared" ref="E579:G579" si="1734">ROUNDUP((XLOOKUP($D579,$T$3:$T$10,$U$3:$U$10)*XLOOKUP(E$2,$AA$3:$AA$5,$AB$3:$AB$5)-ABS(XLOOKUP($C579,$Q$3:$Q$16,$R$3:$R$16)))*$B579,-5)</f>
        <v>47800000</v>
      </c>
      <c r="F579" s="16">
        <f t="shared" si="1734"/>
        <v>84100000</v>
      </c>
      <c r="G579" s="16">
        <f t="shared" si="1734"/>
        <v>91600000</v>
      </c>
      <c r="H579" s="17">
        <f t="shared" ref="H579:J579" si="1735">roundup((XLOOKUP($D579,$T$3:$T$10,$U$3:$U$10)*XLOOKUP(H$2,$AA$3:$AA$5,$AC$3:$AC$5)-ABS(XLOOKUP($C579,$Q$3:$Q$16,$R$3:$R$16)))*$B579,-5)</f>
        <v>39500000</v>
      </c>
      <c r="I579" s="17">
        <f t="shared" si="1735"/>
        <v>103900000</v>
      </c>
      <c r="J579" s="17">
        <f t="shared" si="1735"/>
        <v>112600000</v>
      </c>
      <c r="K579" s="17">
        <f t="shared" ref="K579:M579" si="1736">roundup((XLOOKUP($D579,$T$3:$T$10,$U$3:$U$10)*XLOOKUP(K$2,$AA$3:$AA$5,$AD$3:$AD$5)-ABS(XLOOKUP($C579,$Q$3:$Q$16,$R$3:$R$16)))*$B579,-5)</f>
        <v>46700000</v>
      </c>
      <c r="L579" s="17">
        <f t="shared" si="1736"/>
        <v>117300000</v>
      </c>
      <c r="M579" s="17">
        <f t="shared" si="1736"/>
        <v>126900000</v>
      </c>
    </row>
    <row r="580">
      <c r="A580" s="14" t="s">
        <v>622</v>
      </c>
      <c r="B580" s="14">
        <v>165.0</v>
      </c>
      <c r="C580" s="15">
        <f t="shared" si="4"/>
        <v>12</v>
      </c>
      <c r="D580" s="14" t="s">
        <v>616</v>
      </c>
      <c r="E580" s="16">
        <f t="shared" ref="E580:G580" si="1737">ROUNDUP((XLOOKUP($D580,$T$3:$T$10,$U$3:$U$10)*XLOOKUP(E$2,$AA$3:$AA$5,$AB$3:$AB$5)-ABS(XLOOKUP($C580,$Q$3:$Q$16,$R$3:$R$16)))*$B580,-5)</f>
        <v>44600000</v>
      </c>
      <c r="F580" s="16">
        <f t="shared" si="1737"/>
        <v>76700000</v>
      </c>
      <c r="G580" s="16">
        <f t="shared" si="1737"/>
        <v>83300000</v>
      </c>
      <c r="H580" s="17">
        <f t="shared" ref="H580:J580" si="1738">roundup((XLOOKUP($D580,$T$3:$T$10,$U$3:$U$10)*XLOOKUP(H$2,$AA$3:$AA$5,$AC$3:$AC$5)-ABS(XLOOKUP($C580,$Q$3:$Q$16,$R$3:$R$16)))*$B580,-5)</f>
        <v>37300000</v>
      </c>
      <c r="I580" s="17">
        <f t="shared" si="1738"/>
        <v>94100000</v>
      </c>
      <c r="J580" s="17">
        <f t="shared" si="1738"/>
        <v>101900000</v>
      </c>
      <c r="K580" s="17">
        <f t="shared" ref="K580:M580" si="1739">roundup((XLOOKUP($D580,$T$3:$T$10,$U$3:$U$10)*XLOOKUP(K$2,$AA$3:$AA$5,$AD$3:$AD$5)-ABS(XLOOKUP($C580,$Q$3:$Q$16,$R$3:$R$16)))*$B580,-5)</f>
        <v>43600000</v>
      </c>
      <c r="L580" s="17">
        <f t="shared" si="1739"/>
        <v>106000000</v>
      </c>
      <c r="M580" s="17">
        <f t="shared" si="1739"/>
        <v>114500000</v>
      </c>
    </row>
    <row r="581">
      <c r="A581" s="14" t="s">
        <v>623</v>
      </c>
      <c r="B581" s="14">
        <v>84.0</v>
      </c>
      <c r="C581" s="15">
        <f t="shared" si="4"/>
        <v>11</v>
      </c>
      <c r="D581" s="14" t="s">
        <v>36</v>
      </c>
      <c r="E581" s="16">
        <f t="shared" ref="E581:G581" si="1740">ROUNDUP((XLOOKUP($D581,$T$3:$T$10,$U$3:$U$10)*XLOOKUP(E$2,$AA$3:$AA$5,$AB$3:$AB$5)-ABS(XLOOKUP($C581,$Q$3:$Q$16,$R$3:$R$16)))*$B581,-5)</f>
        <v>22100000</v>
      </c>
      <c r="F581" s="16">
        <f t="shared" si="1740"/>
        <v>37900000</v>
      </c>
      <c r="G581" s="16">
        <f t="shared" si="1740"/>
        <v>41200000</v>
      </c>
      <c r="H581" s="17">
        <f t="shared" ref="H581:J581" si="1741">roundup((XLOOKUP($D581,$T$3:$T$10,$U$3:$U$10)*XLOOKUP(H$2,$AA$3:$AA$5,$AC$3:$AC$5)-ABS(XLOOKUP($C581,$Q$3:$Q$16,$R$3:$R$16)))*$B581,-5)</f>
        <v>18500000</v>
      </c>
      <c r="I581" s="17">
        <f t="shared" si="1741"/>
        <v>46500000</v>
      </c>
      <c r="J581" s="17">
        <f t="shared" si="1741"/>
        <v>50300000</v>
      </c>
      <c r="K581" s="17">
        <f t="shared" ref="K581:M581" si="1742">roundup((XLOOKUP($D581,$T$3:$T$10,$U$3:$U$10)*XLOOKUP(K$2,$AA$3:$AA$5,$AD$3:$AD$5)-ABS(XLOOKUP($C581,$Q$3:$Q$16,$R$3:$R$16)))*$B581,-5)</f>
        <v>21600000</v>
      </c>
      <c r="L581" s="17">
        <f t="shared" si="1742"/>
        <v>52400000</v>
      </c>
      <c r="M581" s="17">
        <f t="shared" si="1742"/>
        <v>56600000</v>
      </c>
    </row>
    <row r="582">
      <c r="A582" s="14" t="s">
        <v>624</v>
      </c>
      <c r="B582" s="14">
        <v>145.0</v>
      </c>
      <c r="C582" s="15">
        <f t="shared" si="4"/>
        <v>11</v>
      </c>
      <c r="D582" s="14" t="s">
        <v>36</v>
      </c>
      <c r="E582" s="16">
        <f t="shared" ref="E582:G582" si="1743">ROUNDUP((XLOOKUP($D582,$T$3:$T$10,$U$3:$U$10)*XLOOKUP(E$2,$AA$3:$AA$5,$AB$3:$AB$5)-ABS(XLOOKUP($C582,$Q$3:$Q$16,$R$3:$R$16)))*$B582,-5)</f>
        <v>38100000</v>
      </c>
      <c r="F582" s="16">
        <f t="shared" si="1743"/>
        <v>65400000</v>
      </c>
      <c r="G582" s="16">
        <f t="shared" si="1743"/>
        <v>71000000</v>
      </c>
      <c r="H582" s="17">
        <f t="shared" ref="H582:J582" si="1744">roundup((XLOOKUP($D582,$T$3:$T$10,$U$3:$U$10)*XLOOKUP(H$2,$AA$3:$AA$5,$AC$3:$AC$5)-ABS(XLOOKUP($C582,$Q$3:$Q$16,$R$3:$R$16)))*$B582,-5)</f>
        <v>31800000</v>
      </c>
      <c r="I582" s="17">
        <f t="shared" si="1744"/>
        <v>80300000</v>
      </c>
      <c r="J582" s="17">
        <f t="shared" si="1744"/>
        <v>86800000</v>
      </c>
      <c r="K582" s="17">
        <f t="shared" ref="K582:M582" si="1745">roundup((XLOOKUP($D582,$T$3:$T$10,$U$3:$U$10)*XLOOKUP(K$2,$AA$3:$AA$5,$AD$3:$AD$5)-ABS(XLOOKUP($C582,$Q$3:$Q$16,$R$3:$R$16)))*$B582,-5)</f>
        <v>37200000</v>
      </c>
      <c r="L582" s="17">
        <f t="shared" si="1745"/>
        <v>90300000</v>
      </c>
      <c r="M582" s="17">
        <f t="shared" si="1745"/>
        <v>97600000</v>
      </c>
    </row>
    <row r="583">
      <c r="A583" s="14" t="s">
        <v>625</v>
      </c>
      <c r="B583" s="14">
        <v>98.0</v>
      </c>
      <c r="C583" s="15">
        <f t="shared" si="4"/>
        <v>11</v>
      </c>
      <c r="D583" s="14" t="s">
        <v>33</v>
      </c>
      <c r="E583" s="16">
        <f t="shared" ref="E583:G583" si="1746">ROUNDUP((XLOOKUP($D583,$T$3:$T$10,$U$3:$U$10)*XLOOKUP(E$2,$AA$3:$AA$5,$AB$3:$AB$5)-ABS(XLOOKUP($C583,$Q$3:$Q$16,$R$3:$R$16)))*$B583,-5)</f>
        <v>21300000</v>
      </c>
      <c r="F583" s="16">
        <f t="shared" si="1746"/>
        <v>37800000</v>
      </c>
      <c r="G583" s="16">
        <f t="shared" si="1746"/>
        <v>41200000</v>
      </c>
      <c r="H583" s="17">
        <f t="shared" ref="H583:J583" si="1747">roundup((XLOOKUP($D583,$T$3:$T$10,$U$3:$U$10)*XLOOKUP(H$2,$AA$3:$AA$5,$AC$3:$AC$5)-ABS(XLOOKUP($C583,$Q$3:$Q$16,$R$3:$R$16)))*$B583,-5)</f>
        <v>17500000</v>
      </c>
      <c r="I583" s="17">
        <f t="shared" si="1747"/>
        <v>46700000</v>
      </c>
      <c r="J583" s="17">
        <f t="shared" si="1747"/>
        <v>50700000</v>
      </c>
      <c r="K583" s="17">
        <f t="shared" ref="K583:M583" si="1748">roundup((XLOOKUP($D583,$T$3:$T$10,$U$3:$U$10)*XLOOKUP(K$2,$AA$3:$AA$5,$AD$3:$AD$5)-ABS(XLOOKUP($C583,$Q$3:$Q$16,$R$3:$R$16)))*$B583,-5)</f>
        <v>20800000</v>
      </c>
      <c r="L583" s="17">
        <f t="shared" si="1748"/>
        <v>52800000</v>
      </c>
      <c r="M583" s="17">
        <f t="shared" si="1748"/>
        <v>57200000</v>
      </c>
    </row>
    <row r="584">
      <c r="A584" s="14" t="s">
        <v>626</v>
      </c>
      <c r="B584" s="14">
        <v>122.0</v>
      </c>
      <c r="C584" s="15">
        <f t="shared" si="4"/>
        <v>11</v>
      </c>
      <c r="D584" s="14" t="s">
        <v>36</v>
      </c>
      <c r="E584" s="16">
        <f t="shared" ref="E584:G584" si="1749">ROUNDUP((XLOOKUP($D584,$T$3:$T$10,$U$3:$U$10)*XLOOKUP(E$2,$AA$3:$AA$5,$AB$3:$AB$5)-ABS(XLOOKUP($C584,$Q$3:$Q$16,$R$3:$R$16)))*$B584,-5)</f>
        <v>32000000</v>
      </c>
      <c r="F584" s="16">
        <f t="shared" si="1749"/>
        <v>55000000</v>
      </c>
      <c r="G584" s="16">
        <f t="shared" si="1749"/>
        <v>59800000</v>
      </c>
      <c r="H584" s="17">
        <f t="shared" ref="H584:J584" si="1750">roundup((XLOOKUP($D584,$T$3:$T$10,$U$3:$U$10)*XLOOKUP(H$2,$AA$3:$AA$5,$AC$3:$AC$5)-ABS(XLOOKUP($C584,$Q$3:$Q$16,$R$3:$R$16)))*$B584,-5)</f>
        <v>26800000</v>
      </c>
      <c r="I584" s="17">
        <f t="shared" si="1750"/>
        <v>67500000</v>
      </c>
      <c r="J584" s="17">
        <f t="shared" si="1750"/>
        <v>73100000</v>
      </c>
      <c r="K584" s="17">
        <f t="shared" ref="K584:M584" si="1751">roundup((XLOOKUP($D584,$T$3:$T$10,$U$3:$U$10)*XLOOKUP(K$2,$AA$3:$AA$5,$AD$3:$AD$5)-ABS(XLOOKUP($C584,$Q$3:$Q$16,$R$3:$R$16)))*$B584,-5)</f>
        <v>31300000</v>
      </c>
      <c r="L584" s="17">
        <f t="shared" si="1751"/>
        <v>76000000</v>
      </c>
      <c r="M584" s="17">
        <f t="shared" si="1751"/>
        <v>82100000</v>
      </c>
    </row>
    <row r="585">
      <c r="A585" s="14" t="s">
        <v>627</v>
      </c>
      <c r="B585" s="14">
        <v>65.0</v>
      </c>
      <c r="C585" s="15">
        <f t="shared" si="4"/>
        <v>9</v>
      </c>
      <c r="D585" s="14" t="s">
        <v>36</v>
      </c>
      <c r="E585" s="16">
        <f t="shared" ref="E585:G585" si="1752">ROUNDUP((XLOOKUP($D585,$T$3:$T$10,$U$3:$U$10)*XLOOKUP(E$2,$AA$3:$AA$5,$AB$3:$AB$5)-ABS(XLOOKUP($C585,$Q$3:$Q$16,$R$3:$R$16)))*$B585,-5)</f>
        <v>23000000</v>
      </c>
      <c r="F585" s="16">
        <f t="shared" si="1752"/>
        <v>35200000</v>
      </c>
      <c r="G585" s="16">
        <f t="shared" si="1752"/>
        <v>37800000</v>
      </c>
      <c r="H585" s="17">
        <f t="shared" ref="H585:J585" si="1753">roundup((XLOOKUP($D585,$T$3:$T$10,$U$3:$U$10)*XLOOKUP(H$2,$AA$3:$AA$5,$AC$3:$AC$5)-ABS(XLOOKUP($C585,$Q$3:$Q$16,$R$3:$R$16)))*$B585,-5)</f>
        <v>20200000</v>
      </c>
      <c r="I585" s="17">
        <f t="shared" si="1753"/>
        <v>41900000</v>
      </c>
      <c r="J585" s="17">
        <f t="shared" si="1753"/>
        <v>44900000</v>
      </c>
      <c r="K585" s="17">
        <f t="shared" ref="K585:M585" si="1754">roundup((XLOOKUP($D585,$T$3:$T$10,$U$3:$U$10)*XLOOKUP(K$2,$AA$3:$AA$5,$AD$3:$AD$5)-ABS(XLOOKUP($C585,$Q$3:$Q$16,$R$3:$R$16)))*$B585,-5)</f>
        <v>22600000</v>
      </c>
      <c r="L585" s="17">
        <f t="shared" si="1754"/>
        <v>46400000</v>
      </c>
      <c r="M585" s="17">
        <f t="shared" si="1754"/>
        <v>49700000</v>
      </c>
    </row>
    <row r="586">
      <c r="A586" s="14" t="s">
        <v>628</v>
      </c>
      <c r="B586" s="14">
        <v>131.0</v>
      </c>
      <c r="C586" s="15">
        <f t="shared" si="4"/>
        <v>11</v>
      </c>
      <c r="D586" s="14" t="s">
        <v>36</v>
      </c>
      <c r="E586" s="16">
        <f t="shared" ref="E586:G586" si="1755">ROUNDUP((XLOOKUP($D586,$T$3:$T$10,$U$3:$U$10)*XLOOKUP(E$2,$AA$3:$AA$5,$AB$3:$AB$5)-ABS(XLOOKUP($C586,$Q$3:$Q$16,$R$3:$R$16)))*$B586,-5)</f>
        <v>34400000</v>
      </c>
      <c r="F586" s="16">
        <f t="shared" si="1755"/>
        <v>59100000</v>
      </c>
      <c r="G586" s="16">
        <f t="shared" si="1755"/>
        <v>64200000</v>
      </c>
      <c r="H586" s="17">
        <f t="shared" ref="H586:J586" si="1756">roundup((XLOOKUP($D586,$T$3:$T$10,$U$3:$U$10)*XLOOKUP(H$2,$AA$3:$AA$5,$AC$3:$AC$5)-ABS(XLOOKUP($C586,$Q$3:$Q$16,$R$3:$R$16)))*$B586,-5)</f>
        <v>28800000</v>
      </c>
      <c r="I586" s="17">
        <f t="shared" si="1756"/>
        <v>72500000</v>
      </c>
      <c r="J586" s="17">
        <f t="shared" si="1756"/>
        <v>78500000</v>
      </c>
      <c r="K586" s="17">
        <f t="shared" ref="K586:M586" si="1757">roundup((XLOOKUP($D586,$T$3:$T$10,$U$3:$U$10)*XLOOKUP(K$2,$AA$3:$AA$5,$AD$3:$AD$5)-ABS(XLOOKUP($C586,$Q$3:$Q$16,$R$3:$R$16)))*$B586,-5)</f>
        <v>33600000</v>
      </c>
      <c r="L586" s="17">
        <f t="shared" si="1757"/>
        <v>81600000</v>
      </c>
      <c r="M586" s="17">
        <f t="shared" si="1757"/>
        <v>88200000</v>
      </c>
    </row>
    <row r="587">
      <c r="A587" s="14" t="s">
        <v>629</v>
      </c>
      <c r="B587" s="14">
        <v>166.0</v>
      </c>
      <c r="C587" s="15">
        <f t="shared" si="4"/>
        <v>12</v>
      </c>
      <c r="D587" s="14" t="s">
        <v>36</v>
      </c>
      <c r="E587" s="16">
        <f t="shared" ref="E587:G587" si="1758">ROUNDUP((XLOOKUP($D587,$T$3:$T$10,$U$3:$U$10)*XLOOKUP(E$2,$AA$3:$AA$5,$AB$3:$AB$5)-ABS(XLOOKUP($C587,$Q$3:$Q$16,$R$3:$R$16)))*$B587,-5)</f>
        <v>42700000</v>
      </c>
      <c r="F587" s="16">
        <f t="shared" si="1758"/>
        <v>74000000</v>
      </c>
      <c r="G587" s="16">
        <f t="shared" si="1758"/>
        <v>80500000</v>
      </c>
      <c r="H587" s="17">
        <f t="shared" ref="H587:J587" si="1759">roundup((XLOOKUP($D587,$T$3:$T$10,$U$3:$U$10)*XLOOKUP(H$2,$AA$3:$AA$5,$AC$3:$AC$5)-ABS(XLOOKUP($C587,$Q$3:$Q$16,$R$3:$R$16)))*$B587,-5)</f>
        <v>35600000</v>
      </c>
      <c r="I587" s="17">
        <f t="shared" si="1759"/>
        <v>91000000</v>
      </c>
      <c r="J587" s="17">
        <f t="shared" si="1759"/>
        <v>98600000</v>
      </c>
      <c r="K587" s="17">
        <f t="shared" ref="K587:M587" si="1760">roundup((XLOOKUP($D587,$T$3:$T$10,$U$3:$U$10)*XLOOKUP(K$2,$AA$3:$AA$5,$AD$3:$AD$5)-ABS(XLOOKUP($C587,$Q$3:$Q$16,$R$3:$R$16)))*$B587,-5)</f>
        <v>41800000</v>
      </c>
      <c r="L587" s="17">
        <f t="shared" si="1760"/>
        <v>102600000</v>
      </c>
      <c r="M587" s="17">
        <f t="shared" si="1760"/>
        <v>110900000</v>
      </c>
    </row>
    <row r="588">
      <c r="A588" s="14" t="s">
        <v>630</v>
      </c>
      <c r="B588" s="14">
        <v>74.0</v>
      </c>
      <c r="C588" s="15">
        <f t="shared" si="4"/>
        <v>9</v>
      </c>
      <c r="D588" s="14" t="s">
        <v>36</v>
      </c>
      <c r="E588" s="16">
        <f t="shared" ref="E588:G588" si="1761">ROUNDUP((XLOOKUP($D588,$T$3:$T$10,$U$3:$U$10)*XLOOKUP(E$2,$AA$3:$AA$5,$AB$3:$AB$5)-ABS(XLOOKUP($C588,$Q$3:$Q$16,$R$3:$R$16)))*$B588,-5)</f>
        <v>26200000</v>
      </c>
      <c r="F588" s="16">
        <f t="shared" si="1761"/>
        <v>40100000</v>
      </c>
      <c r="G588" s="16">
        <f t="shared" si="1761"/>
        <v>43000000</v>
      </c>
      <c r="H588" s="17">
        <f t="shared" ref="H588:J588" si="1762">roundup((XLOOKUP($D588,$T$3:$T$10,$U$3:$U$10)*XLOOKUP(H$2,$AA$3:$AA$5,$AC$3:$AC$5)-ABS(XLOOKUP($C588,$Q$3:$Q$16,$R$3:$R$16)))*$B588,-5)</f>
        <v>23000000</v>
      </c>
      <c r="I588" s="17">
        <f t="shared" si="1762"/>
        <v>47700000</v>
      </c>
      <c r="J588" s="17">
        <f t="shared" si="1762"/>
        <v>51100000</v>
      </c>
      <c r="K588" s="17">
        <f t="shared" ref="K588:M588" si="1763">roundup((XLOOKUP($D588,$T$3:$T$10,$U$3:$U$10)*XLOOKUP(K$2,$AA$3:$AA$5,$AD$3:$AD$5)-ABS(XLOOKUP($C588,$Q$3:$Q$16,$R$3:$R$16)))*$B588,-5)</f>
        <v>25800000</v>
      </c>
      <c r="L588" s="17">
        <f t="shared" si="1763"/>
        <v>52900000</v>
      </c>
      <c r="M588" s="17">
        <f t="shared" si="1763"/>
        <v>56600000</v>
      </c>
    </row>
    <row r="589">
      <c r="A589" s="14" t="s">
        <v>631</v>
      </c>
      <c r="B589" s="14">
        <v>93.0</v>
      </c>
      <c r="C589" s="15">
        <f t="shared" si="4"/>
        <v>11</v>
      </c>
      <c r="D589" s="14" t="s">
        <v>33</v>
      </c>
      <c r="E589" s="16">
        <f t="shared" ref="E589:G589" si="1764">ROUNDUP((XLOOKUP($D589,$T$3:$T$10,$U$3:$U$10)*XLOOKUP(E$2,$AA$3:$AA$5,$AB$3:$AB$5)-ABS(XLOOKUP($C589,$Q$3:$Q$16,$R$3:$R$16)))*$B589,-5)</f>
        <v>20200000</v>
      </c>
      <c r="F589" s="16">
        <f t="shared" si="1764"/>
        <v>35800000</v>
      </c>
      <c r="G589" s="16">
        <f t="shared" si="1764"/>
        <v>39100000</v>
      </c>
      <c r="H589" s="17">
        <f t="shared" ref="H589:J589" si="1765">roundup((XLOOKUP($D589,$T$3:$T$10,$U$3:$U$10)*XLOOKUP(H$2,$AA$3:$AA$5,$AC$3:$AC$5)-ABS(XLOOKUP($C589,$Q$3:$Q$16,$R$3:$R$16)))*$B589,-5)</f>
        <v>16600000</v>
      </c>
      <c r="I589" s="17">
        <f t="shared" si="1765"/>
        <v>44300000</v>
      </c>
      <c r="J589" s="17">
        <f t="shared" si="1765"/>
        <v>48100000</v>
      </c>
      <c r="K589" s="17">
        <f t="shared" ref="K589:M589" si="1766">roundup((XLOOKUP($D589,$T$3:$T$10,$U$3:$U$10)*XLOOKUP(K$2,$AA$3:$AA$5,$AD$3:$AD$5)-ABS(XLOOKUP($C589,$Q$3:$Q$16,$R$3:$R$16)))*$B589,-5)</f>
        <v>19700000</v>
      </c>
      <c r="L589" s="17">
        <f t="shared" si="1766"/>
        <v>50100000</v>
      </c>
      <c r="M589" s="17">
        <f t="shared" si="1766"/>
        <v>54300000</v>
      </c>
    </row>
    <row r="590">
      <c r="A590" s="14" t="s">
        <v>632</v>
      </c>
      <c r="B590" s="14">
        <v>98.0</v>
      </c>
      <c r="C590" s="15">
        <f t="shared" si="4"/>
        <v>11</v>
      </c>
      <c r="D590" s="14" t="s">
        <v>36</v>
      </c>
      <c r="E590" s="16">
        <f t="shared" ref="E590:G590" si="1767">ROUNDUP((XLOOKUP($D590,$T$3:$T$10,$U$3:$U$10)*XLOOKUP(E$2,$AA$3:$AA$5,$AB$3:$AB$5)-ABS(XLOOKUP($C590,$Q$3:$Q$16,$R$3:$R$16)))*$B590,-5)</f>
        <v>25700000</v>
      </c>
      <c r="F590" s="16">
        <f t="shared" si="1767"/>
        <v>44200000</v>
      </c>
      <c r="G590" s="16">
        <f t="shared" si="1767"/>
        <v>48000000</v>
      </c>
      <c r="H590" s="17">
        <f t="shared" ref="H590:J590" si="1768">roundup((XLOOKUP($D590,$T$3:$T$10,$U$3:$U$10)*XLOOKUP(H$2,$AA$3:$AA$5,$AC$3:$AC$5)-ABS(XLOOKUP($C590,$Q$3:$Q$16,$R$3:$R$16)))*$B590,-5)</f>
        <v>21500000</v>
      </c>
      <c r="I590" s="17">
        <f t="shared" si="1768"/>
        <v>54300000</v>
      </c>
      <c r="J590" s="17">
        <f t="shared" si="1768"/>
        <v>58700000</v>
      </c>
      <c r="K590" s="17">
        <f t="shared" ref="K590:M590" si="1769">roundup((XLOOKUP($D590,$T$3:$T$10,$U$3:$U$10)*XLOOKUP(K$2,$AA$3:$AA$5,$AD$3:$AD$5)-ABS(XLOOKUP($C590,$Q$3:$Q$16,$R$3:$R$16)))*$B590,-5)</f>
        <v>25200000</v>
      </c>
      <c r="L590" s="17">
        <f t="shared" si="1769"/>
        <v>61100000</v>
      </c>
      <c r="M590" s="17">
        <f t="shared" si="1769"/>
        <v>66000000</v>
      </c>
    </row>
    <row r="591">
      <c r="A591" s="14" t="s">
        <v>633</v>
      </c>
      <c r="B591" s="14">
        <v>109.0</v>
      </c>
      <c r="C591" s="15">
        <f t="shared" si="4"/>
        <v>11</v>
      </c>
      <c r="D591" s="14" t="s">
        <v>36</v>
      </c>
      <c r="E591" s="16">
        <f t="shared" ref="E591:G591" si="1770">ROUNDUP((XLOOKUP($D591,$T$3:$T$10,$U$3:$U$10)*XLOOKUP(E$2,$AA$3:$AA$5,$AB$3:$AB$5)-ABS(XLOOKUP($C591,$Q$3:$Q$16,$R$3:$R$16)))*$B591,-5)</f>
        <v>28600000</v>
      </c>
      <c r="F591" s="16">
        <f t="shared" si="1770"/>
        <v>49200000</v>
      </c>
      <c r="G591" s="16">
        <f t="shared" si="1770"/>
        <v>53400000</v>
      </c>
      <c r="H591" s="17">
        <f t="shared" ref="H591:J591" si="1771">roundup((XLOOKUP($D591,$T$3:$T$10,$U$3:$U$10)*XLOOKUP(H$2,$AA$3:$AA$5,$AC$3:$AC$5)-ABS(XLOOKUP($C591,$Q$3:$Q$16,$R$3:$R$16)))*$B591,-5)</f>
        <v>24000000</v>
      </c>
      <c r="I591" s="17">
        <f t="shared" si="1771"/>
        <v>60300000</v>
      </c>
      <c r="J591" s="17">
        <f t="shared" si="1771"/>
        <v>65300000</v>
      </c>
      <c r="K591" s="17">
        <f t="shared" ref="K591:M591" si="1772">roundup((XLOOKUP($D591,$T$3:$T$10,$U$3:$U$10)*XLOOKUP(K$2,$AA$3:$AA$5,$AD$3:$AD$5)-ABS(XLOOKUP($C591,$Q$3:$Q$16,$R$3:$R$16)))*$B591,-5)</f>
        <v>28000000</v>
      </c>
      <c r="L591" s="17">
        <f t="shared" si="1772"/>
        <v>67900000</v>
      </c>
      <c r="M591" s="17">
        <f t="shared" si="1772"/>
        <v>73400000</v>
      </c>
    </row>
    <row r="592">
      <c r="A592" s="14" t="s">
        <v>634</v>
      </c>
      <c r="B592" s="14">
        <v>160.0</v>
      </c>
      <c r="C592" s="15">
        <f t="shared" si="4"/>
        <v>11</v>
      </c>
      <c r="D592" s="14" t="s">
        <v>33</v>
      </c>
      <c r="E592" s="16">
        <f t="shared" ref="E592:G592" si="1773">ROUNDUP((XLOOKUP($D592,$T$3:$T$10,$U$3:$U$10)*XLOOKUP(E$2,$AA$3:$AA$5,$AB$3:$AB$5)-ABS(XLOOKUP($C592,$Q$3:$Q$16,$R$3:$R$16)))*$B592,-5)</f>
        <v>34700000</v>
      </c>
      <c r="F592" s="16">
        <f t="shared" si="1773"/>
        <v>61600000</v>
      </c>
      <c r="G592" s="16">
        <f t="shared" si="1773"/>
        <v>67200000</v>
      </c>
      <c r="H592" s="17">
        <f t="shared" ref="H592:J592" si="1774">roundup((XLOOKUP($D592,$T$3:$T$10,$U$3:$U$10)*XLOOKUP(H$2,$AA$3:$AA$5,$AC$3:$AC$5)-ABS(XLOOKUP($C592,$Q$3:$Q$16,$R$3:$R$16)))*$B592,-5)</f>
        <v>28600000</v>
      </c>
      <c r="I592" s="17">
        <f t="shared" si="1774"/>
        <v>76300000</v>
      </c>
      <c r="J592" s="17">
        <f t="shared" si="1774"/>
        <v>82700000</v>
      </c>
      <c r="K592" s="17">
        <f t="shared" ref="K592:M592" si="1775">roundup((XLOOKUP($D592,$T$3:$T$10,$U$3:$U$10)*XLOOKUP(K$2,$AA$3:$AA$5,$AD$3:$AD$5)-ABS(XLOOKUP($C592,$Q$3:$Q$16,$R$3:$R$16)))*$B592,-5)</f>
        <v>33900000</v>
      </c>
      <c r="L592" s="17">
        <f t="shared" si="1775"/>
        <v>86200000</v>
      </c>
      <c r="M592" s="17">
        <f t="shared" si="1775"/>
        <v>93300000</v>
      </c>
    </row>
    <row r="593">
      <c r="A593" s="14" t="s">
        <v>635</v>
      </c>
      <c r="B593" s="14">
        <v>93.0</v>
      </c>
      <c r="C593" s="15">
        <f t="shared" si="4"/>
        <v>11</v>
      </c>
      <c r="D593" s="14" t="s">
        <v>33</v>
      </c>
      <c r="E593" s="16">
        <f t="shared" ref="E593:G593" si="1776">ROUNDUP((XLOOKUP($D593,$T$3:$T$10,$U$3:$U$10)*XLOOKUP(E$2,$AA$3:$AA$5,$AB$3:$AB$5)-ABS(XLOOKUP($C593,$Q$3:$Q$16,$R$3:$R$16)))*$B593,-5)</f>
        <v>20200000</v>
      </c>
      <c r="F593" s="16">
        <f t="shared" si="1776"/>
        <v>35800000</v>
      </c>
      <c r="G593" s="16">
        <f t="shared" si="1776"/>
        <v>39100000</v>
      </c>
      <c r="H593" s="17">
        <f t="shared" ref="H593:J593" si="1777">roundup((XLOOKUP($D593,$T$3:$T$10,$U$3:$U$10)*XLOOKUP(H$2,$AA$3:$AA$5,$AC$3:$AC$5)-ABS(XLOOKUP($C593,$Q$3:$Q$16,$R$3:$R$16)))*$B593,-5)</f>
        <v>16600000</v>
      </c>
      <c r="I593" s="17">
        <f t="shared" si="1777"/>
        <v>44300000</v>
      </c>
      <c r="J593" s="17">
        <f t="shared" si="1777"/>
        <v>48100000</v>
      </c>
      <c r="K593" s="17">
        <f t="shared" ref="K593:M593" si="1778">roundup((XLOOKUP($D593,$T$3:$T$10,$U$3:$U$10)*XLOOKUP(K$2,$AA$3:$AA$5,$AD$3:$AD$5)-ABS(XLOOKUP($C593,$Q$3:$Q$16,$R$3:$R$16)))*$B593,-5)</f>
        <v>19700000</v>
      </c>
      <c r="L593" s="17">
        <f t="shared" si="1778"/>
        <v>50100000</v>
      </c>
      <c r="M593" s="17">
        <f t="shared" si="1778"/>
        <v>54300000</v>
      </c>
    </row>
    <row r="594">
      <c r="A594" s="14" t="s">
        <v>636</v>
      </c>
      <c r="B594" s="14">
        <v>98.0</v>
      </c>
      <c r="C594" s="15">
        <f t="shared" si="4"/>
        <v>11</v>
      </c>
      <c r="D594" s="14" t="s">
        <v>33</v>
      </c>
      <c r="E594" s="16">
        <f t="shared" ref="E594:G594" si="1779">ROUNDUP((XLOOKUP($D594,$T$3:$T$10,$U$3:$U$10)*XLOOKUP(E$2,$AA$3:$AA$5,$AB$3:$AB$5)-ABS(XLOOKUP($C594,$Q$3:$Q$16,$R$3:$R$16)))*$B594,-5)</f>
        <v>21300000</v>
      </c>
      <c r="F594" s="16">
        <f t="shared" si="1779"/>
        <v>37800000</v>
      </c>
      <c r="G594" s="16">
        <f t="shared" si="1779"/>
        <v>41200000</v>
      </c>
      <c r="H594" s="17">
        <f t="shared" ref="H594:J594" si="1780">roundup((XLOOKUP($D594,$T$3:$T$10,$U$3:$U$10)*XLOOKUP(H$2,$AA$3:$AA$5,$AC$3:$AC$5)-ABS(XLOOKUP($C594,$Q$3:$Q$16,$R$3:$R$16)))*$B594,-5)</f>
        <v>17500000</v>
      </c>
      <c r="I594" s="17">
        <f t="shared" si="1780"/>
        <v>46700000</v>
      </c>
      <c r="J594" s="17">
        <f t="shared" si="1780"/>
        <v>50700000</v>
      </c>
      <c r="K594" s="17">
        <f t="shared" ref="K594:M594" si="1781">roundup((XLOOKUP($D594,$T$3:$T$10,$U$3:$U$10)*XLOOKUP(K$2,$AA$3:$AA$5,$AD$3:$AD$5)-ABS(XLOOKUP($C594,$Q$3:$Q$16,$R$3:$R$16)))*$B594,-5)</f>
        <v>20800000</v>
      </c>
      <c r="L594" s="17">
        <f t="shared" si="1781"/>
        <v>52800000</v>
      </c>
      <c r="M594" s="17">
        <f t="shared" si="1781"/>
        <v>57200000</v>
      </c>
    </row>
    <row r="595">
      <c r="A595" s="14" t="s">
        <v>637</v>
      </c>
      <c r="B595" s="14">
        <v>52.0</v>
      </c>
      <c r="C595" s="15">
        <f t="shared" si="4"/>
        <v>7</v>
      </c>
      <c r="D595" s="14" t="s">
        <v>638</v>
      </c>
      <c r="E595" s="16">
        <f t="shared" ref="E595:G595" si="1782">ROUNDUP((XLOOKUP($D595,$T$3:$T$10,$U$3:$U$10)*XLOOKUP(E$2,$AA$3:$AA$5,$AB$3:$AB$5)-ABS(XLOOKUP($C595,$Q$3:$Q$16,$R$3:$R$16)))*$B595,-5)</f>
        <v>19600000</v>
      </c>
      <c r="F595" s="16">
        <f t="shared" si="1782"/>
        <v>29400000</v>
      </c>
      <c r="G595" s="16">
        <f t="shared" si="1782"/>
        <v>31500000</v>
      </c>
      <c r="H595" s="17">
        <f t="shared" ref="H595:J595" si="1783">roundup((XLOOKUP($D595,$T$3:$T$10,$U$3:$U$10)*XLOOKUP(H$2,$AA$3:$AA$5,$AC$3:$AC$5)-ABS(XLOOKUP($C595,$Q$3:$Q$16,$R$3:$R$16)))*$B595,-5)</f>
        <v>17300000</v>
      </c>
      <c r="I595" s="17">
        <f t="shared" si="1783"/>
        <v>34800000</v>
      </c>
      <c r="J595" s="17">
        <f t="shared" si="1783"/>
        <v>37200000</v>
      </c>
      <c r="K595" s="17">
        <f t="shared" ref="K595:M595" si="1784">roundup((XLOOKUP($D595,$T$3:$T$10,$U$3:$U$10)*XLOOKUP(K$2,$AA$3:$AA$5,$AD$3:$AD$5)-ABS(XLOOKUP($C595,$Q$3:$Q$16,$R$3:$R$16)))*$B595,-5)</f>
        <v>19200000</v>
      </c>
      <c r="L595" s="17">
        <f t="shared" si="1784"/>
        <v>38400000</v>
      </c>
      <c r="M595" s="17">
        <f t="shared" si="1784"/>
        <v>41000000</v>
      </c>
    </row>
    <row r="596">
      <c r="A596" s="14" t="s">
        <v>639</v>
      </c>
      <c r="B596" s="14">
        <v>37.0</v>
      </c>
      <c r="C596" s="15">
        <f t="shared" si="4"/>
        <v>4</v>
      </c>
      <c r="D596" s="14" t="s">
        <v>638</v>
      </c>
      <c r="E596" s="16">
        <f t="shared" ref="E596:G596" si="1785">ROUNDUP((XLOOKUP($D596,$T$3:$T$10,$U$3:$U$10)*XLOOKUP(E$2,$AA$3:$AA$5,$AB$3:$AB$5)-ABS(XLOOKUP($C596,$Q$3:$Q$16,$R$3:$R$16)))*$B596,-5)</f>
        <v>14400000</v>
      </c>
      <c r="F596" s="16">
        <f t="shared" si="1785"/>
        <v>21500000</v>
      </c>
      <c r="G596" s="16">
        <f t="shared" si="1785"/>
        <v>22900000</v>
      </c>
      <c r="H596" s="17">
        <f t="shared" ref="H596:J596" si="1786">roundup((XLOOKUP($D596,$T$3:$T$10,$U$3:$U$10)*XLOOKUP(H$2,$AA$3:$AA$5,$AC$3:$AC$5)-ABS(XLOOKUP($C596,$Q$3:$Q$16,$R$3:$R$16)))*$B596,-5)</f>
        <v>12800000</v>
      </c>
      <c r="I596" s="17">
        <f t="shared" si="1786"/>
        <v>25300000</v>
      </c>
      <c r="J596" s="17">
        <f t="shared" si="1786"/>
        <v>27000000</v>
      </c>
      <c r="K596" s="17">
        <f t="shared" ref="K596:M596" si="1787">roundup((XLOOKUP($D596,$T$3:$T$10,$U$3:$U$10)*XLOOKUP(K$2,$AA$3:$AA$5,$AD$3:$AD$5)-ABS(XLOOKUP($C596,$Q$3:$Q$16,$R$3:$R$16)))*$B596,-5)</f>
        <v>14200000</v>
      </c>
      <c r="L596" s="17">
        <f t="shared" si="1787"/>
        <v>27900000</v>
      </c>
      <c r="M596" s="17">
        <f t="shared" si="1787"/>
        <v>29700000</v>
      </c>
    </row>
    <row r="597">
      <c r="A597" s="14" t="s">
        <v>640</v>
      </c>
      <c r="B597" s="14">
        <v>108.0</v>
      </c>
      <c r="C597" s="15">
        <f t="shared" si="4"/>
        <v>11</v>
      </c>
      <c r="D597" s="14" t="s">
        <v>638</v>
      </c>
      <c r="E597" s="16">
        <f t="shared" ref="E597:G597" si="1788">ROUNDUP((XLOOKUP($D597,$T$3:$T$10,$U$3:$U$10)*XLOOKUP(E$2,$AA$3:$AA$5,$AB$3:$AB$5)-ABS(XLOOKUP($C597,$Q$3:$Q$16,$R$3:$R$16)))*$B597,-5)</f>
        <v>28700000</v>
      </c>
      <c r="F597" s="16">
        <f t="shared" si="1788"/>
        <v>49200000</v>
      </c>
      <c r="G597" s="16">
        <f t="shared" si="1788"/>
        <v>53400000</v>
      </c>
      <c r="H597" s="17">
        <f t="shared" ref="H597:J597" si="1789">roundup((XLOOKUP($D597,$T$3:$T$10,$U$3:$U$10)*XLOOKUP(H$2,$AA$3:$AA$5,$AC$3:$AC$5)-ABS(XLOOKUP($C597,$Q$3:$Q$16,$R$3:$R$16)))*$B597,-5)</f>
        <v>24000000</v>
      </c>
      <c r="I597" s="17">
        <f t="shared" si="1789"/>
        <v>60300000</v>
      </c>
      <c r="J597" s="17">
        <f t="shared" si="1789"/>
        <v>65300000</v>
      </c>
      <c r="K597" s="17">
        <f t="shared" ref="K597:M597" si="1790">roundup((XLOOKUP($D597,$T$3:$T$10,$U$3:$U$10)*XLOOKUP(K$2,$AA$3:$AA$5,$AD$3:$AD$5)-ABS(XLOOKUP($C597,$Q$3:$Q$16,$R$3:$R$16)))*$B597,-5)</f>
        <v>28000000</v>
      </c>
      <c r="L597" s="17">
        <f t="shared" si="1790"/>
        <v>67900000</v>
      </c>
      <c r="M597" s="17">
        <f t="shared" si="1790"/>
        <v>73300000</v>
      </c>
    </row>
    <row r="598">
      <c r="A598" s="14" t="s">
        <v>641</v>
      </c>
      <c r="B598" s="14">
        <v>108.0</v>
      </c>
      <c r="C598" s="15">
        <f t="shared" si="4"/>
        <v>11</v>
      </c>
      <c r="D598" s="14" t="s">
        <v>638</v>
      </c>
      <c r="E598" s="16">
        <f t="shared" ref="E598:G598" si="1791">ROUNDUP((XLOOKUP($D598,$T$3:$T$10,$U$3:$U$10)*XLOOKUP(E$2,$AA$3:$AA$5,$AB$3:$AB$5)-ABS(XLOOKUP($C598,$Q$3:$Q$16,$R$3:$R$16)))*$B598,-5)</f>
        <v>28700000</v>
      </c>
      <c r="F598" s="16">
        <f t="shared" si="1791"/>
        <v>49200000</v>
      </c>
      <c r="G598" s="16">
        <f t="shared" si="1791"/>
        <v>53400000</v>
      </c>
      <c r="H598" s="17">
        <f t="shared" ref="H598:J598" si="1792">roundup((XLOOKUP($D598,$T$3:$T$10,$U$3:$U$10)*XLOOKUP(H$2,$AA$3:$AA$5,$AC$3:$AC$5)-ABS(XLOOKUP($C598,$Q$3:$Q$16,$R$3:$R$16)))*$B598,-5)</f>
        <v>24000000</v>
      </c>
      <c r="I598" s="17">
        <f t="shared" si="1792"/>
        <v>60300000</v>
      </c>
      <c r="J598" s="17">
        <f t="shared" si="1792"/>
        <v>65300000</v>
      </c>
      <c r="K598" s="17">
        <f t="shared" ref="K598:M598" si="1793">roundup((XLOOKUP($D598,$T$3:$T$10,$U$3:$U$10)*XLOOKUP(K$2,$AA$3:$AA$5,$AD$3:$AD$5)-ABS(XLOOKUP($C598,$Q$3:$Q$16,$R$3:$R$16)))*$B598,-5)</f>
        <v>28000000</v>
      </c>
      <c r="L598" s="17">
        <f t="shared" si="1793"/>
        <v>67900000</v>
      </c>
      <c r="M598" s="17">
        <f t="shared" si="1793"/>
        <v>73300000</v>
      </c>
    </row>
    <row r="599">
      <c r="A599" s="14" t="s">
        <v>642</v>
      </c>
      <c r="B599" s="14">
        <v>136.0</v>
      </c>
      <c r="C599" s="15">
        <f t="shared" si="4"/>
        <v>11</v>
      </c>
      <c r="D599" s="14" t="s">
        <v>638</v>
      </c>
      <c r="E599" s="16">
        <f t="shared" ref="E599:G599" si="1794">ROUNDUP((XLOOKUP($D599,$T$3:$T$10,$U$3:$U$10)*XLOOKUP(E$2,$AA$3:$AA$5,$AB$3:$AB$5)-ABS(XLOOKUP($C599,$Q$3:$Q$16,$R$3:$R$16)))*$B599,-5)</f>
        <v>36100000</v>
      </c>
      <c r="F599" s="16">
        <f t="shared" si="1794"/>
        <v>61900000</v>
      </c>
      <c r="G599" s="16">
        <f t="shared" si="1794"/>
        <v>67200000</v>
      </c>
      <c r="H599" s="17">
        <f t="shared" ref="H599:J599" si="1795">roundup((XLOOKUP($D599,$T$3:$T$10,$U$3:$U$10)*XLOOKUP(H$2,$AA$3:$AA$5,$AC$3:$AC$5)-ABS(XLOOKUP($C599,$Q$3:$Q$16,$R$3:$R$16)))*$B599,-5)</f>
        <v>30200000</v>
      </c>
      <c r="I599" s="17">
        <f t="shared" si="1795"/>
        <v>76000000</v>
      </c>
      <c r="J599" s="17">
        <f t="shared" si="1795"/>
        <v>82200000</v>
      </c>
      <c r="K599" s="17">
        <f t="shared" ref="K599:M599" si="1796">roundup((XLOOKUP($D599,$T$3:$T$10,$U$3:$U$10)*XLOOKUP(K$2,$AA$3:$AA$5,$AD$3:$AD$5)-ABS(XLOOKUP($C599,$Q$3:$Q$16,$R$3:$R$16)))*$B599,-5)</f>
        <v>35300000</v>
      </c>
      <c r="L599" s="17">
        <f t="shared" si="1796"/>
        <v>85500000</v>
      </c>
      <c r="M599" s="17">
        <f t="shared" si="1796"/>
        <v>92300000</v>
      </c>
    </row>
    <row r="600">
      <c r="A600" s="14" t="s">
        <v>643</v>
      </c>
      <c r="B600" s="14">
        <v>144.0</v>
      </c>
      <c r="C600" s="15">
        <f t="shared" si="4"/>
        <v>11</v>
      </c>
      <c r="D600" s="14" t="s">
        <v>638</v>
      </c>
      <c r="E600" s="16">
        <f t="shared" ref="E600:G600" si="1797">ROUNDUP((XLOOKUP($D600,$T$3:$T$10,$U$3:$U$10)*XLOOKUP(E$2,$AA$3:$AA$5,$AB$3:$AB$5)-ABS(XLOOKUP($C600,$Q$3:$Q$16,$R$3:$R$16)))*$B600,-5)</f>
        <v>38200000</v>
      </c>
      <c r="F600" s="16">
        <f t="shared" si="1797"/>
        <v>65500000</v>
      </c>
      <c r="G600" s="16">
        <f t="shared" si="1797"/>
        <v>71200000</v>
      </c>
      <c r="H600" s="17">
        <f t="shared" ref="H600:J600" si="1798">roundup((XLOOKUP($D600,$T$3:$T$10,$U$3:$U$10)*XLOOKUP(H$2,$AA$3:$AA$5,$AC$3:$AC$5)-ABS(XLOOKUP($C600,$Q$3:$Q$16,$R$3:$R$16)))*$B600,-5)</f>
        <v>32000000</v>
      </c>
      <c r="I600" s="17">
        <f t="shared" si="1798"/>
        <v>80400000</v>
      </c>
      <c r="J600" s="17">
        <f t="shared" si="1798"/>
        <v>87000000</v>
      </c>
      <c r="K600" s="17">
        <f t="shared" ref="K600:M600" si="1799">roundup((XLOOKUP($D600,$T$3:$T$10,$U$3:$U$10)*XLOOKUP(K$2,$AA$3:$AA$5,$AD$3:$AD$5)-ABS(XLOOKUP($C600,$Q$3:$Q$16,$R$3:$R$16)))*$B600,-5)</f>
        <v>37400000</v>
      </c>
      <c r="L600" s="17">
        <f t="shared" si="1799"/>
        <v>90500000</v>
      </c>
      <c r="M600" s="17">
        <f t="shared" si="1799"/>
        <v>97700000</v>
      </c>
    </row>
    <row r="601">
      <c r="A601" s="14" t="s">
        <v>644</v>
      </c>
      <c r="B601" s="14">
        <v>97.0</v>
      </c>
      <c r="C601" s="15">
        <f t="shared" si="4"/>
        <v>11</v>
      </c>
      <c r="D601" s="14" t="s">
        <v>638</v>
      </c>
      <c r="E601" s="16">
        <f t="shared" ref="E601:G601" si="1800">ROUNDUP((XLOOKUP($D601,$T$3:$T$10,$U$3:$U$10)*XLOOKUP(E$2,$AA$3:$AA$5,$AB$3:$AB$5)-ABS(XLOOKUP($C601,$Q$3:$Q$16,$R$3:$R$16)))*$B601,-5)</f>
        <v>25800000</v>
      </c>
      <c r="F601" s="16">
        <f t="shared" si="1800"/>
        <v>44200000</v>
      </c>
      <c r="G601" s="16">
        <f t="shared" si="1800"/>
        <v>48000000</v>
      </c>
      <c r="H601" s="17">
        <f t="shared" ref="H601:J601" si="1801">roundup((XLOOKUP($D601,$T$3:$T$10,$U$3:$U$10)*XLOOKUP(H$2,$AA$3:$AA$5,$AC$3:$AC$5)-ABS(XLOOKUP($C601,$Q$3:$Q$16,$R$3:$R$16)))*$B601,-5)</f>
        <v>21600000</v>
      </c>
      <c r="I601" s="17">
        <f t="shared" si="1801"/>
        <v>54200000</v>
      </c>
      <c r="J601" s="17">
        <f t="shared" si="1801"/>
        <v>58600000</v>
      </c>
      <c r="K601" s="17">
        <f t="shared" ref="K601:M601" si="1802">roundup((XLOOKUP($D601,$T$3:$T$10,$U$3:$U$10)*XLOOKUP(K$2,$AA$3:$AA$5,$AD$3:$AD$5)-ABS(XLOOKUP($C601,$Q$3:$Q$16,$R$3:$R$16)))*$B601,-5)</f>
        <v>25200000</v>
      </c>
      <c r="L601" s="17">
        <f t="shared" si="1802"/>
        <v>61000000</v>
      </c>
      <c r="M601" s="17">
        <f t="shared" si="1802"/>
        <v>65900000</v>
      </c>
    </row>
    <row r="602">
      <c r="A602" s="14" t="s">
        <v>645</v>
      </c>
      <c r="B602" s="14">
        <v>106.0</v>
      </c>
      <c r="C602" s="15">
        <f t="shared" si="4"/>
        <v>11</v>
      </c>
      <c r="D602" s="14" t="s">
        <v>638</v>
      </c>
      <c r="E602" s="16">
        <f t="shared" ref="E602:G602" si="1803">ROUNDUP((XLOOKUP($D602,$T$3:$T$10,$U$3:$U$10)*XLOOKUP(E$2,$AA$3:$AA$5,$AB$3:$AB$5)-ABS(XLOOKUP($C602,$Q$3:$Q$16,$R$3:$R$16)))*$B602,-5)</f>
        <v>28200000</v>
      </c>
      <c r="F602" s="16">
        <f t="shared" si="1803"/>
        <v>48300000</v>
      </c>
      <c r="G602" s="16">
        <f t="shared" si="1803"/>
        <v>52400000</v>
      </c>
      <c r="H602" s="17">
        <f t="shared" ref="H602:J602" si="1804">roundup((XLOOKUP($D602,$T$3:$T$10,$U$3:$U$10)*XLOOKUP(H$2,$AA$3:$AA$5,$AC$3:$AC$5)-ABS(XLOOKUP($C602,$Q$3:$Q$16,$R$3:$R$16)))*$B602,-5)</f>
        <v>23600000</v>
      </c>
      <c r="I602" s="17">
        <f t="shared" si="1804"/>
        <v>59200000</v>
      </c>
      <c r="J602" s="17">
        <f t="shared" si="1804"/>
        <v>64100000</v>
      </c>
      <c r="K602" s="17">
        <f t="shared" ref="K602:M602" si="1805">roundup((XLOOKUP($D602,$T$3:$T$10,$U$3:$U$10)*XLOOKUP(K$2,$AA$3:$AA$5,$AD$3:$AD$5)-ABS(XLOOKUP($C602,$Q$3:$Q$16,$R$3:$R$16)))*$B602,-5)</f>
        <v>27500000</v>
      </c>
      <c r="L602" s="17">
        <f t="shared" si="1805"/>
        <v>66600000</v>
      </c>
      <c r="M602" s="17">
        <f t="shared" si="1805"/>
        <v>72000000</v>
      </c>
    </row>
    <row r="603">
      <c r="A603" s="14" t="s">
        <v>646</v>
      </c>
      <c r="B603" s="14">
        <v>201.0</v>
      </c>
      <c r="C603" s="15">
        <f t="shared" si="4"/>
        <v>13</v>
      </c>
      <c r="D603" s="14" t="s">
        <v>638</v>
      </c>
      <c r="E603" s="16">
        <f t="shared" ref="E603:G603" si="1806">ROUNDUP((XLOOKUP($D603,$T$3:$T$10,$U$3:$U$10)*XLOOKUP(E$2,$AA$3:$AA$5,$AB$3:$AB$5)-ABS(XLOOKUP($C603,$Q$3:$Q$16,$R$3:$R$16)))*$B603,-5)</f>
        <v>49300000</v>
      </c>
      <c r="F603" s="16">
        <f t="shared" si="1806"/>
        <v>87400000</v>
      </c>
      <c r="G603" s="16">
        <f t="shared" si="1806"/>
        <v>95300000</v>
      </c>
      <c r="H603" s="17">
        <f t="shared" ref="H603:J603" si="1807">roundup((XLOOKUP($D603,$T$3:$T$10,$U$3:$U$10)*XLOOKUP(H$2,$AA$3:$AA$5,$AC$3:$AC$5)-ABS(XLOOKUP($C603,$Q$3:$Q$16,$R$3:$R$16)))*$B603,-5)</f>
        <v>40600000</v>
      </c>
      <c r="I603" s="17">
        <f t="shared" si="1807"/>
        <v>108200000</v>
      </c>
      <c r="J603" s="17">
        <f t="shared" si="1807"/>
        <v>117400000</v>
      </c>
      <c r="K603" s="17">
        <f t="shared" ref="K603:M603" si="1808">roundup((XLOOKUP($D603,$T$3:$T$10,$U$3:$U$10)*XLOOKUP(K$2,$AA$3:$AA$5,$AD$3:$AD$5)-ABS(XLOOKUP($C603,$Q$3:$Q$16,$R$3:$R$16)))*$B603,-5)</f>
        <v>48100000</v>
      </c>
      <c r="L603" s="17">
        <f t="shared" si="1808"/>
        <v>122300000</v>
      </c>
      <c r="M603" s="17">
        <f t="shared" si="1808"/>
        <v>132400000</v>
      </c>
    </row>
    <row r="604">
      <c r="A604" s="14" t="s">
        <v>647</v>
      </c>
      <c r="B604" s="14">
        <v>160.0</v>
      </c>
      <c r="C604" s="15">
        <f t="shared" si="4"/>
        <v>11</v>
      </c>
      <c r="D604" s="14" t="s">
        <v>638</v>
      </c>
      <c r="E604" s="16">
        <f t="shared" ref="E604:G604" si="1809">ROUNDUP((XLOOKUP($D604,$T$3:$T$10,$U$3:$U$10)*XLOOKUP(E$2,$AA$3:$AA$5,$AB$3:$AB$5)-ABS(XLOOKUP($C604,$Q$3:$Q$16,$R$3:$R$16)))*$B604,-5)</f>
        <v>42500000</v>
      </c>
      <c r="F604" s="16">
        <f t="shared" si="1809"/>
        <v>72800000</v>
      </c>
      <c r="G604" s="16">
        <f t="shared" si="1809"/>
        <v>79100000</v>
      </c>
      <c r="H604" s="17">
        <f t="shared" ref="H604:J604" si="1810">roundup((XLOOKUP($D604,$T$3:$T$10,$U$3:$U$10)*XLOOKUP(H$2,$AA$3:$AA$5,$AC$3:$AC$5)-ABS(XLOOKUP($C604,$Q$3:$Q$16,$R$3:$R$16)))*$B604,-5)</f>
        <v>35600000</v>
      </c>
      <c r="I604" s="17">
        <f t="shared" si="1810"/>
        <v>89300000</v>
      </c>
      <c r="J604" s="17">
        <f t="shared" si="1810"/>
        <v>96700000</v>
      </c>
      <c r="K604" s="17">
        <f t="shared" ref="K604:M604" si="1811">roundup((XLOOKUP($D604,$T$3:$T$10,$U$3:$U$10)*XLOOKUP(K$2,$AA$3:$AA$5,$AD$3:$AD$5)-ABS(XLOOKUP($C604,$Q$3:$Q$16,$R$3:$R$16)))*$B604,-5)</f>
        <v>41500000</v>
      </c>
      <c r="L604" s="17">
        <f t="shared" si="1811"/>
        <v>100500000</v>
      </c>
      <c r="M604" s="17">
        <f t="shared" si="1811"/>
        <v>108600000</v>
      </c>
    </row>
    <row r="605">
      <c r="A605" s="14" t="s">
        <v>648</v>
      </c>
      <c r="B605" s="14">
        <v>199.0</v>
      </c>
      <c r="C605" s="15">
        <f t="shared" si="4"/>
        <v>13</v>
      </c>
      <c r="D605" s="14" t="s">
        <v>638</v>
      </c>
      <c r="E605" s="16">
        <f t="shared" ref="E605:G605" si="1812">ROUNDUP((XLOOKUP($D605,$T$3:$T$10,$U$3:$U$10)*XLOOKUP(E$2,$AA$3:$AA$5,$AB$3:$AB$5)-ABS(XLOOKUP($C605,$Q$3:$Q$16,$R$3:$R$16)))*$B605,-5)</f>
        <v>48800000</v>
      </c>
      <c r="F605" s="16">
        <f t="shared" si="1812"/>
        <v>86600000</v>
      </c>
      <c r="G605" s="16">
        <f t="shared" si="1812"/>
        <v>94400000</v>
      </c>
      <c r="H605" s="17">
        <f t="shared" ref="H605:J605" si="1813">roundup((XLOOKUP($D605,$T$3:$T$10,$U$3:$U$10)*XLOOKUP(H$2,$AA$3:$AA$5,$AC$3:$AC$5)-ABS(XLOOKUP($C605,$Q$3:$Q$16,$R$3:$R$16)))*$B605,-5)</f>
        <v>40200000</v>
      </c>
      <c r="I605" s="17">
        <f t="shared" si="1813"/>
        <v>107100000</v>
      </c>
      <c r="J605" s="17">
        <f t="shared" si="1813"/>
        <v>116200000</v>
      </c>
      <c r="K605" s="17">
        <f t="shared" ref="K605:M605" si="1814">roundup((XLOOKUP($D605,$T$3:$T$10,$U$3:$U$10)*XLOOKUP(K$2,$AA$3:$AA$5,$AD$3:$AD$5)-ABS(XLOOKUP($C605,$Q$3:$Q$16,$R$3:$R$16)))*$B605,-5)</f>
        <v>47700000</v>
      </c>
      <c r="L605" s="17">
        <f t="shared" si="1814"/>
        <v>121100000</v>
      </c>
      <c r="M605" s="17">
        <f t="shared" si="1814"/>
        <v>131100000</v>
      </c>
    </row>
    <row r="606">
      <c r="A606" s="14" t="s">
        <v>649</v>
      </c>
      <c r="B606" s="14">
        <v>178.0</v>
      </c>
      <c r="C606" s="15">
        <f t="shared" si="4"/>
        <v>12</v>
      </c>
      <c r="D606" s="14" t="s">
        <v>638</v>
      </c>
      <c r="E606" s="16">
        <f t="shared" ref="E606:G606" si="1815">ROUNDUP((XLOOKUP($D606,$T$3:$T$10,$U$3:$U$10)*XLOOKUP(E$2,$AA$3:$AA$5,$AB$3:$AB$5)-ABS(XLOOKUP($C606,$Q$3:$Q$16,$R$3:$R$16)))*$B606,-5)</f>
        <v>46300000</v>
      </c>
      <c r="F606" s="16">
        <f t="shared" si="1815"/>
        <v>80100000</v>
      </c>
      <c r="G606" s="16">
        <f t="shared" si="1815"/>
        <v>87100000</v>
      </c>
      <c r="H606" s="17">
        <f t="shared" ref="H606:J606" si="1816">roundup((XLOOKUP($D606,$T$3:$T$10,$U$3:$U$10)*XLOOKUP(H$2,$AA$3:$AA$5,$AC$3:$AC$5)-ABS(XLOOKUP($C606,$Q$3:$Q$16,$R$3:$R$16)))*$B606,-5)</f>
        <v>38700000</v>
      </c>
      <c r="I606" s="17">
        <f t="shared" si="1816"/>
        <v>98500000</v>
      </c>
      <c r="J606" s="17">
        <f t="shared" si="1816"/>
        <v>106600000</v>
      </c>
      <c r="K606" s="17">
        <f t="shared" ref="K606:M606" si="1817">roundup((XLOOKUP($D606,$T$3:$T$10,$U$3:$U$10)*XLOOKUP(K$2,$AA$3:$AA$5,$AD$3:$AD$5)-ABS(XLOOKUP($C606,$Q$3:$Q$16,$R$3:$R$16)))*$B606,-5)</f>
        <v>45300000</v>
      </c>
      <c r="L606" s="17">
        <f t="shared" si="1817"/>
        <v>111000000</v>
      </c>
      <c r="M606" s="17">
        <f t="shared" si="1817"/>
        <v>119900000</v>
      </c>
    </row>
    <row r="607">
      <c r="A607" s="14" t="s">
        <v>650</v>
      </c>
      <c r="B607" s="14">
        <v>176.0</v>
      </c>
      <c r="C607" s="15">
        <f t="shared" si="4"/>
        <v>12</v>
      </c>
      <c r="D607" s="14" t="s">
        <v>33</v>
      </c>
      <c r="E607" s="16">
        <f t="shared" ref="E607:G607" si="1818">ROUNDUP((XLOOKUP($D607,$T$3:$T$10,$U$3:$U$10)*XLOOKUP(E$2,$AA$3:$AA$5,$AB$3:$AB$5)-ABS(XLOOKUP($C607,$Q$3:$Q$16,$R$3:$R$16)))*$B607,-5)</f>
        <v>37300000</v>
      </c>
      <c r="F607" s="16">
        <f t="shared" si="1818"/>
        <v>66900000</v>
      </c>
      <c r="G607" s="16">
        <f t="shared" si="1818"/>
        <v>73000000</v>
      </c>
      <c r="H607" s="17">
        <f t="shared" ref="H607:J607" si="1819">roundup((XLOOKUP($D607,$T$3:$T$10,$U$3:$U$10)*XLOOKUP(H$2,$AA$3:$AA$5,$AC$3:$AC$5)-ABS(XLOOKUP($C607,$Q$3:$Q$16,$R$3:$R$16)))*$B607,-5)</f>
        <v>30600000</v>
      </c>
      <c r="I607" s="17">
        <f t="shared" si="1819"/>
        <v>83000000</v>
      </c>
      <c r="J607" s="17">
        <f t="shared" si="1819"/>
        <v>90100000</v>
      </c>
      <c r="K607" s="17">
        <f t="shared" ref="K607:M607" si="1820">roundup((XLOOKUP($D607,$T$3:$T$10,$U$3:$U$10)*XLOOKUP(K$2,$AA$3:$AA$5,$AD$3:$AD$5)-ABS(XLOOKUP($C607,$Q$3:$Q$16,$R$3:$R$16)))*$B607,-5)</f>
        <v>36400000</v>
      </c>
      <c r="L607" s="17">
        <f t="shared" si="1820"/>
        <v>93900000</v>
      </c>
      <c r="M607" s="17">
        <f t="shared" si="1820"/>
        <v>101800000</v>
      </c>
    </row>
    <row r="608">
      <c r="A608" s="14" t="s">
        <v>651</v>
      </c>
      <c r="B608" s="14">
        <v>248.0</v>
      </c>
      <c r="C608" s="15">
        <f t="shared" si="4"/>
        <v>14</v>
      </c>
      <c r="D608" s="14" t="s">
        <v>36</v>
      </c>
      <c r="E608" s="16">
        <f t="shared" ref="E608:G608" si="1821">ROUNDUP((XLOOKUP($D608,$T$3:$T$10,$U$3:$U$10)*XLOOKUP(E$2,$AA$3:$AA$5,$AB$3:$AB$5)-ABS(XLOOKUP($C608,$Q$3:$Q$16,$R$3:$R$16)))*$B608,-5)</f>
        <v>57900000</v>
      </c>
      <c r="F608" s="16">
        <f t="shared" si="1821"/>
        <v>104600000</v>
      </c>
      <c r="G608" s="16">
        <f t="shared" si="1821"/>
        <v>114300000</v>
      </c>
      <c r="H608" s="17">
        <f t="shared" ref="H608:J608" si="1822">roundup((XLOOKUP($D608,$T$3:$T$10,$U$3:$U$10)*XLOOKUP(H$2,$AA$3:$AA$5,$AC$3:$AC$5)-ABS(XLOOKUP($C608,$Q$3:$Q$16,$R$3:$R$16)))*$B608,-5)</f>
        <v>47200000</v>
      </c>
      <c r="I608" s="17">
        <f t="shared" si="1822"/>
        <v>130000000</v>
      </c>
      <c r="J608" s="17">
        <f t="shared" si="1822"/>
        <v>141300000</v>
      </c>
      <c r="K608" s="17">
        <f t="shared" ref="K608:M608" si="1823">roundup((XLOOKUP($D608,$T$3:$T$10,$U$3:$U$10)*XLOOKUP(K$2,$AA$3:$AA$5,$AD$3:$AD$5)-ABS(XLOOKUP($C608,$Q$3:$Q$16,$R$3:$R$16)))*$B608,-5)</f>
        <v>56400000</v>
      </c>
      <c r="L608" s="17">
        <f t="shared" si="1823"/>
        <v>147300000</v>
      </c>
      <c r="M608" s="17">
        <f t="shared" si="1823"/>
        <v>159700000</v>
      </c>
    </row>
    <row r="609">
      <c r="A609" s="14" t="s">
        <v>652</v>
      </c>
      <c r="B609" s="14">
        <v>176.0</v>
      </c>
      <c r="C609" s="15">
        <f t="shared" si="4"/>
        <v>12</v>
      </c>
      <c r="D609" s="14" t="s">
        <v>28</v>
      </c>
      <c r="E609" s="16">
        <f t="shared" ref="E609:G609" si="1824">ROUNDUP((XLOOKUP($D609,$T$3:$T$10,$U$3:$U$10)*XLOOKUP(E$2,$AA$3:$AA$5,$AB$3:$AB$5)-ABS(XLOOKUP($C609,$Q$3:$Q$16,$R$3:$R$16)))*$B609,-5)</f>
        <v>47700000</v>
      </c>
      <c r="F609" s="16">
        <f t="shared" si="1824"/>
        <v>81900000</v>
      </c>
      <c r="G609" s="16">
        <f t="shared" si="1824"/>
        <v>88900000</v>
      </c>
      <c r="H609" s="17">
        <f t="shared" ref="H609:J609" si="1825">roundup((XLOOKUP($D609,$T$3:$T$10,$U$3:$U$10)*XLOOKUP(H$2,$AA$3:$AA$5,$AC$3:$AC$5)-ABS(XLOOKUP($C609,$Q$3:$Q$16,$R$3:$R$16)))*$B609,-5)</f>
        <v>39900000</v>
      </c>
      <c r="I609" s="17">
        <f t="shared" si="1825"/>
        <v>100500000</v>
      </c>
      <c r="J609" s="17">
        <f t="shared" si="1825"/>
        <v>108700000</v>
      </c>
      <c r="K609" s="17">
        <f t="shared" ref="K609:M609" si="1826">roundup((XLOOKUP($D609,$T$3:$T$10,$U$3:$U$10)*XLOOKUP(K$2,$AA$3:$AA$5,$AD$3:$AD$5)-ABS(XLOOKUP($C609,$Q$3:$Q$16,$R$3:$R$16)))*$B609,-5)</f>
        <v>46600000</v>
      </c>
      <c r="L609" s="17">
        <f t="shared" si="1826"/>
        <v>113100000</v>
      </c>
      <c r="M609" s="17">
        <f t="shared" si="1826"/>
        <v>122200000</v>
      </c>
    </row>
    <row r="610">
      <c r="A610" s="14" t="s">
        <v>653</v>
      </c>
      <c r="B610" s="14">
        <v>75.0</v>
      </c>
      <c r="C610" s="15">
        <f t="shared" si="4"/>
        <v>9</v>
      </c>
      <c r="D610" s="14" t="s">
        <v>28</v>
      </c>
      <c r="E610" s="16">
        <f t="shared" ref="E610:G610" si="1827">ROUNDUP((XLOOKUP($D610,$T$3:$T$10,$U$3:$U$10)*XLOOKUP(E$2,$AA$3:$AA$5,$AB$3:$AB$5)-ABS(XLOOKUP($C610,$Q$3:$Q$16,$R$3:$R$16)))*$B610,-5)</f>
        <v>27500000</v>
      </c>
      <c r="F610" s="16">
        <f t="shared" si="1827"/>
        <v>42100000</v>
      </c>
      <c r="G610" s="16">
        <f t="shared" si="1827"/>
        <v>45100000</v>
      </c>
      <c r="H610" s="17">
        <f t="shared" ref="H610:J610" si="1828">roundup((XLOOKUP($D610,$T$3:$T$10,$U$3:$U$10)*XLOOKUP(H$2,$AA$3:$AA$5,$AC$3:$AC$5)-ABS(XLOOKUP($C610,$Q$3:$Q$16,$R$3:$R$16)))*$B610,-5)</f>
        <v>24200000</v>
      </c>
      <c r="I610" s="17">
        <f t="shared" si="1828"/>
        <v>50000000</v>
      </c>
      <c r="J610" s="17">
        <f t="shared" si="1828"/>
        <v>53600000</v>
      </c>
      <c r="K610" s="17">
        <f t="shared" ref="K610:M610" si="1829">roundup((XLOOKUP($D610,$T$3:$T$10,$U$3:$U$10)*XLOOKUP(K$2,$AA$3:$AA$5,$AD$3:$AD$5)-ABS(XLOOKUP($C610,$Q$3:$Q$16,$R$3:$R$16)))*$B610,-5)</f>
        <v>27100000</v>
      </c>
      <c r="L610" s="17">
        <f t="shared" si="1829"/>
        <v>55400000</v>
      </c>
      <c r="M610" s="17">
        <f t="shared" si="1829"/>
        <v>59300000</v>
      </c>
    </row>
    <row r="611">
      <c r="A611" s="14" t="s">
        <v>654</v>
      </c>
      <c r="B611" s="14">
        <v>92.0</v>
      </c>
      <c r="C611" s="15">
        <f t="shared" si="4"/>
        <v>11</v>
      </c>
      <c r="D611" s="14" t="s">
        <v>28</v>
      </c>
      <c r="E611" s="16">
        <f t="shared" ref="E611:G611" si="1830">ROUNDUP((XLOOKUP($D611,$T$3:$T$10,$U$3:$U$10)*XLOOKUP(E$2,$AA$3:$AA$5,$AB$3:$AB$5)-ABS(XLOOKUP($C611,$Q$3:$Q$16,$R$3:$R$16)))*$B611,-5)</f>
        <v>25400000</v>
      </c>
      <c r="F611" s="16">
        <f t="shared" si="1830"/>
        <v>43300000</v>
      </c>
      <c r="G611" s="16">
        <f t="shared" si="1830"/>
        <v>47000000</v>
      </c>
      <c r="H611" s="17">
        <f t="shared" ref="H611:J611" si="1831">roundup((XLOOKUP($D611,$T$3:$T$10,$U$3:$U$10)*XLOOKUP(H$2,$AA$3:$AA$5,$AC$3:$AC$5)-ABS(XLOOKUP($C611,$Q$3:$Q$16,$R$3:$R$16)))*$B611,-5)</f>
        <v>21300000</v>
      </c>
      <c r="I611" s="17">
        <f t="shared" si="1831"/>
        <v>53000000</v>
      </c>
      <c r="J611" s="17">
        <f t="shared" si="1831"/>
        <v>57300000</v>
      </c>
      <c r="K611" s="17">
        <f t="shared" ref="K611:M611" si="1832">roundup((XLOOKUP($D611,$T$3:$T$10,$U$3:$U$10)*XLOOKUP(K$2,$AA$3:$AA$5,$AD$3:$AD$5)-ABS(XLOOKUP($C611,$Q$3:$Q$16,$R$3:$R$16)))*$B611,-5)</f>
        <v>24800000</v>
      </c>
      <c r="L611" s="17">
        <f t="shared" si="1832"/>
        <v>59600000</v>
      </c>
      <c r="M611" s="17">
        <f t="shared" si="1832"/>
        <v>64400000</v>
      </c>
    </row>
    <row r="612">
      <c r="A612" s="14" t="s">
        <v>655</v>
      </c>
      <c r="B612" s="14">
        <v>144.0</v>
      </c>
      <c r="C612" s="15">
        <f t="shared" si="4"/>
        <v>11</v>
      </c>
      <c r="D612" s="14" t="s">
        <v>28</v>
      </c>
      <c r="E612" s="16">
        <f t="shared" ref="E612:G612" si="1833">ROUNDUP((XLOOKUP($D612,$T$3:$T$10,$U$3:$U$10)*XLOOKUP(E$2,$AA$3:$AA$5,$AB$3:$AB$5)-ABS(XLOOKUP($C612,$Q$3:$Q$16,$R$3:$R$16)))*$B612,-5)</f>
        <v>39700000</v>
      </c>
      <c r="F612" s="16">
        <f t="shared" si="1833"/>
        <v>67700000</v>
      </c>
      <c r="G612" s="16">
        <f t="shared" si="1833"/>
        <v>73500000</v>
      </c>
      <c r="H612" s="17">
        <f t="shared" ref="H612:J612" si="1834">roundup((XLOOKUP($D612,$T$3:$T$10,$U$3:$U$10)*XLOOKUP(H$2,$AA$3:$AA$5,$AC$3:$AC$5)-ABS(XLOOKUP($C612,$Q$3:$Q$16,$R$3:$R$16)))*$B612,-5)</f>
        <v>33400000</v>
      </c>
      <c r="I612" s="17">
        <f t="shared" si="1834"/>
        <v>82900000</v>
      </c>
      <c r="J612" s="17">
        <f t="shared" si="1834"/>
        <v>89700000</v>
      </c>
      <c r="K612" s="17">
        <f t="shared" ref="K612:M612" si="1835">roundup((XLOOKUP($D612,$T$3:$T$10,$U$3:$U$10)*XLOOKUP(K$2,$AA$3:$AA$5,$AD$3:$AD$5)-ABS(XLOOKUP($C612,$Q$3:$Q$16,$R$3:$R$16)))*$B612,-5)</f>
        <v>38900000</v>
      </c>
      <c r="L612" s="17">
        <f t="shared" si="1835"/>
        <v>93300000</v>
      </c>
      <c r="M612" s="17">
        <f t="shared" si="1835"/>
        <v>100700000</v>
      </c>
    </row>
    <row r="613">
      <c r="A613" s="14" t="s">
        <v>656</v>
      </c>
      <c r="B613" s="14">
        <v>114.0</v>
      </c>
      <c r="C613" s="15">
        <f t="shared" si="4"/>
        <v>11</v>
      </c>
      <c r="D613" s="14" t="s">
        <v>28</v>
      </c>
      <c r="E613" s="16">
        <f t="shared" ref="E613:G613" si="1836">ROUNDUP((XLOOKUP($D613,$T$3:$T$10,$U$3:$U$10)*XLOOKUP(E$2,$AA$3:$AA$5,$AB$3:$AB$5)-ABS(XLOOKUP($C613,$Q$3:$Q$16,$R$3:$R$16)))*$B613,-5)</f>
        <v>31500000</v>
      </c>
      <c r="F613" s="16">
        <f t="shared" si="1836"/>
        <v>53600000</v>
      </c>
      <c r="G613" s="16">
        <f t="shared" si="1836"/>
        <v>58200000</v>
      </c>
      <c r="H613" s="17">
        <f t="shared" ref="H613:J613" si="1837">roundup((XLOOKUP($D613,$T$3:$T$10,$U$3:$U$10)*XLOOKUP(H$2,$AA$3:$AA$5,$AC$3:$AC$5)-ABS(XLOOKUP($C613,$Q$3:$Q$16,$R$3:$R$16)))*$B613,-5)</f>
        <v>26400000</v>
      </c>
      <c r="I613" s="17">
        <f t="shared" si="1837"/>
        <v>65700000</v>
      </c>
      <c r="J613" s="17">
        <f t="shared" si="1837"/>
        <v>71000000</v>
      </c>
      <c r="K613" s="17">
        <f t="shared" ref="K613:M613" si="1838">roundup((XLOOKUP($D613,$T$3:$T$10,$U$3:$U$10)*XLOOKUP(K$2,$AA$3:$AA$5,$AD$3:$AD$5)-ABS(XLOOKUP($C613,$Q$3:$Q$16,$R$3:$R$16)))*$B613,-5)</f>
        <v>30800000</v>
      </c>
      <c r="L613" s="17">
        <f t="shared" si="1838"/>
        <v>73800000</v>
      </c>
      <c r="M613" s="17">
        <f t="shared" si="1838"/>
        <v>79700000</v>
      </c>
    </row>
    <row r="614">
      <c r="A614" s="14" t="s">
        <v>657</v>
      </c>
      <c r="B614" s="14">
        <v>161.0</v>
      </c>
      <c r="C614" s="15">
        <f t="shared" si="4"/>
        <v>12</v>
      </c>
      <c r="D614" s="14" t="s">
        <v>28</v>
      </c>
      <c r="E614" s="16">
        <f t="shared" ref="E614:G614" si="1839">ROUNDUP((XLOOKUP($D614,$T$3:$T$10,$U$3:$U$10)*XLOOKUP(E$2,$AA$3:$AA$5,$AB$3:$AB$5)-ABS(XLOOKUP($C614,$Q$3:$Q$16,$R$3:$R$16)))*$B614,-5)</f>
        <v>43600000</v>
      </c>
      <c r="F614" s="16">
        <f t="shared" si="1839"/>
        <v>74900000</v>
      </c>
      <c r="G614" s="16">
        <f t="shared" si="1839"/>
        <v>81400000</v>
      </c>
      <c r="H614" s="17">
        <f t="shared" ref="H614:J614" si="1840">roundup((XLOOKUP($D614,$T$3:$T$10,$U$3:$U$10)*XLOOKUP(H$2,$AA$3:$AA$5,$AC$3:$AC$5)-ABS(XLOOKUP($C614,$Q$3:$Q$16,$R$3:$R$16)))*$B614,-5)</f>
        <v>36500000</v>
      </c>
      <c r="I614" s="17">
        <f t="shared" si="1840"/>
        <v>91900000</v>
      </c>
      <c r="J614" s="17">
        <f t="shared" si="1840"/>
        <v>99500000</v>
      </c>
      <c r="K614" s="17">
        <f t="shared" ref="K614:M614" si="1841">roundup((XLOOKUP($D614,$T$3:$T$10,$U$3:$U$10)*XLOOKUP(K$2,$AA$3:$AA$5,$AD$3:$AD$5)-ABS(XLOOKUP($C614,$Q$3:$Q$16,$R$3:$R$16)))*$B614,-5)</f>
        <v>42600000</v>
      </c>
      <c r="L614" s="17">
        <f t="shared" si="1841"/>
        <v>103500000</v>
      </c>
      <c r="M614" s="17">
        <f t="shared" si="1841"/>
        <v>111800000</v>
      </c>
    </row>
    <row r="615">
      <c r="A615" s="14" t="s">
        <v>658</v>
      </c>
      <c r="B615" s="14">
        <v>158.0</v>
      </c>
      <c r="C615" s="15">
        <f t="shared" si="4"/>
        <v>11</v>
      </c>
      <c r="D615" s="14" t="s">
        <v>28</v>
      </c>
      <c r="E615" s="16">
        <f t="shared" ref="E615:G615" si="1842">ROUNDUP((XLOOKUP($D615,$T$3:$T$10,$U$3:$U$10)*XLOOKUP(E$2,$AA$3:$AA$5,$AB$3:$AB$5)-ABS(XLOOKUP($C615,$Q$3:$Q$16,$R$3:$R$16)))*$B615,-5)</f>
        <v>43600000</v>
      </c>
      <c r="F615" s="16">
        <f t="shared" si="1842"/>
        <v>74300000</v>
      </c>
      <c r="G615" s="16">
        <f t="shared" si="1842"/>
        <v>80600000</v>
      </c>
      <c r="H615" s="17">
        <f t="shared" ref="H615:J615" si="1843">roundup((XLOOKUP($D615,$T$3:$T$10,$U$3:$U$10)*XLOOKUP(H$2,$AA$3:$AA$5,$AC$3:$AC$5)-ABS(XLOOKUP($C615,$Q$3:$Q$16,$R$3:$R$16)))*$B615,-5)</f>
        <v>36600000</v>
      </c>
      <c r="I615" s="17">
        <f t="shared" si="1843"/>
        <v>91000000</v>
      </c>
      <c r="J615" s="17">
        <f t="shared" si="1843"/>
        <v>98400000</v>
      </c>
      <c r="K615" s="17">
        <f t="shared" ref="K615:M615" si="1844">roundup((XLOOKUP($D615,$T$3:$T$10,$U$3:$U$10)*XLOOKUP(K$2,$AA$3:$AA$5,$AD$3:$AD$5)-ABS(XLOOKUP($C615,$Q$3:$Q$16,$R$3:$R$16)))*$B615,-5)</f>
        <v>42600000</v>
      </c>
      <c r="L615" s="17">
        <f t="shared" si="1844"/>
        <v>102300000</v>
      </c>
      <c r="M615" s="17">
        <f t="shared" si="1844"/>
        <v>110500000</v>
      </c>
    </row>
    <row r="616">
      <c r="A616" s="14" t="s">
        <v>659</v>
      </c>
      <c r="B616" s="14">
        <v>136.0</v>
      </c>
      <c r="C616" s="15">
        <f t="shared" si="4"/>
        <v>11</v>
      </c>
      <c r="D616" s="14" t="s">
        <v>28</v>
      </c>
      <c r="E616" s="16">
        <f t="shared" ref="E616:G616" si="1845">ROUNDUP((XLOOKUP($D616,$T$3:$T$10,$U$3:$U$10)*XLOOKUP(E$2,$AA$3:$AA$5,$AB$3:$AB$5)-ABS(XLOOKUP($C616,$Q$3:$Q$16,$R$3:$R$16)))*$B616,-5)</f>
        <v>37500000</v>
      </c>
      <c r="F616" s="16">
        <f t="shared" si="1845"/>
        <v>63900000</v>
      </c>
      <c r="G616" s="16">
        <f t="shared" si="1845"/>
        <v>69400000</v>
      </c>
      <c r="H616" s="17">
        <f t="shared" ref="H616:J616" si="1846">roundup((XLOOKUP($D616,$T$3:$T$10,$U$3:$U$10)*XLOOKUP(H$2,$AA$3:$AA$5,$AC$3:$AC$5)-ABS(XLOOKUP($C616,$Q$3:$Q$16,$R$3:$R$16)))*$B616,-5)</f>
        <v>31500000</v>
      </c>
      <c r="I616" s="17">
        <f t="shared" si="1846"/>
        <v>78300000</v>
      </c>
      <c r="J616" s="17">
        <f t="shared" si="1846"/>
        <v>84700000</v>
      </c>
      <c r="K616" s="17">
        <f t="shared" ref="K616:M616" si="1847">roundup((XLOOKUP($D616,$T$3:$T$10,$U$3:$U$10)*XLOOKUP(K$2,$AA$3:$AA$5,$AD$3:$AD$5)-ABS(XLOOKUP($C616,$Q$3:$Q$16,$R$3:$R$16)))*$B616,-5)</f>
        <v>36700000</v>
      </c>
      <c r="L616" s="17">
        <f t="shared" si="1847"/>
        <v>88100000</v>
      </c>
      <c r="M616" s="17">
        <f t="shared" si="1847"/>
        <v>95100000</v>
      </c>
    </row>
    <row r="617">
      <c r="A617" s="14" t="s">
        <v>660</v>
      </c>
      <c r="B617" s="14">
        <v>208.0</v>
      </c>
      <c r="C617" s="15">
        <f t="shared" si="4"/>
        <v>13</v>
      </c>
      <c r="D617" s="14" t="s">
        <v>28</v>
      </c>
      <c r="E617" s="16">
        <f t="shared" ref="E617:G617" si="1848">ROUNDUP((XLOOKUP($D617,$T$3:$T$10,$U$3:$U$10)*XLOOKUP(E$2,$AA$3:$AA$5,$AB$3:$AB$5)-ABS(XLOOKUP($C617,$Q$3:$Q$16,$R$3:$R$16)))*$B617,-5)</f>
        <v>53200000</v>
      </c>
      <c r="F617" s="16">
        <f t="shared" si="1848"/>
        <v>93600000</v>
      </c>
      <c r="G617" s="16">
        <f t="shared" si="1848"/>
        <v>102000000</v>
      </c>
      <c r="H617" s="17">
        <f t="shared" ref="H617:J617" si="1849">roundup((XLOOKUP($D617,$T$3:$T$10,$U$3:$U$10)*XLOOKUP(H$2,$AA$3:$AA$5,$AC$3:$AC$5)-ABS(XLOOKUP($C617,$Q$3:$Q$16,$R$3:$R$16)))*$B617,-5)</f>
        <v>44000000</v>
      </c>
      <c r="I617" s="17">
        <f t="shared" si="1849"/>
        <v>115600000</v>
      </c>
      <c r="J617" s="17">
        <f t="shared" si="1849"/>
        <v>125400000</v>
      </c>
      <c r="K617" s="17">
        <f t="shared" ref="K617:M617" si="1850">roundup((XLOOKUP($D617,$T$3:$T$10,$U$3:$U$10)*XLOOKUP(K$2,$AA$3:$AA$5,$AD$3:$AD$5)-ABS(XLOOKUP($C617,$Q$3:$Q$16,$R$3:$R$16)))*$B617,-5)</f>
        <v>51900000</v>
      </c>
      <c r="L617" s="17">
        <f t="shared" si="1850"/>
        <v>130500000</v>
      </c>
      <c r="M617" s="17">
        <f t="shared" si="1850"/>
        <v>141300000</v>
      </c>
    </row>
    <row r="618">
      <c r="A618" s="14" t="s">
        <v>661</v>
      </c>
      <c r="B618" s="14">
        <v>135.0</v>
      </c>
      <c r="C618" s="15">
        <f t="shared" si="4"/>
        <v>11</v>
      </c>
      <c r="D618" s="14" t="s">
        <v>28</v>
      </c>
      <c r="E618" s="16">
        <f t="shared" ref="E618:G618" si="1851">ROUNDUP((XLOOKUP($D618,$T$3:$T$10,$U$3:$U$10)*XLOOKUP(E$2,$AA$3:$AA$5,$AB$3:$AB$5)-ABS(XLOOKUP($C618,$Q$3:$Q$16,$R$3:$R$16)))*$B618,-5)</f>
        <v>37200000</v>
      </c>
      <c r="F618" s="16">
        <f t="shared" si="1851"/>
        <v>63500000</v>
      </c>
      <c r="G618" s="16">
        <f t="shared" si="1851"/>
        <v>68900000</v>
      </c>
      <c r="H618" s="17">
        <f t="shared" ref="H618:J618" si="1852">roundup((XLOOKUP($D618,$T$3:$T$10,$U$3:$U$10)*XLOOKUP(H$2,$AA$3:$AA$5,$AC$3:$AC$5)-ABS(XLOOKUP($C618,$Q$3:$Q$16,$R$3:$R$16)))*$B618,-5)</f>
        <v>31300000</v>
      </c>
      <c r="I618" s="17">
        <f t="shared" si="1852"/>
        <v>77800000</v>
      </c>
      <c r="J618" s="17">
        <f t="shared" si="1852"/>
        <v>84100000</v>
      </c>
      <c r="K618" s="17">
        <f t="shared" ref="K618:M618" si="1853">roundup((XLOOKUP($D618,$T$3:$T$10,$U$3:$U$10)*XLOOKUP(K$2,$AA$3:$AA$5,$AD$3:$AD$5)-ABS(XLOOKUP($C618,$Q$3:$Q$16,$R$3:$R$16)))*$B618,-5)</f>
        <v>36400000</v>
      </c>
      <c r="L618" s="17">
        <f t="shared" si="1853"/>
        <v>87400000</v>
      </c>
      <c r="M618" s="17">
        <f t="shared" si="1853"/>
        <v>94400000</v>
      </c>
    </row>
    <row r="619">
      <c r="A619" s="14" t="s">
        <v>662</v>
      </c>
      <c r="B619" s="14">
        <v>62.0</v>
      </c>
      <c r="C619" s="15">
        <f t="shared" si="4"/>
        <v>9</v>
      </c>
      <c r="D619" s="14" t="s">
        <v>28</v>
      </c>
      <c r="E619" s="16">
        <f t="shared" ref="E619:G619" si="1854">ROUNDUP((XLOOKUP($D619,$T$3:$T$10,$U$3:$U$10)*XLOOKUP(E$2,$AA$3:$AA$5,$AB$3:$AB$5)-ABS(XLOOKUP($C619,$Q$3:$Q$16,$R$3:$R$16)))*$B619,-5)</f>
        <v>22800000</v>
      </c>
      <c r="F619" s="16">
        <f t="shared" si="1854"/>
        <v>34800000</v>
      </c>
      <c r="G619" s="16">
        <f t="shared" si="1854"/>
        <v>37300000</v>
      </c>
      <c r="H619" s="17">
        <f t="shared" ref="H619:J619" si="1855">roundup((XLOOKUP($D619,$T$3:$T$10,$U$3:$U$10)*XLOOKUP(H$2,$AA$3:$AA$5,$AC$3:$AC$5)-ABS(XLOOKUP($C619,$Q$3:$Q$16,$R$3:$R$16)))*$B619,-5)</f>
        <v>20000000</v>
      </c>
      <c r="I619" s="17">
        <f t="shared" si="1855"/>
        <v>41400000</v>
      </c>
      <c r="J619" s="17">
        <f t="shared" si="1855"/>
        <v>44300000</v>
      </c>
      <c r="K619" s="17">
        <f t="shared" ref="K619:M619" si="1856">roundup((XLOOKUP($D619,$T$3:$T$10,$U$3:$U$10)*XLOOKUP(K$2,$AA$3:$AA$5,$AD$3:$AD$5)-ABS(XLOOKUP($C619,$Q$3:$Q$16,$R$3:$R$16)))*$B619,-5)</f>
        <v>22400000</v>
      </c>
      <c r="L619" s="17">
        <f t="shared" si="1856"/>
        <v>45800000</v>
      </c>
      <c r="M619" s="17">
        <f t="shared" si="1856"/>
        <v>49000000</v>
      </c>
    </row>
    <row r="620">
      <c r="A620" s="14" t="s">
        <v>663</v>
      </c>
      <c r="B620" s="14">
        <v>150.0</v>
      </c>
      <c r="C620" s="15">
        <f t="shared" si="4"/>
        <v>11</v>
      </c>
      <c r="D620" s="14" t="s">
        <v>28</v>
      </c>
      <c r="E620" s="16">
        <f t="shared" ref="E620:G620" si="1857">ROUNDUP((XLOOKUP($D620,$T$3:$T$10,$U$3:$U$10)*XLOOKUP(E$2,$AA$3:$AA$5,$AB$3:$AB$5)-ABS(XLOOKUP($C620,$Q$3:$Q$16,$R$3:$R$16)))*$B620,-5)</f>
        <v>41400000</v>
      </c>
      <c r="F620" s="16">
        <f t="shared" si="1857"/>
        <v>70500000</v>
      </c>
      <c r="G620" s="16">
        <f t="shared" si="1857"/>
        <v>76500000</v>
      </c>
      <c r="H620" s="17">
        <f t="shared" ref="H620:J620" si="1858">roundup((XLOOKUP($D620,$T$3:$T$10,$U$3:$U$10)*XLOOKUP(H$2,$AA$3:$AA$5,$AC$3:$AC$5)-ABS(XLOOKUP($C620,$Q$3:$Q$16,$R$3:$R$16)))*$B620,-5)</f>
        <v>34700000</v>
      </c>
      <c r="I620" s="17">
        <f t="shared" si="1858"/>
        <v>86400000</v>
      </c>
      <c r="J620" s="17">
        <f t="shared" si="1858"/>
        <v>93400000</v>
      </c>
      <c r="K620" s="17">
        <f t="shared" ref="K620:M620" si="1859">roundup((XLOOKUP($D620,$T$3:$T$10,$U$3:$U$10)*XLOOKUP(K$2,$AA$3:$AA$5,$AD$3:$AD$5)-ABS(XLOOKUP($C620,$Q$3:$Q$16,$R$3:$R$16)))*$B620,-5)</f>
        <v>40500000</v>
      </c>
      <c r="L620" s="17">
        <f t="shared" si="1859"/>
        <v>97200000</v>
      </c>
      <c r="M620" s="17">
        <f t="shared" si="1859"/>
        <v>104900000</v>
      </c>
    </row>
    <row r="621">
      <c r="A621" s="14" t="s">
        <v>664</v>
      </c>
      <c r="B621" s="14">
        <v>129.0</v>
      </c>
      <c r="C621" s="15">
        <f t="shared" si="4"/>
        <v>11</v>
      </c>
      <c r="D621" s="14" t="s">
        <v>28</v>
      </c>
      <c r="E621" s="16">
        <f t="shared" ref="E621:G621" si="1860">ROUNDUP((XLOOKUP($D621,$T$3:$T$10,$U$3:$U$10)*XLOOKUP(E$2,$AA$3:$AA$5,$AB$3:$AB$5)-ABS(XLOOKUP($C621,$Q$3:$Q$16,$R$3:$R$16)))*$B621,-5)</f>
        <v>35600000</v>
      </c>
      <c r="F621" s="16">
        <f t="shared" si="1860"/>
        <v>60700000</v>
      </c>
      <c r="G621" s="16">
        <f t="shared" si="1860"/>
        <v>65800000</v>
      </c>
      <c r="H621" s="17">
        <f t="shared" ref="H621:J621" si="1861">roundup((XLOOKUP($D621,$T$3:$T$10,$U$3:$U$10)*XLOOKUP(H$2,$AA$3:$AA$5,$AC$3:$AC$5)-ABS(XLOOKUP($C621,$Q$3:$Q$16,$R$3:$R$16)))*$B621,-5)</f>
        <v>29900000</v>
      </c>
      <c r="I621" s="17">
        <f t="shared" si="1861"/>
        <v>74300000</v>
      </c>
      <c r="J621" s="17">
        <f t="shared" si="1861"/>
        <v>80400000</v>
      </c>
      <c r="K621" s="17">
        <f t="shared" ref="K621:M621" si="1862">roundup((XLOOKUP($D621,$T$3:$T$10,$U$3:$U$10)*XLOOKUP(K$2,$AA$3:$AA$5,$AD$3:$AD$5)-ABS(XLOOKUP($C621,$Q$3:$Q$16,$R$3:$R$16)))*$B621,-5)</f>
        <v>34800000</v>
      </c>
      <c r="L621" s="17">
        <f t="shared" si="1862"/>
        <v>83600000</v>
      </c>
      <c r="M621" s="17">
        <f t="shared" si="1862"/>
        <v>90200000</v>
      </c>
    </row>
    <row r="622">
      <c r="A622" s="14" t="s">
        <v>665</v>
      </c>
      <c r="B622" s="14">
        <v>130.0</v>
      </c>
      <c r="C622" s="15">
        <f t="shared" si="4"/>
        <v>11</v>
      </c>
      <c r="D622" s="14" t="s">
        <v>28</v>
      </c>
      <c r="E622" s="16">
        <f t="shared" ref="E622:G622" si="1863">ROUNDUP((XLOOKUP($D622,$T$3:$T$10,$U$3:$U$10)*XLOOKUP(E$2,$AA$3:$AA$5,$AB$3:$AB$5)-ABS(XLOOKUP($C622,$Q$3:$Q$16,$R$3:$R$16)))*$B622,-5)</f>
        <v>35900000</v>
      </c>
      <c r="F622" s="16">
        <f t="shared" si="1863"/>
        <v>61100000</v>
      </c>
      <c r="G622" s="16">
        <f t="shared" si="1863"/>
        <v>66300000</v>
      </c>
      <c r="H622" s="17">
        <f t="shared" ref="H622:J622" si="1864">roundup((XLOOKUP($D622,$T$3:$T$10,$U$3:$U$10)*XLOOKUP(H$2,$AA$3:$AA$5,$AC$3:$AC$5)-ABS(XLOOKUP($C622,$Q$3:$Q$16,$R$3:$R$16)))*$B622,-5)</f>
        <v>30100000</v>
      </c>
      <c r="I622" s="17">
        <f t="shared" si="1864"/>
        <v>74900000</v>
      </c>
      <c r="J622" s="17">
        <f t="shared" si="1864"/>
        <v>81000000</v>
      </c>
      <c r="K622" s="17">
        <f t="shared" ref="K622:M622" si="1865">roundup((XLOOKUP($D622,$T$3:$T$10,$U$3:$U$10)*XLOOKUP(K$2,$AA$3:$AA$5,$AD$3:$AD$5)-ABS(XLOOKUP($C622,$Q$3:$Q$16,$R$3:$R$16)))*$B622,-5)</f>
        <v>35100000</v>
      </c>
      <c r="L622" s="17">
        <f t="shared" si="1865"/>
        <v>84200000</v>
      </c>
      <c r="M622" s="17">
        <f t="shared" si="1865"/>
        <v>90900000</v>
      </c>
    </row>
    <row r="623">
      <c r="A623" s="14" t="s">
        <v>666</v>
      </c>
      <c r="B623" s="14">
        <v>162.0</v>
      </c>
      <c r="C623" s="15">
        <f t="shared" si="4"/>
        <v>12</v>
      </c>
      <c r="D623" s="14" t="s">
        <v>28</v>
      </c>
      <c r="E623" s="16">
        <f t="shared" ref="E623:G623" si="1866">ROUNDUP((XLOOKUP($D623,$T$3:$T$10,$U$3:$U$10)*XLOOKUP(E$2,$AA$3:$AA$5,$AB$3:$AB$5)-ABS(XLOOKUP($C623,$Q$3:$Q$16,$R$3:$R$16)))*$B623,-5)</f>
        <v>43900000</v>
      </c>
      <c r="F623" s="16">
        <f t="shared" si="1866"/>
        <v>75300000</v>
      </c>
      <c r="G623" s="16">
        <f t="shared" si="1866"/>
        <v>81900000</v>
      </c>
      <c r="H623" s="17">
        <f t="shared" ref="H623:J623" si="1867">roundup((XLOOKUP($D623,$T$3:$T$10,$U$3:$U$10)*XLOOKUP(H$2,$AA$3:$AA$5,$AC$3:$AC$5)-ABS(XLOOKUP($C623,$Q$3:$Q$16,$R$3:$R$16)))*$B623,-5)</f>
        <v>36700000</v>
      </c>
      <c r="I623" s="17">
        <f t="shared" si="1867"/>
        <v>92500000</v>
      </c>
      <c r="J623" s="17">
        <f t="shared" si="1867"/>
        <v>100100000</v>
      </c>
      <c r="K623" s="17">
        <f t="shared" ref="K623:M623" si="1868">roundup((XLOOKUP($D623,$T$3:$T$10,$U$3:$U$10)*XLOOKUP(K$2,$AA$3:$AA$5,$AD$3:$AD$5)-ABS(XLOOKUP($C623,$Q$3:$Q$16,$R$3:$R$16)))*$B623,-5)</f>
        <v>42900000</v>
      </c>
      <c r="L623" s="17">
        <f t="shared" si="1868"/>
        <v>104100000</v>
      </c>
      <c r="M623" s="17">
        <f t="shared" si="1868"/>
        <v>112500000</v>
      </c>
    </row>
    <row r="624">
      <c r="A624" s="14" t="s">
        <v>667</v>
      </c>
      <c r="B624" s="14">
        <v>203.0</v>
      </c>
      <c r="C624" s="15">
        <f t="shared" si="4"/>
        <v>13</v>
      </c>
      <c r="D624" s="14" t="s">
        <v>28</v>
      </c>
      <c r="E624" s="16">
        <f t="shared" ref="E624:G624" si="1869">ROUNDUP((XLOOKUP($D624,$T$3:$T$10,$U$3:$U$10)*XLOOKUP(E$2,$AA$3:$AA$5,$AB$3:$AB$5)-ABS(XLOOKUP($C624,$Q$3:$Q$16,$R$3:$R$16)))*$B624,-5)</f>
        <v>51900000</v>
      </c>
      <c r="F624" s="16">
        <f t="shared" si="1869"/>
        <v>91400000</v>
      </c>
      <c r="G624" s="16">
        <f t="shared" si="1869"/>
        <v>99500000</v>
      </c>
      <c r="H624" s="17">
        <f t="shared" ref="H624:J624" si="1870">roundup((XLOOKUP($D624,$T$3:$T$10,$U$3:$U$10)*XLOOKUP(H$2,$AA$3:$AA$5,$AC$3:$AC$5)-ABS(XLOOKUP($C624,$Q$3:$Q$16,$R$3:$R$16)))*$B624,-5)</f>
        <v>42900000</v>
      </c>
      <c r="I624" s="17">
        <f t="shared" si="1870"/>
        <v>112800000</v>
      </c>
      <c r="J624" s="17">
        <f t="shared" si="1870"/>
        <v>122400000</v>
      </c>
      <c r="K624" s="17">
        <f t="shared" ref="K624:M624" si="1871">roundup((XLOOKUP($D624,$T$3:$T$10,$U$3:$U$10)*XLOOKUP(K$2,$AA$3:$AA$5,$AD$3:$AD$5)-ABS(XLOOKUP($C624,$Q$3:$Q$16,$R$3:$R$16)))*$B624,-5)</f>
        <v>50700000</v>
      </c>
      <c r="L624" s="17">
        <f t="shared" si="1871"/>
        <v>127400000</v>
      </c>
      <c r="M624" s="17">
        <f t="shared" si="1871"/>
        <v>137900000</v>
      </c>
    </row>
    <row r="625">
      <c r="A625" s="14" t="s">
        <v>668</v>
      </c>
      <c r="B625" s="14">
        <v>169.0</v>
      </c>
      <c r="C625" s="15">
        <f t="shared" si="4"/>
        <v>12</v>
      </c>
      <c r="D625" s="14" t="s">
        <v>28</v>
      </c>
      <c r="E625" s="16">
        <f t="shared" ref="E625:G625" si="1872">ROUNDUP((XLOOKUP($D625,$T$3:$T$10,$U$3:$U$10)*XLOOKUP(E$2,$AA$3:$AA$5,$AB$3:$AB$5)-ABS(XLOOKUP($C625,$Q$3:$Q$16,$R$3:$R$16)))*$B625,-5)</f>
        <v>45800000</v>
      </c>
      <c r="F625" s="16">
        <f t="shared" si="1872"/>
        <v>78600000</v>
      </c>
      <c r="G625" s="16">
        <f t="shared" si="1872"/>
        <v>85400000</v>
      </c>
      <c r="H625" s="17">
        <f t="shared" ref="H625:J625" si="1873">roundup((XLOOKUP($D625,$T$3:$T$10,$U$3:$U$10)*XLOOKUP(H$2,$AA$3:$AA$5,$AC$3:$AC$5)-ABS(XLOOKUP($C625,$Q$3:$Q$16,$R$3:$R$16)))*$B625,-5)</f>
        <v>38300000</v>
      </c>
      <c r="I625" s="17">
        <f t="shared" si="1873"/>
        <v>96500000</v>
      </c>
      <c r="J625" s="17">
        <f t="shared" si="1873"/>
        <v>104400000</v>
      </c>
      <c r="K625" s="17">
        <f t="shared" ref="K625:M625" si="1874">roundup((XLOOKUP($D625,$T$3:$T$10,$U$3:$U$10)*XLOOKUP(K$2,$AA$3:$AA$5,$AD$3:$AD$5)-ABS(XLOOKUP($C625,$Q$3:$Q$16,$R$3:$R$16)))*$B625,-5)</f>
        <v>44700000</v>
      </c>
      <c r="L625" s="17">
        <f t="shared" si="1874"/>
        <v>108600000</v>
      </c>
      <c r="M625" s="17">
        <f t="shared" si="1874"/>
        <v>117300000</v>
      </c>
    </row>
    <row r="626">
      <c r="A626" s="14" t="s">
        <v>669</v>
      </c>
      <c r="B626" s="14">
        <v>166.0</v>
      </c>
      <c r="C626" s="15">
        <f t="shared" si="4"/>
        <v>12</v>
      </c>
      <c r="D626" s="14" t="s">
        <v>28</v>
      </c>
      <c r="E626" s="16">
        <f t="shared" ref="E626:G626" si="1875">ROUNDUP((XLOOKUP($D626,$T$3:$T$10,$U$3:$U$10)*XLOOKUP(E$2,$AA$3:$AA$5,$AB$3:$AB$5)-ABS(XLOOKUP($C626,$Q$3:$Q$16,$R$3:$R$16)))*$B626,-5)</f>
        <v>45000000</v>
      </c>
      <c r="F626" s="16">
        <f t="shared" si="1875"/>
        <v>77200000</v>
      </c>
      <c r="G626" s="16">
        <f t="shared" si="1875"/>
        <v>83900000</v>
      </c>
      <c r="H626" s="17">
        <f t="shared" ref="H626:J626" si="1876">roundup((XLOOKUP($D626,$T$3:$T$10,$U$3:$U$10)*XLOOKUP(H$2,$AA$3:$AA$5,$AC$3:$AC$5)-ABS(XLOOKUP($C626,$Q$3:$Q$16,$R$3:$R$16)))*$B626,-5)</f>
        <v>37600000</v>
      </c>
      <c r="I626" s="17">
        <f t="shared" si="1876"/>
        <v>94800000</v>
      </c>
      <c r="J626" s="17">
        <f t="shared" si="1876"/>
        <v>102600000</v>
      </c>
      <c r="K626" s="17">
        <f t="shared" ref="K626:M626" si="1877">roundup((XLOOKUP($D626,$T$3:$T$10,$U$3:$U$10)*XLOOKUP(K$2,$AA$3:$AA$5,$AD$3:$AD$5)-ABS(XLOOKUP($C626,$Q$3:$Q$16,$R$3:$R$16)))*$B626,-5)</f>
        <v>44000000</v>
      </c>
      <c r="L626" s="17">
        <f t="shared" si="1877"/>
        <v>106700000</v>
      </c>
      <c r="M626" s="17">
        <f t="shared" si="1877"/>
        <v>115200000</v>
      </c>
    </row>
    <row r="627">
      <c r="A627" s="14" t="s">
        <v>670</v>
      </c>
      <c r="B627" s="14">
        <v>150.0</v>
      </c>
      <c r="C627" s="15">
        <f t="shared" si="4"/>
        <v>11</v>
      </c>
      <c r="D627" s="14" t="s">
        <v>28</v>
      </c>
      <c r="E627" s="16">
        <f t="shared" ref="E627:G627" si="1878">ROUNDUP((XLOOKUP($D627,$T$3:$T$10,$U$3:$U$10)*XLOOKUP(E$2,$AA$3:$AA$5,$AB$3:$AB$5)-ABS(XLOOKUP($C627,$Q$3:$Q$16,$R$3:$R$16)))*$B627,-5)</f>
        <v>41400000</v>
      </c>
      <c r="F627" s="16">
        <f t="shared" si="1878"/>
        <v>70500000</v>
      </c>
      <c r="G627" s="16">
        <f t="shared" si="1878"/>
        <v>76500000</v>
      </c>
      <c r="H627" s="17">
        <f t="shared" ref="H627:J627" si="1879">roundup((XLOOKUP($D627,$T$3:$T$10,$U$3:$U$10)*XLOOKUP(H$2,$AA$3:$AA$5,$AC$3:$AC$5)-ABS(XLOOKUP($C627,$Q$3:$Q$16,$R$3:$R$16)))*$B627,-5)</f>
        <v>34700000</v>
      </c>
      <c r="I627" s="17">
        <f t="shared" si="1879"/>
        <v>86400000</v>
      </c>
      <c r="J627" s="17">
        <f t="shared" si="1879"/>
        <v>93400000</v>
      </c>
      <c r="K627" s="17">
        <f t="shared" ref="K627:M627" si="1880">roundup((XLOOKUP($D627,$T$3:$T$10,$U$3:$U$10)*XLOOKUP(K$2,$AA$3:$AA$5,$AD$3:$AD$5)-ABS(XLOOKUP($C627,$Q$3:$Q$16,$R$3:$R$16)))*$B627,-5)</f>
        <v>40500000</v>
      </c>
      <c r="L627" s="17">
        <f t="shared" si="1880"/>
        <v>97200000</v>
      </c>
      <c r="M627" s="17">
        <f t="shared" si="1880"/>
        <v>104900000</v>
      </c>
    </row>
    <row r="628">
      <c r="A628" s="14" t="s">
        <v>671</v>
      </c>
      <c r="B628" s="14">
        <v>102.0</v>
      </c>
      <c r="C628" s="15">
        <f t="shared" si="4"/>
        <v>11</v>
      </c>
      <c r="D628" s="14" t="s">
        <v>28</v>
      </c>
      <c r="E628" s="16">
        <f t="shared" ref="E628:G628" si="1881">ROUNDUP((XLOOKUP($D628,$T$3:$T$10,$U$3:$U$10)*XLOOKUP(E$2,$AA$3:$AA$5,$AB$3:$AB$5)-ABS(XLOOKUP($C628,$Q$3:$Q$16,$R$3:$R$16)))*$B628,-5)</f>
        <v>28200000</v>
      </c>
      <c r="F628" s="16">
        <f t="shared" si="1881"/>
        <v>48000000</v>
      </c>
      <c r="G628" s="16">
        <f t="shared" si="1881"/>
        <v>52100000</v>
      </c>
      <c r="H628" s="17">
        <f t="shared" ref="H628:J628" si="1882">roundup((XLOOKUP($D628,$T$3:$T$10,$U$3:$U$10)*XLOOKUP(H$2,$AA$3:$AA$5,$AC$3:$AC$5)-ABS(XLOOKUP($C628,$Q$3:$Q$16,$R$3:$R$16)))*$B628,-5)</f>
        <v>23600000</v>
      </c>
      <c r="I628" s="17">
        <f t="shared" si="1882"/>
        <v>58800000</v>
      </c>
      <c r="J628" s="17">
        <f t="shared" si="1882"/>
        <v>63600000</v>
      </c>
      <c r="K628" s="17">
        <f t="shared" ref="K628:M628" si="1883">roundup((XLOOKUP($D628,$T$3:$T$10,$U$3:$U$10)*XLOOKUP(K$2,$AA$3:$AA$5,$AD$3:$AD$5)-ABS(XLOOKUP($C628,$Q$3:$Q$16,$R$3:$R$16)))*$B628,-5)</f>
        <v>27500000</v>
      </c>
      <c r="L628" s="17">
        <f t="shared" si="1883"/>
        <v>66100000</v>
      </c>
      <c r="M628" s="17">
        <f t="shared" si="1883"/>
        <v>71300000</v>
      </c>
    </row>
    <row r="629">
      <c r="A629" s="14" t="s">
        <v>672</v>
      </c>
      <c r="B629" s="14">
        <v>299.0</v>
      </c>
      <c r="C629" s="15">
        <f t="shared" si="4"/>
        <v>14</v>
      </c>
      <c r="D629" s="14" t="s">
        <v>28</v>
      </c>
      <c r="E629" s="16">
        <f t="shared" ref="E629:G629" si="1884">ROUNDUP((XLOOKUP($D629,$T$3:$T$10,$U$3:$U$10)*XLOOKUP(E$2,$AA$3:$AA$5,$AB$3:$AB$5)-ABS(XLOOKUP($C629,$Q$3:$Q$16,$R$3:$R$16)))*$B629,-5)</f>
        <v>73800000</v>
      </c>
      <c r="F629" s="16">
        <f t="shared" si="1884"/>
        <v>131800000</v>
      </c>
      <c r="G629" s="16">
        <f t="shared" si="1884"/>
        <v>143900000</v>
      </c>
      <c r="H629" s="17">
        <f t="shared" ref="H629:J629" si="1885">roundup((XLOOKUP($D629,$T$3:$T$10,$U$3:$U$10)*XLOOKUP(H$2,$AA$3:$AA$5,$AC$3:$AC$5)-ABS(XLOOKUP($C629,$Q$3:$Q$16,$R$3:$R$16)))*$B629,-5)</f>
        <v>60500000</v>
      </c>
      <c r="I629" s="17">
        <f t="shared" si="1885"/>
        <v>163500000</v>
      </c>
      <c r="J629" s="17">
        <f t="shared" si="1885"/>
        <v>177500000</v>
      </c>
      <c r="K629" s="17">
        <f t="shared" ref="K629:M629" si="1886">roundup((XLOOKUP($D629,$T$3:$T$10,$U$3:$U$10)*XLOOKUP(K$2,$AA$3:$AA$5,$AD$3:$AD$5)-ABS(XLOOKUP($C629,$Q$3:$Q$16,$R$3:$R$16)))*$B629,-5)</f>
        <v>72000000</v>
      </c>
      <c r="L629" s="17">
        <f t="shared" si="1886"/>
        <v>184900000</v>
      </c>
      <c r="M629" s="17">
        <f t="shared" si="1886"/>
        <v>200400000</v>
      </c>
    </row>
    <row r="630">
      <c r="A630" s="14" t="s">
        <v>673</v>
      </c>
      <c r="B630" s="14">
        <v>152.0</v>
      </c>
      <c r="C630" s="15">
        <f t="shared" si="4"/>
        <v>11</v>
      </c>
      <c r="D630" s="14" t="s">
        <v>28</v>
      </c>
      <c r="E630" s="16">
        <f t="shared" ref="E630:G630" si="1887">ROUNDUP((XLOOKUP($D630,$T$3:$T$10,$U$3:$U$10)*XLOOKUP(E$2,$AA$3:$AA$5,$AB$3:$AB$5)-ABS(XLOOKUP($C630,$Q$3:$Q$16,$R$3:$R$16)))*$B630,-5)</f>
        <v>41900000</v>
      </c>
      <c r="F630" s="16">
        <f t="shared" si="1887"/>
        <v>71500000</v>
      </c>
      <c r="G630" s="16">
        <f t="shared" si="1887"/>
        <v>77600000</v>
      </c>
      <c r="H630" s="17">
        <f t="shared" ref="H630:J630" si="1888">roundup((XLOOKUP($D630,$T$3:$T$10,$U$3:$U$10)*XLOOKUP(H$2,$AA$3:$AA$5,$AC$3:$AC$5)-ABS(XLOOKUP($C630,$Q$3:$Q$16,$R$3:$R$16)))*$B630,-5)</f>
        <v>35200000</v>
      </c>
      <c r="I630" s="17">
        <f t="shared" si="1888"/>
        <v>87600000</v>
      </c>
      <c r="J630" s="17">
        <f t="shared" si="1888"/>
        <v>94700000</v>
      </c>
      <c r="K630" s="17">
        <f t="shared" ref="K630:M630" si="1889">roundup((XLOOKUP($D630,$T$3:$T$10,$U$3:$U$10)*XLOOKUP(K$2,$AA$3:$AA$5,$AD$3:$AD$5)-ABS(XLOOKUP($C630,$Q$3:$Q$16,$R$3:$R$16)))*$B630,-5)</f>
        <v>41000000</v>
      </c>
      <c r="L630" s="17">
        <f t="shared" si="1889"/>
        <v>98400000</v>
      </c>
      <c r="M630" s="17">
        <f t="shared" si="1889"/>
        <v>106300000</v>
      </c>
    </row>
    <row r="631">
      <c r="A631" s="14" t="s">
        <v>674</v>
      </c>
      <c r="B631" s="14">
        <v>132.0</v>
      </c>
      <c r="C631" s="15">
        <f t="shared" si="4"/>
        <v>11</v>
      </c>
      <c r="D631" s="14" t="s">
        <v>28</v>
      </c>
      <c r="E631" s="16">
        <f t="shared" ref="E631:G631" si="1890">ROUNDUP((XLOOKUP($D631,$T$3:$T$10,$U$3:$U$10)*XLOOKUP(E$2,$AA$3:$AA$5,$AB$3:$AB$5)-ABS(XLOOKUP($C631,$Q$3:$Q$16,$R$3:$R$16)))*$B631,-5)</f>
        <v>36400000</v>
      </c>
      <c r="F631" s="16">
        <f t="shared" si="1890"/>
        <v>62100000</v>
      </c>
      <c r="G631" s="16">
        <f t="shared" si="1890"/>
        <v>67400000</v>
      </c>
      <c r="H631" s="17">
        <f t="shared" ref="H631:J631" si="1891">roundup((XLOOKUP($D631,$T$3:$T$10,$U$3:$U$10)*XLOOKUP(H$2,$AA$3:$AA$5,$AC$3:$AC$5)-ABS(XLOOKUP($C631,$Q$3:$Q$16,$R$3:$R$16)))*$B631,-5)</f>
        <v>30600000</v>
      </c>
      <c r="I631" s="17">
        <f t="shared" si="1891"/>
        <v>76000000</v>
      </c>
      <c r="J631" s="17">
        <f t="shared" si="1891"/>
        <v>82200000</v>
      </c>
      <c r="K631" s="17">
        <f t="shared" ref="K631:M631" si="1892">roundup((XLOOKUP($D631,$T$3:$T$10,$U$3:$U$10)*XLOOKUP(K$2,$AA$3:$AA$5,$AD$3:$AD$5)-ABS(XLOOKUP($C631,$Q$3:$Q$16,$R$3:$R$16)))*$B631,-5)</f>
        <v>35600000</v>
      </c>
      <c r="L631" s="17">
        <f t="shared" si="1892"/>
        <v>85500000</v>
      </c>
      <c r="M631" s="17">
        <f t="shared" si="1892"/>
        <v>92300000</v>
      </c>
    </row>
    <row r="632">
      <c r="A632" s="14" t="s">
        <v>675</v>
      </c>
      <c r="B632" s="14">
        <v>170.0</v>
      </c>
      <c r="C632" s="15">
        <f t="shared" si="4"/>
        <v>12</v>
      </c>
      <c r="D632" s="14" t="s">
        <v>28</v>
      </c>
      <c r="E632" s="16">
        <f t="shared" ref="E632:G632" si="1893">ROUNDUP((XLOOKUP($D632,$T$3:$T$10,$U$3:$U$10)*XLOOKUP(E$2,$AA$3:$AA$5,$AB$3:$AB$5)-ABS(XLOOKUP($C632,$Q$3:$Q$16,$R$3:$R$16)))*$B632,-5)</f>
        <v>46000000</v>
      </c>
      <c r="F632" s="16">
        <f t="shared" si="1893"/>
        <v>79100000</v>
      </c>
      <c r="G632" s="16">
        <f t="shared" si="1893"/>
        <v>85900000</v>
      </c>
      <c r="H632" s="17">
        <f t="shared" ref="H632:J632" si="1894">roundup((XLOOKUP($D632,$T$3:$T$10,$U$3:$U$10)*XLOOKUP(H$2,$AA$3:$AA$5,$AC$3:$AC$5)-ABS(XLOOKUP($C632,$Q$3:$Q$16,$R$3:$R$16)))*$B632,-5)</f>
        <v>38500000</v>
      </c>
      <c r="I632" s="17">
        <f t="shared" si="1894"/>
        <v>97100000</v>
      </c>
      <c r="J632" s="17">
        <f t="shared" si="1894"/>
        <v>105000000</v>
      </c>
      <c r="K632" s="17">
        <f t="shared" ref="K632:M632" si="1895">roundup((XLOOKUP($D632,$T$3:$T$10,$U$3:$U$10)*XLOOKUP(K$2,$AA$3:$AA$5,$AD$3:$AD$5)-ABS(XLOOKUP($C632,$Q$3:$Q$16,$R$3:$R$16)))*$B632,-5)</f>
        <v>45000000</v>
      </c>
      <c r="L632" s="17">
        <f t="shared" si="1895"/>
        <v>109200000</v>
      </c>
      <c r="M632" s="17">
        <f t="shared" si="1895"/>
        <v>118000000</v>
      </c>
    </row>
    <row r="633">
      <c r="A633" s="14" t="s">
        <v>676</v>
      </c>
      <c r="B633" s="14">
        <v>126.0</v>
      </c>
      <c r="C633" s="15">
        <f t="shared" si="4"/>
        <v>11</v>
      </c>
      <c r="D633" s="14" t="s">
        <v>28</v>
      </c>
      <c r="E633" s="16">
        <f t="shared" ref="E633:G633" si="1896">ROUNDUP((XLOOKUP($D633,$T$3:$T$10,$U$3:$U$10)*XLOOKUP(E$2,$AA$3:$AA$5,$AB$3:$AB$5)-ABS(XLOOKUP($C633,$Q$3:$Q$16,$R$3:$R$16)))*$B633,-5)</f>
        <v>34800000</v>
      </c>
      <c r="F633" s="16">
        <f t="shared" si="1896"/>
        <v>59200000</v>
      </c>
      <c r="G633" s="16">
        <f t="shared" si="1896"/>
        <v>64300000</v>
      </c>
      <c r="H633" s="17">
        <f t="shared" ref="H633:J633" si="1897">roundup((XLOOKUP($D633,$T$3:$T$10,$U$3:$U$10)*XLOOKUP(H$2,$AA$3:$AA$5,$AC$3:$AC$5)-ABS(XLOOKUP($C633,$Q$3:$Q$16,$R$3:$R$16)))*$B633,-5)</f>
        <v>29200000</v>
      </c>
      <c r="I633" s="17">
        <f t="shared" si="1897"/>
        <v>72600000</v>
      </c>
      <c r="J633" s="17">
        <f t="shared" si="1897"/>
        <v>78500000</v>
      </c>
      <c r="K633" s="17">
        <f t="shared" ref="K633:M633" si="1898">roundup((XLOOKUP($D633,$T$3:$T$10,$U$3:$U$10)*XLOOKUP(K$2,$AA$3:$AA$5,$AD$3:$AD$5)-ABS(XLOOKUP($C633,$Q$3:$Q$16,$R$3:$R$16)))*$B633,-5)</f>
        <v>34000000</v>
      </c>
      <c r="L633" s="17">
        <f t="shared" si="1898"/>
        <v>81600000</v>
      </c>
      <c r="M633" s="17">
        <f t="shared" si="1898"/>
        <v>88100000</v>
      </c>
    </row>
    <row r="634">
      <c r="A634" s="14" t="s">
        <v>677</v>
      </c>
      <c r="B634" s="14">
        <v>80.0</v>
      </c>
      <c r="C634" s="15">
        <f t="shared" si="4"/>
        <v>10</v>
      </c>
      <c r="D634" s="14" t="s">
        <v>28</v>
      </c>
      <c r="E634" s="16">
        <f t="shared" ref="E634:G634" si="1899">ROUNDUP((XLOOKUP($D634,$T$3:$T$10,$U$3:$U$10)*XLOOKUP(E$2,$AA$3:$AA$5,$AB$3:$AB$5)-ABS(XLOOKUP($C634,$Q$3:$Q$16,$R$3:$R$16)))*$B634,-5)</f>
        <v>24500000</v>
      </c>
      <c r="F634" s="16">
        <f t="shared" si="1899"/>
        <v>40000000</v>
      </c>
      <c r="G634" s="16">
        <f t="shared" si="1899"/>
        <v>43200000</v>
      </c>
      <c r="H634" s="17">
        <f t="shared" ref="H634:J634" si="1900">roundup((XLOOKUP($D634,$T$3:$T$10,$U$3:$U$10)*XLOOKUP(H$2,$AA$3:$AA$5,$AC$3:$AC$5)-ABS(XLOOKUP($C634,$Q$3:$Q$16,$R$3:$R$16)))*$B634,-5)</f>
        <v>21000000</v>
      </c>
      <c r="I634" s="17">
        <f t="shared" si="1900"/>
        <v>48500000</v>
      </c>
      <c r="J634" s="17">
        <f t="shared" si="1900"/>
        <v>52300000</v>
      </c>
      <c r="K634" s="17">
        <f t="shared" ref="K634:M634" si="1901">roundup((XLOOKUP($D634,$T$3:$T$10,$U$3:$U$10)*XLOOKUP(K$2,$AA$3:$AA$5,$AD$3:$AD$5)-ABS(XLOOKUP($C634,$Q$3:$Q$16,$R$3:$R$16)))*$B634,-5)</f>
        <v>24000000</v>
      </c>
      <c r="L634" s="17">
        <f t="shared" si="1901"/>
        <v>54200000</v>
      </c>
      <c r="M634" s="17">
        <f t="shared" si="1901"/>
        <v>58400000</v>
      </c>
    </row>
    <row r="635">
      <c r="A635" s="14" t="s">
        <v>678</v>
      </c>
      <c r="B635" s="14">
        <v>117.0</v>
      </c>
      <c r="C635" s="15">
        <f t="shared" si="4"/>
        <v>11</v>
      </c>
      <c r="D635" s="14" t="s">
        <v>28</v>
      </c>
      <c r="E635" s="16">
        <f t="shared" ref="E635:G635" si="1902">ROUNDUP((XLOOKUP($D635,$T$3:$T$10,$U$3:$U$10)*XLOOKUP(E$2,$AA$3:$AA$5,$AB$3:$AB$5)-ABS(XLOOKUP($C635,$Q$3:$Q$16,$R$3:$R$16)))*$B635,-5)</f>
        <v>32300000</v>
      </c>
      <c r="F635" s="16">
        <f t="shared" si="1902"/>
        <v>55000000</v>
      </c>
      <c r="G635" s="16">
        <f t="shared" si="1902"/>
        <v>59700000</v>
      </c>
      <c r="H635" s="17">
        <f t="shared" ref="H635:J635" si="1903">roundup((XLOOKUP($D635,$T$3:$T$10,$U$3:$U$10)*XLOOKUP(H$2,$AA$3:$AA$5,$AC$3:$AC$5)-ABS(XLOOKUP($C635,$Q$3:$Q$16,$R$3:$R$16)))*$B635,-5)</f>
        <v>27100000</v>
      </c>
      <c r="I635" s="17">
        <f t="shared" si="1903"/>
        <v>67400000</v>
      </c>
      <c r="J635" s="17">
        <f t="shared" si="1903"/>
        <v>72900000</v>
      </c>
      <c r="K635" s="17">
        <f t="shared" ref="K635:M635" si="1904">roundup((XLOOKUP($D635,$T$3:$T$10,$U$3:$U$10)*XLOOKUP(K$2,$AA$3:$AA$5,$AD$3:$AD$5)-ABS(XLOOKUP($C635,$Q$3:$Q$16,$R$3:$R$16)))*$B635,-5)</f>
        <v>31600000</v>
      </c>
      <c r="L635" s="17">
        <f t="shared" si="1904"/>
        <v>75800000</v>
      </c>
      <c r="M635" s="17">
        <f t="shared" si="1904"/>
        <v>81800000</v>
      </c>
    </row>
    <row r="636">
      <c r="A636" s="14" t="s">
        <v>679</v>
      </c>
      <c r="B636" s="14">
        <v>115.0</v>
      </c>
      <c r="C636" s="15">
        <f t="shared" si="4"/>
        <v>11</v>
      </c>
      <c r="D636" s="14" t="s">
        <v>28</v>
      </c>
      <c r="E636" s="16">
        <f t="shared" ref="E636:G636" si="1905">ROUNDUP((XLOOKUP($D636,$T$3:$T$10,$U$3:$U$10)*XLOOKUP(E$2,$AA$3:$AA$5,$AB$3:$AB$5)-ABS(XLOOKUP($C636,$Q$3:$Q$16,$R$3:$R$16)))*$B636,-5)</f>
        <v>31700000</v>
      </c>
      <c r="F636" s="16">
        <f t="shared" si="1905"/>
        <v>54100000</v>
      </c>
      <c r="G636" s="16">
        <f t="shared" si="1905"/>
        <v>58700000</v>
      </c>
      <c r="H636" s="17">
        <f t="shared" ref="H636:J636" si="1906">roundup((XLOOKUP($D636,$T$3:$T$10,$U$3:$U$10)*XLOOKUP(H$2,$AA$3:$AA$5,$AC$3:$AC$5)-ABS(XLOOKUP($C636,$Q$3:$Q$16,$R$3:$R$16)))*$B636,-5)</f>
        <v>26600000</v>
      </c>
      <c r="I636" s="17">
        <f t="shared" si="1906"/>
        <v>66300000</v>
      </c>
      <c r="J636" s="17">
        <f t="shared" si="1906"/>
        <v>71600000</v>
      </c>
      <c r="K636" s="17">
        <f t="shared" ref="K636:M636" si="1907">roundup((XLOOKUP($D636,$T$3:$T$10,$U$3:$U$10)*XLOOKUP(K$2,$AA$3:$AA$5,$AD$3:$AD$5)-ABS(XLOOKUP($C636,$Q$3:$Q$16,$R$3:$R$16)))*$B636,-5)</f>
        <v>31000000</v>
      </c>
      <c r="L636" s="17">
        <f t="shared" si="1907"/>
        <v>74500000</v>
      </c>
      <c r="M636" s="17">
        <f t="shared" si="1907"/>
        <v>80400000</v>
      </c>
    </row>
    <row r="637">
      <c r="A637" s="14" t="s">
        <v>680</v>
      </c>
      <c r="B637" s="14">
        <v>178.0</v>
      </c>
      <c r="C637" s="15">
        <f t="shared" si="4"/>
        <v>12</v>
      </c>
      <c r="D637" s="14" t="s">
        <v>28</v>
      </c>
      <c r="E637" s="16">
        <f t="shared" ref="E637:G637" si="1908">ROUNDUP((XLOOKUP($D637,$T$3:$T$10,$U$3:$U$10)*XLOOKUP(E$2,$AA$3:$AA$5,$AB$3:$AB$5)-ABS(XLOOKUP($C637,$Q$3:$Q$16,$R$3:$R$16)))*$B637,-5)</f>
        <v>48200000</v>
      </c>
      <c r="F637" s="16">
        <f t="shared" si="1908"/>
        <v>82800000</v>
      </c>
      <c r="G637" s="16">
        <f t="shared" si="1908"/>
        <v>89900000</v>
      </c>
      <c r="H637" s="17">
        <f t="shared" ref="H637:J637" si="1909">roundup((XLOOKUP($D637,$T$3:$T$10,$U$3:$U$10)*XLOOKUP(H$2,$AA$3:$AA$5,$AC$3:$AC$5)-ABS(XLOOKUP($C637,$Q$3:$Q$16,$R$3:$R$16)))*$B637,-5)</f>
        <v>40300000</v>
      </c>
      <c r="I637" s="17">
        <f t="shared" si="1909"/>
        <v>101600000</v>
      </c>
      <c r="J637" s="17">
        <f t="shared" si="1909"/>
        <v>110000000</v>
      </c>
      <c r="K637" s="17">
        <f t="shared" ref="K637:M637" si="1910">roundup((XLOOKUP($D637,$T$3:$T$10,$U$3:$U$10)*XLOOKUP(K$2,$AA$3:$AA$5,$AD$3:$AD$5)-ABS(XLOOKUP($C637,$Q$3:$Q$16,$R$3:$R$16)))*$B637,-5)</f>
        <v>47100000</v>
      </c>
      <c r="L637" s="17">
        <f t="shared" si="1910"/>
        <v>114400000</v>
      </c>
      <c r="M637" s="17">
        <f t="shared" si="1910"/>
        <v>123600000</v>
      </c>
    </row>
    <row r="638">
      <c r="A638" s="14" t="s">
        <v>681</v>
      </c>
      <c r="B638" s="14">
        <v>209.0</v>
      </c>
      <c r="C638" s="15">
        <f t="shared" si="4"/>
        <v>13</v>
      </c>
      <c r="D638" s="14" t="s">
        <v>33</v>
      </c>
      <c r="E638" s="16">
        <f t="shared" ref="E638:G638" si="1911">ROUNDUP((XLOOKUP($D638,$T$3:$T$10,$U$3:$U$10)*XLOOKUP(E$2,$AA$3:$AA$5,$AB$3:$AB$5)-ABS(XLOOKUP($C638,$Q$3:$Q$16,$R$3:$R$16)))*$B638,-5)</f>
        <v>41200000</v>
      </c>
      <c r="F638" s="16">
        <f t="shared" si="1911"/>
        <v>76300000</v>
      </c>
      <c r="G638" s="16">
        <f t="shared" si="1911"/>
        <v>83500000</v>
      </c>
      <c r="H638" s="17">
        <f t="shared" ref="H638:J638" si="1912">roundup((XLOOKUP($D638,$T$3:$T$10,$U$3:$U$10)*XLOOKUP(H$2,$AA$3:$AA$5,$AC$3:$AC$5)-ABS(XLOOKUP($C638,$Q$3:$Q$16,$R$3:$R$16)))*$B638,-5)</f>
        <v>33200000</v>
      </c>
      <c r="I638" s="17">
        <f t="shared" si="1912"/>
        <v>95400000</v>
      </c>
      <c r="J638" s="17">
        <f t="shared" si="1912"/>
        <v>103900000</v>
      </c>
      <c r="K638" s="17">
        <f t="shared" ref="K638:M638" si="1913">roundup((XLOOKUP($D638,$T$3:$T$10,$U$3:$U$10)*XLOOKUP(K$2,$AA$3:$AA$5,$AD$3:$AD$5)-ABS(XLOOKUP($C638,$Q$3:$Q$16,$R$3:$R$16)))*$B638,-5)</f>
        <v>40100000</v>
      </c>
      <c r="L638" s="17">
        <f t="shared" si="1913"/>
        <v>108400000</v>
      </c>
      <c r="M638" s="17">
        <f t="shared" si="1913"/>
        <v>117700000</v>
      </c>
    </row>
    <row r="639">
      <c r="A639" s="14" t="s">
        <v>682</v>
      </c>
      <c r="B639" s="14">
        <v>187.0</v>
      </c>
      <c r="C639" s="15">
        <f t="shared" si="4"/>
        <v>13</v>
      </c>
      <c r="D639" s="14" t="s">
        <v>28</v>
      </c>
      <c r="E639" s="16">
        <f t="shared" ref="E639:G639" si="1914">ROUNDUP((XLOOKUP($D639,$T$3:$T$10,$U$3:$U$10)*XLOOKUP(E$2,$AA$3:$AA$5,$AB$3:$AB$5)-ABS(XLOOKUP($C639,$Q$3:$Q$16,$R$3:$R$16)))*$B639,-5)</f>
        <v>47800000</v>
      </c>
      <c r="F639" s="16">
        <f t="shared" si="1914"/>
        <v>84200000</v>
      </c>
      <c r="G639" s="16">
        <f t="shared" si="1914"/>
        <v>91700000</v>
      </c>
      <c r="H639" s="17">
        <f t="shared" ref="H639:J639" si="1915">roundup((XLOOKUP($D639,$T$3:$T$10,$U$3:$U$10)*XLOOKUP(H$2,$AA$3:$AA$5,$AC$3:$AC$5)-ABS(XLOOKUP($C639,$Q$3:$Q$16,$R$3:$R$16)))*$B639,-5)</f>
        <v>39600000</v>
      </c>
      <c r="I639" s="17">
        <f t="shared" si="1915"/>
        <v>104000000</v>
      </c>
      <c r="J639" s="17">
        <f t="shared" si="1915"/>
        <v>112700000</v>
      </c>
      <c r="K639" s="17">
        <f t="shared" ref="K639:M639" si="1916">roundup((XLOOKUP($D639,$T$3:$T$10,$U$3:$U$10)*XLOOKUP(K$2,$AA$3:$AA$5,$AD$3:$AD$5)-ABS(XLOOKUP($C639,$Q$3:$Q$16,$R$3:$R$16)))*$B639,-5)</f>
        <v>46700000</v>
      </c>
      <c r="L639" s="17">
        <f t="shared" si="1916"/>
        <v>117400000</v>
      </c>
      <c r="M639" s="17">
        <f t="shared" si="1916"/>
        <v>127000000</v>
      </c>
    </row>
    <row r="640">
      <c r="A640" s="14" t="s">
        <v>683</v>
      </c>
      <c r="B640" s="14">
        <v>123.0</v>
      </c>
      <c r="C640" s="15">
        <f t="shared" si="4"/>
        <v>11</v>
      </c>
      <c r="D640" s="14" t="s">
        <v>28</v>
      </c>
      <c r="E640" s="16">
        <f t="shared" ref="E640:G640" si="1917">ROUNDUP((XLOOKUP($D640,$T$3:$T$10,$U$3:$U$10)*XLOOKUP(E$2,$AA$3:$AA$5,$AB$3:$AB$5)-ABS(XLOOKUP($C640,$Q$3:$Q$16,$R$3:$R$16)))*$B640,-5)</f>
        <v>33900000</v>
      </c>
      <c r="F640" s="16">
        <f t="shared" si="1917"/>
        <v>57800000</v>
      </c>
      <c r="G640" s="16">
        <f t="shared" si="1917"/>
        <v>62800000</v>
      </c>
      <c r="H640" s="17">
        <f t="shared" ref="H640:J640" si="1918">roundup((XLOOKUP($D640,$T$3:$T$10,$U$3:$U$10)*XLOOKUP(H$2,$AA$3:$AA$5,$AC$3:$AC$5)-ABS(XLOOKUP($C640,$Q$3:$Q$16,$R$3:$R$16)))*$B640,-5)</f>
        <v>28500000</v>
      </c>
      <c r="I640" s="17">
        <f t="shared" si="1918"/>
        <v>70900000</v>
      </c>
      <c r="J640" s="17">
        <f t="shared" si="1918"/>
        <v>76600000</v>
      </c>
      <c r="K640" s="17">
        <f t="shared" ref="K640:M640" si="1919">roundup((XLOOKUP($D640,$T$3:$T$10,$U$3:$U$10)*XLOOKUP(K$2,$AA$3:$AA$5,$AD$3:$AD$5)-ABS(XLOOKUP($C640,$Q$3:$Q$16,$R$3:$R$16)))*$B640,-5)</f>
        <v>33200000</v>
      </c>
      <c r="L640" s="17">
        <f t="shared" si="1919"/>
        <v>79700000</v>
      </c>
      <c r="M640" s="17">
        <f t="shared" si="1919"/>
        <v>86000000</v>
      </c>
    </row>
    <row r="641">
      <c r="A641" s="14" t="s">
        <v>684</v>
      </c>
      <c r="B641" s="14">
        <v>32.0</v>
      </c>
      <c r="C641" s="15">
        <f t="shared" si="4"/>
        <v>2</v>
      </c>
      <c r="D641" s="14" t="s">
        <v>28</v>
      </c>
      <c r="E641" s="16">
        <f t="shared" ref="E641:G641" si="1920">ROUNDUP((XLOOKUP($D641,$T$3:$T$10,$U$3:$U$10)*XLOOKUP(E$2,$AA$3:$AA$5,$AB$3:$AB$5)-ABS(XLOOKUP($C641,$Q$3:$Q$16,$R$3:$R$16)))*$B641,-5)</f>
        <v>13500000</v>
      </c>
      <c r="F641" s="16">
        <f t="shared" si="1920"/>
        <v>19700000</v>
      </c>
      <c r="G641" s="16">
        <f t="shared" si="1920"/>
        <v>21000000</v>
      </c>
      <c r="H641" s="17">
        <f t="shared" ref="H641:J641" si="1921">roundup((XLOOKUP($D641,$T$3:$T$10,$U$3:$U$10)*XLOOKUP(H$2,$AA$3:$AA$5,$AC$3:$AC$5)-ABS(XLOOKUP($C641,$Q$3:$Q$16,$R$3:$R$16)))*$B641,-5)</f>
        <v>12100000</v>
      </c>
      <c r="I641" s="17">
        <f t="shared" si="1921"/>
        <v>23100000</v>
      </c>
      <c r="J641" s="17">
        <f t="shared" si="1921"/>
        <v>24600000</v>
      </c>
      <c r="K641" s="17">
        <f t="shared" ref="K641:M641" si="1922">roundup((XLOOKUP($D641,$T$3:$T$10,$U$3:$U$10)*XLOOKUP(K$2,$AA$3:$AA$5,$AD$3:$AD$5)-ABS(XLOOKUP($C641,$Q$3:$Q$16,$R$3:$R$16)))*$B641,-5)</f>
        <v>13300000</v>
      </c>
      <c r="L641" s="17">
        <f t="shared" si="1922"/>
        <v>25400000</v>
      </c>
      <c r="M641" s="17">
        <f t="shared" si="1922"/>
        <v>27100000</v>
      </c>
    </row>
    <row r="642">
      <c r="A642" s="14" t="s">
        <v>685</v>
      </c>
      <c r="B642" s="14">
        <v>110.0</v>
      </c>
      <c r="C642" s="15">
        <f t="shared" si="4"/>
        <v>11</v>
      </c>
      <c r="D642" s="14" t="s">
        <v>36</v>
      </c>
      <c r="E642" s="16">
        <f t="shared" ref="E642:G642" si="1923">ROUNDUP((XLOOKUP($D642,$T$3:$T$10,$U$3:$U$10)*XLOOKUP(E$2,$AA$3:$AA$5,$AB$3:$AB$5)-ABS(XLOOKUP($C642,$Q$3:$Q$16,$R$3:$R$16)))*$B642,-5)</f>
        <v>28900000</v>
      </c>
      <c r="F642" s="16">
        <f t="shared" si="1923"/>
        <v>49600000</v>
      </c>
      <c r="G642" s="16">
        <f t="shared" si="1923"/>
        <v>53900000</v>
      </c>
      <c r="H642" s="17">
        <f t="shared" ref="H642:J642" si="1924">roundup((XLOOKUP($D642,$T$3:$T$10,$U$3:$U$10)*XLOOKUP(H$2,$AA$3:$AA$5,$AC$3:$AC$5)-ABS(XLOOKUP($C642,$Q$3:$Q$16,$R$3:$R$16)))*$B642,-5)</f>
        <v>24200000</v>
      </c>
      <c r="I642" s="17">
        <f t="shared" si="1924"/>
        <v>60900000</v>
      </c>
      <c r="J642" s="17">
        <f t="shared" si="1924"/>
        <v>65900000</v>
      </c>
      <c r="K642" s="17">
        <f t="shared" ref="K642:M642" si="1925">roundup((XLOOKUP($D642,$T$3:$T$10,$U$3:$U$10)*XLOOKUP(K$2,$AA$3:$AA$5,$AD$3:$AD$5)-ABS(XLOOKUP($C642,$Q$3:$Q$16,$R$3:$R$16)))*$B642,-5)</f>
        <v>28200000</v>
      </c>
      <c r="L642" s="17">
        <f t="shared" si="1925"/>
        <v>68500000</v>
      </c>
      <c r="M642" s="17">
        <f t="shared" si="1925"/>
        <v>74000000</v>
      </c>
    </row>
    <row r="643">
      <c r="A643" s="14" t="s">
        <v>686</v>
      </c>
      <c r="B643" s="14">
        <v>179.0</v>
      </c>
      <c r="C643" s="15">
        <f t="shared" si="4"/>
        <v>12</v>
      </c>
      <c r="D643" s="14" t="s">
        <v>36</v>
      </c>
      <c r="E643" s="16">
        <f t="shared" ref="E643:G643" si="1926">ROUNDUP((XLOOKUP($D643,$T$3:$T$10,$U$3:$U$10)*XLOOKUP(E$2,$AA$3:$AA$5,$AB$3:$AB$5)-ABS(XLOOKUP($C643,$Q$3:$Q$16,$R$3:$R$16)))*$B643,-5)</f>
        <v>46100000</v>
      </c>
      <c r="F643" s="16">
        <f t="shared" si="1926"/>
        <v>79800000</v>
      </c>
      <c r="G643" s="16">
        <f t="shared" si="1926"/>
        <v>86800000</v>
      </c>
      <c r="H643" s="17">
        <f t="shared" ref="H643:J643" si="1927">roundup((XLOOKUP($D643,$T$3:$T$10,$U$3:$U$10)*XLOOKUP(H$2,$AA$3:$AA$5,$AC$3:$AC$5)-ABS(XLOOKUP($C643,$Q$3:$Q$16,$R$3:$R$16)))*$B643,-5)</f>
        <v>38400000</v>
      </c>
      <c r="I643" s="17">
        <f t="shared" si="1927"/>
        <v>98200000</v>
      </c>
      <c r="J643" s="17">
        <f t="shared" si="1927"/>
        <v>106300000</v>
      </c>
      <c r="K643" s="17">
        <f t="shared" ref="K643:M643" si="1928">roundup((XLOOKUP($D643,$T$3:$T$10,$U$3:$U$10)*XLOOKUP(K$2,$AA$3:$AA$5,$AD$3:$AD$5)-ABS(XLOOKUP($C643,$Q$3:$Q$16,$R$3:$R$16)))*$B643,-5)</f>
        <v>45000000</v>
      </c>
      <c r="L643" s="17">
        <f t="shared" si="1928"/>
        <v>110600000</v>
      </c>
      <c r="M643" s="17">
        <f t="shared" si="1928"/>
        <v>119600000</v>
      </c>
    </row>
    <row r="644">
      <c r="A644" s="14" t="s">
        <v>687</v>
      </c>
      <c r="B644" s="14">
        <v>123.0</v>
      </c>
      <c r="C644" s="15">
        <f t="shared" si="4"/>
        <v>11</v>
      </c>
      <c r="D644" s="14" t="s">
        <v>36</v>
      </c>
      <c r="E644" s="16">
        <f t="shared" ref="E644:G644" si="1929">ROUNDUP((XLOOKUP($D644,$T$3:$T$10,$U$3:$U$10)*XLOOKUP(E$2,$AA$3:$AA$5,$AB$3:$AB$5)-ABS(XLOOKUP($C644,$Q$3:$Q$16,$R$3:$R$16)))*$B644,-5)</f>
        <v>32300000</v>
      </c>
      <c r="F644" s="16">
        <f t="shared" si="1929"/>
        <v>55500000</v>
      </c>
      <c r="G644" s="16">
        <f t="shared" si="1929"/>
        <v>60300000</v>
      </c>
      <c r="H644" s="17">
        <f t="shared" ref="H644:J644" si="1930">roundup((XLOOKUP($D644,$T$3:$T$10,$U$3:$U$10)*XLOOKUP(H$2,$AA$3:$AA$5,$AC$3:$AC$5)-ABS(XLOOKUP($C644,$Q$3:$Q$16,$R$3:$R$16)))*$B644,-5)</f>
        <v>27000000</v>
      </c>
      <c r="I644" s="17">
        <f t="shared" si="1930"/>
        <v>68100000</v>
      </c>
      <c r="J644" s="17">
        <f t="shared" si="1930"/>
        <v>73700000</v>
      </c>
      <c r="K644" s="17">
        <f t="shared" ref="K644:M644" si="1931">roundup((XLOOKUP($D644,$T$3:$T$10,$U$3:$U$10)*XLOOKUP(K$2,$AA$3:$AA$5,$AD$3:$AD$5)-ABS(XLOOKUP($C644,$Q$3:$Q$16,$R$3:$R$16)))*$B644,-5)</f>
        <v>31600000</v>
      </c>
      <c r="L644" s="17">
        <f t="shared" si="1931"/>
        <v>76600000</v>
      </c>
      <c r="M644" s="17">
        <f t="shared" si="1931"/>
        <v>82800000</v>
      </c>
    </row>
    <row r="645">
      <c r="A645" s="14" t="s">
        <v>688</v>
      </c>
      <c r="B645" s="14">
        <v>114.0</v>
      </c>
      <c r="C645" s="15">
        <f t="shared" si="4"/>
        <v>11</v>
      </c>
      <c r="D645" s="14" t="s">
        <v>36</v>
      </c>
      <c r="E645" s="16">
        <f t="shared" ref="E645:G645" si="1932">ROUNDUP((XLOOKUP($D645,$T$3:$T$10,$U$3:$U$10)*XLOOKUP(E$2,$AA$3:$AA$5,$AB$3:$AB$5)-ABS(XLOOKUP($C645,$Q$3:$Q$16,$R$3:$R$16)))*$B645,-5)</f>
        <v>29900000</v>
      </c>
      <c r="F645" s="16">
        <f t="shared" si="1932"/>
        <v>51400000</v>
      </c>
      <c r="G645" s="16">
        <f t="shared" si="1932"/>
        <v>55900000</v>
      </c>
      <c r="H645" s="17">
        <f t="shared" ref="H645:J645" si="1933">roundup((XLOOKUP($D645,$T$3:$T$10,$U$3:$U$10)*XLOOKUP(H$2,$AA$3:$AA$5,$AC$3:$AC$5)-ABS(XLOOKUP($C645,$Q$3:$Q$16,$R$3:$R$16)))*$B645,-5)</f>
        <v>25100000</v>
      </c>
      <c r="I645" s="17">
        <f t="shared" si="1933"/>
        <v>63100000</v>
      </c>
      <c r="J645" s="17">
        <f t="shared" si="1933"/>
        <v>68300000</v>
      </c>
      <c r="K645" s="17">
        <f t="shared" ref="K645:M645" si="1934">roundup((XLOOKUP($D645,$T$3:$T$10,$U$3:$U$10)*XLOOKUP(K$2,$AA$3:$AA$5,$AD$3:$AD$5)-ABS(XLOOKUP($C645,$Q$3:$Q$16,$R$3:$R$16)))*$B645,-5)</f>
        <v>29300000</v>
      </c>
      <c r="L645" s="17">
        <f t="shared" si="1934"/>
        <v>71000000</v>
      </c>
      <c r="M645" s="17">
        <f t="shared" si="1934"/>
        <v>76700000</v>
      </c>
    </row>
    <row r="646">
      <c r="A646" s="14" t="s">
        <v>689</v>
      </c>
      <c r="B646" s="14">
        <v>120.0</v>
      </c>
      <c r="C646" s="15">
        <f t="shared" si="4"/>
        <v>11</v>
      </c>
      <c r="D646" s="14" t="s">
        <v>33</v>
      </c>
      <c r="E646" s="16">
        <f t="shared" ref="E646:G646" si="1935">ROUNDUP((XLOOKUP($D646,$T$3:$T$10,$U$3:$U$10)*XLOOKUP(E$2,$AA$3:$AA$5,$AB$3:$AB$5)-ABS(XLOOKUP($C646,$Q$3:$Q$16,$R$3:$R$16)))*$B646,-5)</f>
        <v>26100000</v>
      </c>
      <c r="F646" s="16">
        <f t="shared" si="1935"/>
        <v>46200000</v>
      </c>
      <c r="G646" s="16">
        <f t="shared" si="1935"/>
        <v>50400000</v>
      </c>
      <c r="H646" s="17">
        <f t="shared" ref="H646:J646" si="1936">roundup((XLOOKUP($D646,$T$3:$T$10,$U$3:$U$10)*XLOOKUP(H$2,$AA$3:$AA$5,$AC$3:$AC$5)-ABS(XLOOKUP($C646,$Q$3:$Q$16,$R$3:$R$16)))*$B646,-5)</f>
        <v>21500000</v>
      </c>
      <c r="I646" s="17">
        <f t="shared" si="1936"/>
        <v>57200000</v>
      </c>
      <c r="J646" s="17">
        <f t="shared" si="1936"/>
        <v>62100000</v>
      </c>
      <c r="K646" s="17">
        <f t="shared" ref="K646:M646" si="1937">roundup((XLOOKUP($D646,$T$3:$T$10,$U$3:$U$10)*XLOOKUP(K$2,$AA$3:$AA$5,$AD$3:$AD$5)-ABS(XLOOKUP($C646,$Q$3:$Q$16,$R$3:$R$16)))*$B646,-5)</f>
        <v>25400000</v>
      </c>
      <c r="L646" s="17">
        <f t="shared" si="1937"/>
        <v>64600000</v>
      </c>
      <c r="M646" s="17">
        <f t="shared" si="1937"/>
        <v>70000000</v>
      </c>
    </row>
    <row r="647">
      <c r="A647" s="14" t="s">
        <v>690</v>
      </c>
      <c r="B647" s="14">
        <v>118.0</v>
      </c>
      <c r="C647" s="15">
        <f t="shared" si="4"/>
        <v>11</v>
      </c>
      <c r="D647" s="14" t="s">
        <v>36</v>
      </c>
      <c r="E647" s="16">
        <f t="shared" ref="E647:G647" si="1938">ROUNDUP((XLOOKUP($D647,$T$3:$T$10,$U$3:$U$10)*XLOOKUP(E$2,$AA$3:$AA$5,$AB$3:$AB$5)-ABS(XLOOKUP($C647,$Q$3:$Q$16,$R$3:$R$16)))*$B647,-5)</f>
        <v>31000000</v>
      </c>
      <c r="F647" s="16">
        <f t="shared" si="1938"/>
        <v>53200000</v>
      </c>
      <c r="G647" s="16">
        <f t="shared" si="1938"/>
        <v>57800000</v>
      </c>
      <c r="H647" s="17">
        <f t="shared" ref="H647:J647" si="1939">roundup((XLOOKUP($D647,$T$3:$T$10,$U$3:$U$10)*XLOOKUP(H$2,$AA$3:$AA$5,$AC$3:$AC$5)-ABS(XLOOKUP($C647,$Q$3:$Q$16,$R$3:$R$16)))*$B647,-5)</f>
        <v>25900000</v>
      </c>
      <c r="I647" s="17">
        <f t="shared" si="1939"/>
        <v>65300000</v>
      </c>
      <c r="J647" s="17">
        <f t="shared" si="1939"/>
        <v>70700000</v>
      </c>
      <c r="K647" s="17">
        <f t="shared" ref="K647:M647" si="1940">roundup((XLOOKUP($D647,$T$3:$T$10,$U$3:$U$10)*XLOOKUP(K$2,$AA$3:$AA$5,$AD$3:$AD$5)-ABS(XLOOKUP($C647,$Q$3:$Q$16,$R$3:$R$16)))*$B647,-5)</f>
        <v>30300000</v>
      </c>
      <c r="L647" s="17">
        <f t="shared" si="1940"/>
        <v>73500000</v>
      </c>
      <c r="M647" s="17">
        <f t="shared" si="1940"/>
        <v>79400000</v>
      </c>
    </row>
    <row r="648">
      <c r="A648" s="14" t="s">
        <v>691</v>
      </c>
      <c r="B648" s="14">
        <v>65.0</v>
      </c>
      <c r="C648" s="15">
        <f t="shared" si="4"/>
        <v>9</v>
      </c>
      <c r="D648" s="14" t="s">
        <v>197</v>
      </c>
      <c r="E648" s="16">
        <f t="shared" ref="E648:G648" si="1941">ROUNDUP((XLOOKUP($D648,$T$3:$T$10,$U$3:$U$10)*XLOOKUP(E$2,$AA$3:$AA$5,$AB$3:$AB$5)-ABS(XLOOKUP($C648,$Q$3:$Q$16,$R$3:$R$16)))*$B648,-5)</f>
        <v>21300000</v>
      </c>
      <c r="F648" s="16">
        <f t="shared" si="1941"/>
        <v>32800000</v>
      </c>
      <c r="G648" s="16">
        <f t="shared" si="1941"/>
        <v>35200000</v>
      </c>
      <c r="H648" s="17">
        <f t="shared" ref="H648:J648" si="1942">roundup((XLOOKUP($D648,$T$3:$T$10,$U$3:$U$10)*XLOOKUP(H$2,$AA$3:$AA$5,$AC$3:$AC$5)-ABS(XLOOKUP($C648,$Q$3:$Q$16,$R$3:$R$16)))*$B648,-5)</f>
        <v>18700000</v>
      </c>
      <c r="I648" s="17">
        <f t="shared" si="1942"/>
        <v>39100000</v>
      </c>
      <c r="J648" s="17">
        <f t="shared" si="1942"/>
        <v>41900000</v>
      </c>
      <c r="K648" s="17">
        <f t="shared" ref="K648:M648" si="1943">roundup((XLOOKUP($D648,$T$3:$T$10,$U$3:$U$10)*XLOOKUP(K$2,$AA$3:$AA$5,$AD$3:$AD$5)-ABS(XLOOKUP($C648,$Q$3:$Q$16,$R$3:$R$16)))*$B648,-5)</f>
        <v>21000000</v>
      </c>
      <c r="L648" s="17">
        <f t="shared" si="1943"/>
        <v>43300000</v>
      </c>
      <c r="M648" s="17">
        <f t="shared" si="1943"/>
        <v>46400000</v>
      </c>
    </row>
    <row r="649">
      <c r="A649" s="14" t="s">
        <v>692</v>
      </c>
      <c r="B649" s="14">
        <v>80.0</v>
      </c>
      <c r="C649" s="15">
        <f t="shared" si="4"/>
        <v>10</v>
      </c>
      <c r="D649" s="14" t="s">
        <v>197</v>
      </c>
      <c r="E649" s="16">
        <f t="shared" ref="E649:G649" si="1944">ROUNDUP((XLOOKUP($D649,$T$3:$T$10,$U$3:$U$10)*XLOOKUP(E$2,$AA$3:$AA$5,$AB$3:$AB$5)-ABS(XLOOKUP($C649,$Q$3:$Q$16,$R$3:$R$16)))*$B649,-5)</f>
        <v>21400000</v>
      </c>
      <c r="F649" s="16">
        <f t="shared" si="1944"/>
        <v>35500000</v>
      </c>
      <c r="G649" s="16">
        <f t="shared" si="1944"/>
        <v>38400000</v>
      </c>
      <c r="H649" s="17">
        <f t="shared" ref="H649:J649" si="1945">roundup((XLOOKUP($D649,$T$3:$T$10,$U$3:$U$10)*XLOOKUP(H$2,$AA$3:$AA$5,$AC$3:$AC$5)-ABS(XLOOKUP($C649,$Q$3:$Q$16,$R$3:$R$16)))*$B649,-5)</f>
        <v>18100000</v>
      </c>
      <c r="I649" s="17">
        <f t="shared" si="1945"/>
        <v>43200000</v>
      </c>
      <c r="J649" s="17">
        <f t="shared" si="1945"/>
        <v>46600000</v>
      </c>
      <c r="K649" s="17">
        <f t="shared" ref="K649:M649" si="1946">roundup((XLOOKUP($D649,$T$3:$T$10,$U$3:$U$10)*XLOOKUP(K$2,$AA$3:$AA$5,$AD$3:$AD$5)-ABS(XLOOKUP($C649,$Q$3:$Q$16,$R$3:$R$16)))*$B649,-5)</f>
        <v>20900000</v>
      </c>
      <c r="L649" s="17">
        <f t="shared" si="1946"/>
        <v>48500000</v>
      </c>
      <c r="M649" s="17">
        <f t="shared" si="1946"/>
        <v>52200000</v>
      </c>
    </row>
    <row r="650">
      <c r="A650" s="14" t="s">
        <v>693</v>
      </c>
      <c r="B650" s="14">
        <v>111.0</v>
      </c>
      <c r="C650" s="15">
        <f t="shared" si="4"/>
        <v>11</v>
      </c>
      <c r="D650" s="14" t="s">
        <v>28</v>
      </c>
      <c r="E650" s="16">
        <f t="shared" ref="E650:G650" si="1947">ROUNDUP((XLOOKUP($D650,$T$3:$T$10,$U$3:$U$10)*XLOOKUP(E$2,$AA$3:$AA$5,$AB$3:$AB$5)-ABS(XLOOKUP($C650,$Q$3:$Q$16,$R$3:$R$16)))*$B650,-5)</f>
        <v>30600000</v>
      </c>
      <c r="F650" s="16">
        <f t="shared" si="1947"/>
        <v>52200000</v>
      </c>
      <c r="G650" s="16">
        <f t="shared" si="1947"/>
        <v>56700000</v>
      </c>
      <c r="H650" s="17">
        <f t="shared" ref="H650:J650" si="1948">roundup((XLOOKUP($D650,$T$3:$T$10,$U$3:$U$10)*XLOOKUP(H$2,$AA$3:$AA$5,$AC$3:$AC$5)-ABS(XLOOKUP($C650,$Q$3:$Q$16,$R$3:$R$16)))*$B650,-5)</f>
        <v>25700000</v>
      </c>
      <c r="I650" s="17">
        <f t="shared" si="1948"/>
        <v>63900000</v>
      </c>
      <c r="J650" s="17">
        <f t="shared" si="1948"/>
        <v>69200000</v>
      </c>
      <c r="K650" s="17">
        <f t="shared" ref="K650:M650" si="1949">roundup((XLOOKUP($D650,$T$3:$T$10,$U$3:$U$10)*XLOOKUP(K$2,$AA$3:$AA$5,$AD$3:$AD$5)-ABS(XLOOKUP($C650,$Q$3:$Q$16,$R$3:$R$16)))*$B650,-5)</f>
        <v>30000000</v>
      </c>
      <c r="L650" s="17">
        <f t="shared" si="1949"/>
        <v>71900000</v>
      </c>
      <c r="M650" s="17">
        <f t="shared" si="1949"/>
        <v>77600000</v>
      </c>
    </row>
    <row r="651">
      <c r="A651" s="14" t="s">
        <v>694</v>
      </c>
      <c r="B651" s="14">
        <v>100.0</v>
      </c>
      <c r="C651" s="15">
        <f t="shared" si="4"/>
        <v>11</v>
      </c>
      <c r="D651" s="14" t="s">
        <v>36</v>
      </c>
      <c r="E651" s="16">
        <f t="shared" ref="E651:G651" si="1950">ROUNDUP((XLOOKUP($D651,$T$3:$T$10,$U$3:$U$10)*XLOOKUP(E$2,$AA$3:$AA$5,$AB$3:$AB$5)-ABS(XLOOKUP($C651,$Q$3:$Q$16,$R$3:$R$16)))*$B651,-5)</f>
        <v>26300000</v>
      </c>
      <c r="F651" s="16">
        <f t="shared" si="1950"/>
        <v>45100000</v>
      </c>
      <c r="G651" s="16">
        <f t="shared" si="1950"/>
        <v>49000000</v>
      </c>
      <c r="H651" s="17">
        <f t="shared" ref="H651:J651" si="1951">roundup((XLOOKUP($D651,$T$3:$T$10,$U$3:$U$10)*XLOOKUP(H$2,$AA$3:$AA$5,$AC$3:$AC$5)-ABS(XLOOKUP($C651,$Q$3:$Q$16,$R$3:$R$16)))*$B651,-5)</f>
        <v>22000000</v>
      </c>
      <c r="I651" s="17">
        <f t="shared" si="1951"/>
        <v>55400000</v>
      </c>
      <c r="J651" s="17">
        <f t="shared" si="1951"/>
        <v>59900000</v>
      </c>
      <c r="K651" s="17">
        <f t="shared" ref="K651:M651" si="1952">roundup((XLOOKUP($D651,$T$3:$T$10,$U$3:$U$10)*XLOOKUP(K$2,$AA$3:$AA$5,$AD$3:$AD$5)-ABS(XLOOKUP($C651,$Q$3:$Q$16,$R$3:$R$16)))*$B651,-5)</f>
        <v>25700000</v>
      </c>
      <c r="L651" s="17">
        <f t="shared" si="1952"/>
        <v>62300000</v>
      </c>
      <c r="M651" s="17">
        <f t="shared" si="1952"/>
        <v>67300000</v>
      </c>
    </row>
    <row r="652">
      <c r="A652" s="14" t="s">
        <v>695</v>
      </c>
      <c r="B652" s="14">
        <v>133.0</v>
      </c>
      <c r="C652" s="15">
        <f t="shared" si="4"/>
        <v>11</v>
      </c>
      <c r="D652" s="14" t="s">
        <v>36</v>
      </c>
      <c r="E652" s="16">
        <f t="shared" ref="E652:G652" si="1953">ROUNDUP((XLOOKUP($D652,$T$3:$T$10,$U$3:$U$10)*XLOOKUP(E$2,$AA$3:$AA$5,$AB$3:$AB$5)-ABS(XLOOKUP($C652,$Q$3:$Q$16,$R$3:$R$16)))*$B652,-5)</f>
        <v>34900000</v>
      </c>
      <c r="F652" s="16">
        <f t="shared" si="1953"/>
        <v>60000000</v>
      </c>
      <c r="G652" s="16">
        <f t="shared" si="1953"/>
        <v>65200000</v>
      </c>
      <c r="H652" s="17">
        <f t="shared" ref="H652:J652" si="1954">roundup((XLOOKUP($D652,$T$3:$T$10,$U$3:$U$10)*XLOOKUP(H$2,$AA$3:$AA$5,$AC$3:$AC$5)-ABS(XLOOKUP($C652,$Q$3:$Q$16,$R$3:$R$16)))*$B652,-5)</f>
        <v>29200000</v>
      </c>
      <c r="I652" s="17">
        <f t="shared" si="1954"/>
        <v>73600000</v>
      </c>
      <c r="J652" s="17">
        <f t="shared" si="1954"/>
        <v>79700000</v>
      </c>
      <c r="K652" s="17">
        <f t="shared" ref="K652:M652" si="1955">roundup((XLOOKUP($D652,$T$3:$T$10,$U$3:$U$10)*XLOOKUP(K$2,$AA$3:$AA$5,$AD$3:$AD$5)-ABS(XLOOKUP($C652,$Q$3:$Q$16,$R$3:$R$16)))*$B652,-5)</f>
        <v>34100000</v>
      </c>
      <c r="L652" s="17">
        <f t="shared" si="1955"/>
        <v>82900000</v>
      </c>
      <c r="M652" s="17">
        <f t="shared" si="1955"/>
        <v>89500000</v>
      </c>
    </row>
    <row r="653">
      <c r="A653" s="14" t="s">
        <v>696</v>
      </c>
      <c r="B653" s="14">
        <v>91.0</v>
      </c>
      <c r="C653" s="15">
        <f t="shared" si="4"/>
        <v>11</v>
      </c>
      <c r="D653" s="14" t="s">
        <v>36</v>
      </c>
      <c r="E653" s="16">
        <f t="shared" ref="E653:G653" si="1956">ROUNDUP((XLOOKUP($D653,$T$3:$T$10,$U$3:$U$10)*XLOOKUP(E$2,$AA$3:$AA$5,$AB$3:$AB$5)-ABS(XLOOKUP($C653,$Q$3:$Q$16,$R$3:$R$16)))*$B653,-5)</f>
        <v>23900000</v>
      </c>
      <c r="F653" s="16">
        <f t="shared" si="1956"/>
        <v>41000000</v>
      </c>
      <c r="G653" s="16">
        <f t="shared" si="1956"/>
        <v>44600000</v>
      </c>
      <c r="H653" s="17">
        <f t="shared" ref="H653:J653" si="1957">roundup((XLOOKUP($D653,$T$3:$T$10,$U$3:$U$10)*XLOOKUP(H$2,$AA$3:$AA$5,$AC$3:$AC$5)-ABS(XLOOKUP($C653,$Q$3:$Q$16,$R$3:$R$16)))*$B653,-5)</f>
        <v>20000000</v>
      </c>
      <c r="I653" s="17">
        <f t="shared" si="1957"/>
        <v>50400000</v>
      </c>
      <c r="J653" s="17">
        <f t="shared" si="1957"/>
        <v>54500000</v>
      </c>
      <c r="K653" s="17">
        <f t="shared" ref="K653:M653" si="1958">roundup((XLOOKUP($D653,$T$3:$T$10,$U$3:$U$10)*XLOOKUP(K$2,$AA$3:$AA$5,$AD$3:$AD$5)-ABS(XLOOKUP($C653,$Q$3:$Q$16,$R$3:$R$16)))*$B653,-5)</f>
        <v>23400000</v>
      </c>
      <c r="L653" s="17">
        <f t="shared" si="1958"/>
        <v>56700000</v>
      </c>
      <c r="M653" s="17">
        <f t="shared" si="1958"/>
        <v>61300000</v>
      </c>
    </row>
    <row r="654">
      <c r="A654" s="14" t="s">
        <v>697</v>
      </c>
      <c r="B654" s="14">
        <v>113.0</v>
      </c>
      <c r="C654" s="15">
        <f t="shared" si="4"/>
        <v>11</v>
      </c>
      <c r="D654" s="14" t="s">
        <v>33</v>
      </c>
      <c r="E654" s="16">
        <f t="shared" ref="E654:G654" si="1959">ROUNDUP((XLOOKUP($D654,$T$3:$T$10,$U$3:$U$10)*XLOOKUP(E$2,$AA$3:$AA$5,$AB$3:$AB$5)-ABS(XLOOKUP($C654,$Q$3:$Q$16,$R$3:$R$16)))*$B654,-5)</f>
        <v>24500000</v>
      </c>
      <c r="F654" s="16">
        <f t="shared" si="1959"/>
        <v>43500000</v>
      </c>
      <c r="G654" s="16">
        <f t="shared" si="1959"/>
        <v>47500000</v>
      </c>
      <c r="H654" s="17">
        <f t="shared" ref="H654:J654" si="1960">roundup((XLOOKUP($D654,$T$3:$T$10,$U$3:$U$10)*XLOOKUP(H$2,$AA$3:$AA$5,$AC$3:$AC$5)-ABS(XLOOKUP($C654,$Q$3:$Q$16,$R$3:$R$16)))*$B654,-5)</f>
        <v>20200000</v>
      </c>
      <c r="I654" s="17">
        <f t="shared" si="1960"/>
        <v>53900000</v>
      </c>
      <c r="J654" s="17">
        <f t="shared" si="1960"/>
        <v>58500000</v>
      </c>
      <c r="K654" s="17">
        <f t="shared" ref="K654:M654" si="1961">roundup((XLOOKUP($D654,$T$3:$T$10,$U$3:$U$10)*XLOOKUP(K$2,$AA$3:$AA$5,$AD$3:$AD$5)-ABS(XLOOKUP($C654,$Q$3:$Q$16,$R$3:$R$16)))*$B654,-5)</f>
        <v>23900000</v>
      </c>
      <c r="L654" s="17">
        <f t="shared" si="1961"/>
        <v>60900000</v>
      </c>
      <c r="M654" s="17">
        <f t="shared" si="1961"/>
        <v>65900000</v>
      </c>
    </row>
    <row r="655">
      <c r="A655" s="14" t="s">
        <v>698</v>
      </c>
      <c r="B655" s="14">
        <v>146.0</v>
      </c>
      <c r="C655" s="15">
        <f t="shared" si="4"/>
        <v>11</v>
      </c>
      <c r="D655" s="14" t="s">
        <v>33</v>
      </c>
      <c r="E655" s="16">
        <f t="shared" ref="E655:G655" si="1962">ROUNDUP((XLOOKUP($D655,$T$3:$T$10,$U$3:$U$10)*XLOOKUP(E$2,$AA$3:$AA$5,$AB$3:$AB$5)-ABS(XLOOKUP($C655,$Q$3:$Q$16,$R$3:$R$16)))*$B655,-5)</f>
        <v>31700000</v>
      </c>
      <c r="F655" s="16">
        <f t="shared" si="1962"/>
        <v>56200000</v>
      </c>
      <c r="G655" s="16">
        <f t="shared" si="1962"/>
        <v>61300000</v>
      </c>
      <c r="H655" s="17">
        <f t="shared" ref="H655:J655" si="1963">roundup((XLOOKUP($D655,$T$3:$T$10,$U$3:$U$10)*XLOOKUP(H$2,$AA$3:$AA$5,$AC$3:$AC$5)-ABS(XLOOKUP($C655,$Q$3:$Q$16,$R$3:$R$16)))*$B655,-5)</f>
        <v>26100000</v>
      </c>
      <c r="I655" s="17">
        <f t="shared" si="1963"/>
        <v>69600000</v>
      </c>
      <c r="J655" s="17">
        <f t="shared" si="1963"/>
        <v>75500000</v>
      </c>
      <c r="K655" s="17">
        <f t="shared" ref="K655:M655" si="1964">roundup((XLOOKUP($D655,$T$3:$T$10,$U$3:$U$10)*XLOOKUP(K$2,$AA$3:$AA$5,$AD$3:$AD$5)-ABS(XLOOKUP($C655,$Q$3:$Q$16,$R$3:$R$16)))*$B655,-5)</f>
        <v>30900000</v>
      </c>
      <c r="L655" s="17">
        <f t="shared" si="1964"/>
        <v>78600000</v>
      </c>
      <c r="M655" s="17">
        <f t="shared" si="1964"/>
        <v>85200000</v>
      </c>
    </row>
    <row r="656">
      <c r="A656" s="14" t="s">
        <v>699</v>
      </c>
      <c r="B656" s="14">
        <v>112.0</v>
      </c>
      <c r="C656" s="15">
        <f t="shared" si="4"/>
        <v>11</v>
      </c>
      <c r="D656" s="14" t="s">
        <v>33</v>
      </c>
      <c r="E656" s="16">
        <f t="shared" ref="E656:G656" si="1965">ROUNDUP((XLOOKUP($D656,$T$3:$T$10,$U$3:$U$10)*XLOOKUP(E$2,$AA$3:$AA$5,$AB$3:$AB$5)-ABS(XLOOKUP($C656,$Q$3:$Q$16,$R$3:$R$16)))*$B656,-5)</f>
        <v>24300000</v>
      </c>
      <c r="F656" s="16">
        <f t="shared" si="1965"/>
        <v>43100000</v>
      </c>
      <c r="G656" s="16">
        <f t="shared" si="1965"/>
        <v>47000000</v>
      </c>
      <c r="H656" s="17">
        <f t="shared" ref="H656:J656" si="1966">roundup((XLOOKUP($D656,$T$3:$T$10,$U$3:$U$10)*XLOOKUP(H$2,$AA$3:$AA$5,$AC$3:$AC$5)-ABS(XLOOKUP($C656,$Q$3:$Q$16,$R$3:$R$16)))*$B656,-5)</f>
        <v>20000000</v>
      </c>
      <c r="I656" s="17">
        <f t="shared" si="1966"/>
        <v>53400000</v>
      </c>
      <c r="J656" s="17">
        <f t="shared" si="1966"/>
        <v>57900000</v>
      </c>
      <c r="K656" s="17">
        <f t="shared" ref="K656:M656" si="1967">roundup((XLOOKUP($D656,$T$3:$T$10,$U$3:$U$10)*XLOOKUP(K$2,$AA$3:$AA$5,$AD$3:$AD$5)-ABS(XLOOKUP($C656,$Q$3:$Q$16,$R$3:$R$16)))*$B656,-5)</f>
        <v>23700000</v>
      </c>
      <c r="L656" s="17">
        <f t="shared" si="1967"/>
        <v>60300000</v>
      </c>
      <c r="M656" s="17">
        <f t="shared" si="1967"/>
        <v>65300000</v>
      </c>
    </row>
    <row r="657">
      <c r="A657" s="14" t="s">
        <v>700</v>
      </c>
      <c r="B657" s="14">
        <v>95.0</v>
      </c>
      <c r="C657" s="15">
        <f t="shared" si="4"/>
        <v>11</v>
      </c>
      <c r="D657" s="14" t="s">
        <v>33</v>
      </c>
      <c r="E657" s="16">
        <f t="shared" ref="E657:G657" si="1968">ROUNDUP((XLOOKUP($D657,$T$3:$T$10,$U$3:$U$10)*XLOOKUP(E$2,$AA$3:$AA$5,$AB$3:$AB$5)-ABS(XLOOKUP($C657,$Q$3:$Q$16,$R$3:$R$16)))*$B657,-5)</f>
        <v>20600000</v>
      </c>
      <c r="F657" s="16">
        <f t="shared" si="1968"/>
        <v>36600000</v>
      </c>
      <c r="G657" s="16">
        <f t="shared" si="1968"/>
        <v>39900000</v>
      </c>
      <c r="H657" s="17">
        <f t="shared" ref="H657:J657" si="1969">roundup((XLOOKUP($D657,$T$3:$T$10,$U$3:$U$10)*XLOOKUP(H$2,$AA$3:$AA$5,$AC$3:$AC$5)-ABS(XLOOKUP($C657,$Q$3:$Q$16,$R$3:$R$16)))*$B657,-5)</f>
        <v>17000000</v>
      </c>
      <c r="I657" s="17">
        <f t="shared" si="1969"/>
        <v>45300000</v>
      </c>
      <c r="J657" s="17">
        <f t="shared" si="1969"/>
        <v>49200000</v>
      </c>
      <c r="K657" s="17">
        <f t="shared" ref="K657:M657" si="1970">roundup((XLOOKUP($D657,$T$3:$T$10,$U$3:$U$10)*XLOOKUP(K$2,$AA$3:$AA$5,$AD$3:$AD$5)-ABS(XLOOKUP($C657,$Q$3:$Q$16,$R$3:$R$16)))*$B657,-5)</f>
        <v>20100000</v>
      </c>
      <c r="L657" s="17">
        <f t="shared" si="1970"/>
        <v>51200000</v>
      </c>
      <c r="M657" s="17">
        <f t="shared" si="1970"/>
        <v>55400000</v>
      </c>
    </row>
    <row r="658">
      <c r="A658" s="14" t="s">
        <v>701</v>
      </c>
      <c r="B658" s="14">
        <v>127.0</v>
      </c>
      <c r="C658" s="15">
        <f t="shared" si="4"/>
        <v>11</v>
      </c>
      <c r="D658" s="14" t="s">
        <v>33</v>
      </c>
      <c r="E658" s="16">
        <f t="shared" ref="E658:G658" si="1971">ROUNDUP((XLOOKUP($D658,$T$3:$T$10,$U$3:$U$10)*XLOOKUP(E$2,$AA$3:$AA$5,$AB$3:$AB$5)-ABS(XLOOKUP($C658,$Q$3:$Q$16,$R$3:$R$16)))*$B658,-5)</f>
        <v>27600000</v>
      </c>
      <c r="F658" s="16">
        <f t="shared" si="1971"/>
        <v>48900000</v>
      </c>
      <c r="G658" s="16">
        <f t="shared" si="1971"/>
        <v>53300000</v>
      </c>
      <c r="H658" s="17">
        <f t="shared" ref="H658:J658" si="1972">roundup((XLOOKUP($D658,$T$3:$T$10,$U$3:$U$10)*XLOOKUP(H$2,$AA$3:$AA$5,$AC$3:$AC$5)-ABS(XLOOKUP($C658,$Q$3:$Q$16,$R$3:$R$16)))*$B658,-5)</f>
        <v>22700000</v>
      </c>
      <c r="I658" s="17">
        <f t="shared" si="1972"/>
        <v>60500000</v>
      </c>
      <c r="J658" s="17">
        <f t="shared" si="1972"/>
        <v>65700000</v>
      </c>
      <c r="K658" s="17">
        <f t="shared" ref="K658:M658" si="1973">roundup((XLOOKUP($D658,$T$3:$T$10,$U$3:$U$10)*XLOOKUP(K$2,$AA$3:$AA$5,$AD$3:$AD$5)-ABS(XLOOKUP($C658,$Q$3:$Q$16,$R$3:$R$16)))*$B658,-5)</f>
        <v>26900000</v>
      </c>
      <c r="L658" s="17">
        <f t="shared" si="1973"/>
        <v>68400000</v>
      </c>
      <c r="M658" s="17">
        <f t="shared" si="1973"/>
        <v>74100000</v>
      </c>
    </row>
    <row r="659">
      <c r="A659" s="14" t="s">
        <v>702</v>
      </c>
      <c r="B659" s="14">
        <v>108.0</v>
      </c>
      <c r="C659" s="15">
        <f t="shared" si="4"/>
        <v>11</v>
      </c>
      <c r="D659" s="14" t="s">
        <v>33</v>
      </c>
      <c r="E659" s="16">
        <f t="shared" ref="E659:G659" si="1974">ROUNDUP((XLOOKUP($D659,$T$3:$T$10,$U$3:$U$10)*XLOOKUP(E$2,$AA$3:$AA$5,$AB$3:$AB$5)-ABS(XLOOKUP($C659,$Q$3:$Q$16,$R$3:$R$16)))*$B659,-5)</f>
        <v>23500000</v>
      </c>
      <c r="F659" s="16">
        <f t="shared" si="1974"/>
        <v>41600000</v>
      </c>
      <c r="G659" s="16">
        <f t="shared" si="1974"/>
        <v>45400000</v>
      </c>
      <c r="H659" s="17">
        <f t="shared" ref="H659:J659" si="1975">roundup((XLOOKUP($D659,$T$3:$T$10,$U$3:$U$10)*XLOOKUP(H$2,$AA$3:$AA$5,$AC$3:$AC$5)-ABS(XLOOKUP($C659,$Q$3:$Q$16,$R$3:$R$16)))*$B659,-5)</f>
        <v>19300000</v>
      </c>
      <c r="I659" s="17">
        <f t="shared" si="1975"/>
        <v>51500000</v>
      </c>
      <c r="J659" s="17">
        <f t="shared" si="1975"/>
        <v>55900000</v>
      </c>
      <c r="K659" s="17">
        <f t="shared" ref="K659:M659" si="1976">roundup((XLOOKUP($D659,$T$3:$T$10,$U$3:$U$10)*XLOOKUP(K$2,$AA$3:$AA$5,$AD$3:$AD$5)-ABS(XLOOKUP($C659,$Q$3:$Q$16,$R$3:$R$16)))*$B659,-5)</f>
        <v>22900000</v>
      </c>
      <c r="L659" s="17">
        <f t="shared" si="1976"/>
        <v>58200000</v>
      </c>
      <c r="M659" s="17">
        <f t="shared" si="1976"/>
        <v>63000000</v>
      </c>
    </row>
    <row r="660">
      <c r="A660" s="14" t="s">
        <v>703</v>
      </c>
      <c r="B660" s="14">
        <v>103.0</v>
      </c>
      <c r="C660" s="15">
        <f t="shared" si="4"/>
        <v>11</v>
      </c>
      <c r="D660" s="14" t="s">
        <v>33</v>
      </c>
      <c r="E660" s="16">
        <f t="shared" ref="E660:G660" si="1977">ROUNDUP((XLOOKUP($D660,$T$3:$T$10,$U$3:$U$10)*XLOOKUP(E$2,$AA$3:$AA$5,$AB$3:$AB$5)-ABS(XLOOKUP($C660,$Q$3:$Q$16,$R$3:$R$16)))*$B660,-5)</f>
        <v>22400000</v>
      </c>
      <c r="F660" s="16">
        <f t="shared" si="1977"/>
        <v>39700000</v>
      </c>
      <c r="G660" s="16">
        <f t="shared" si="1977"/>
        <v>43300000</v>
      </c>
      <c r="H660" s="17">
        <f t="shared" ref="H660:J660" si="1978">roundup((XLOOKUP($D660,$T$3:$T$10,$U$3:$U$10)*XLOOKUP(H$2,$AA$3:$AA$5,$AC$3:$AC$5)-ABS(XLOOKUP($C660,$Q$3:$Q$16,$R$3:$R$16)))*$B660,-5)</f>
        <v>18400000</v>
      </c>
      <c r="I660" s="17">
        <f t="shared" si="1978"/>
        <v>49100000</v>
      </c>
      <c r="J660" s="17">
        <f t="shared" si="1978"/>
        <v>53300000</v>
      </c>
      <c r="K660" s="17">
        <f t="shared" ref="K660:M660" si="1979">roundup((XLOOKUP($D660,$T$3:$T$10,$U$3:$U$10)*XLOOKUP(K$2,$AA$3:$AA$5,$AD$3:$AD$5)-ABS(XLOOKUP($C660,$Q$3:$Q$16,$R$3:$R$16)))*$B660,-5)</f>
        <v>21800000</v>
      </c>
      <c r="L660" s="17">
        <f t="shared" si="1979"/>
        <v>55500000</v>
      </c>
      <c r="M660" s="17">
        <f t="shared" si="1979"/>
        <v>60100000</v>
      </c>
    </row>
    <row r="661">
      <c r="A661" s="14" t="s">
        <v>704</v>
      </c>
      <c r="B661" s="14">
        <v>83.0</v>
      </c>
      <c r="C661" s="15">
        <f t="shared" si="4"/>
        <v>11</v>
      </c>
      <c r="D661" s="14" t="s">
        <v>33</v>
      </c>
      <c r="E661" s="16">
        <f t="shared" ref="E661:G661" si="1980">ROUNDUP((XLOOKUP($D661,$T$3:$T$10,$U$3:$U$10)*XLOOKUP(E$2,$AA$3:$AA$5,$AB$3:$AB$5)-ABS(XLOOKUP($C661,$Q$3:$Q$16,$R$3:$R$16)))*$B661,-5)</f>
        <v>18000000</v>
      </c>
      <c r="F661" s="16">
        <f t="shared" si="1980"/>
        <v>32000000</v>
      </c>
      <c r="G661" s="16">
        <f t="shared" si="1980"/>
        <v>34900000</v>
      </c>
      <c r="H661" s="17">
        <f t="shared" ref="H661:J661" si="1981">roundup((XLOOKUP($D661,$T$3:$T$10,$U$3:$U$10)*XLOOKUP(H$2,$AA$3:$AA$5,$AC$3:$AC$5)-ABS(XLOOKUP($C661,$Q$3:$Q$16,$R$3:$R$16)))*$B661,-5)</f>
        <v>14900000</v>
      </c>
      <c r="I661" s="17">
        <f t="shared" si="1981"/>
        <v>39600000</v>
      </c>
      <c r="J661" s="17">
        <f t="shared" si="1981"/>
        <v>42900000</v>
      </c>
      <c r="K661" s="17">
        <f t="shared" ref="K661:M661" si="1982">roundup((XLOOKUP($D661,$T$3:$T$10,$U$3:$U$10)*XLOOKUP(K$2,$AA$3:$AA$5,$AD$3:$AD$5)-ABS(XLOOKUP($C661,$Q$3:$Q$16,$R$3:$R$16)))*$B661,-5)</f>
        <v>17600000</v>
      </c>
      <c r="L661" s="17">
        <f t="shared" si="1982"/>
        <v>44700000</v>
      </c>
      <c r="M661" s="17">
        <f t="shared" si="1982"/>
        <v>48400000</v>
      </c>
    </row>
    <row r="662">
      <c r="A662" s="14" t="s">
        <v>705</v>
      </c>
      <c r="B662" s="14">
        <v>66.0</v>
      </c>
      <c r="C662" s="15">
        <f t="shared" si="4"/>
        <v>9</v>
      </c>
      <c r="D662" s="14" t="s">
        <v>33</v>
      </c>
      <c r="E662" s="16">
        <f t="shared" ref="E662:G662" si="1983">ROUNDUP((XLOOKUP($D662,$T$3:$T$10,$U$3:$U$10)*XLOOKUP(E$2,$AA$3:$AA$5,$AB$3:$AB$5)-ABS(XLOOKUP($C662,$Q$3:$Q$16,$R$3:$R$16)))*$B662,-5)</f>
        <v>20400000</v>
      </c>
      <c r="F662" s="16">
        <f t="shared" si="1983"/>
        <v>31400000</v>
      </c>
      <c r="G662" s="16">
        <f t="shared" si="1983"/>
        <v>33700000</v>
      </c>
      <c r="H662" s="17">
        <f t="shared" ref="H662:J662" si="1984">roundup((XLOOKUP($D662,$T$3:$T$10,$U$3:$U$10)*XLOOKUP(H$2,$AA$3:$AA$5,$AC$3:$AC$5)-ABS(XLOOKUP($C662,$Q$3:$Q$16,$R$3:$R$16)))*$B662,-5)</f>
        <v>17800000</v>
      </c>
      <c r="I662" s="17">
        <f t="shared" si="1984"/>
        <v>37500000</v>
      </c>
      <c r="J662" s="17">
        <f t="shared" si="1984"/>
        <v>40200000</v>
      </c>
      <c r="K662" s="17">
        <f t="shared" ref="K662:M662" si="1985">roundup((XLOOKUP($D662,$T$3:$T$10,$U$3:$U$10)*XLOOKUP(K$2,$AA$3:$AA$5,$AD$3:$AD$5)-ABS(XLOOKUP($C662,$Q$3:$Q$16,$R$3:$R$16)))*$B662,-5)</f>
        <v>20000000</v>
      </c>
      <c r="L662" s="17">
        <f t="shared" si="1985"/>
        <v>41600000</v>
      </c>
      <c r="M662" s="17">
        <f t="shared" si="1985"/>
        <v>44500000</v>
      </c>
    </row>
    <row r="663">
      <c r="A663" s="14" t="s">
        <v>706</v>
      </c>
      <c r="B663" s="14">
        <v>165.0</v>
      </c>
      <c r="C663" s="15">
        <f t="shared" si="4"/>
        <v>12</v>
      </c>
      <c r="D663" s="14" t="s">
        <v>33</v>
      </c>
      <c r="E663" s="16">
        <f t="shared" ref="E663:G663" si="1986">ROUNDUP((XLOOKUP($D663,$T$3:$T$10,$U$3:$U$10)*XLOOKUP(E$2,$AA$3:$AA$5,$AB$3:$AB$5)-ABS(XLOOKUP($C663,$Q$3:$Q$16,$R$3:$R$16)))*$B663,-5)</f>
        <v>35000000</v>
      </c>
      <c r="F663" s="16">
        <f t="shared" si="1986"/>
        <v>62700000</v>
      </c>
      <c r="G663" s="16">
        <f t="shared" si="1986"/>
        <v>68400000</v>
      </c>
      <c r="H663" s="17">
        <f t="shared" ref="H663:J663" si="1987">roundup((XLOOKUP($D663,$T$3:$T$10,$U$3:$U$10)*XLOOKUP(H$2,$AA$3:$AA$5,$AC$3:$AC$5)-ABS(XLOOKUP($C663,$Q$3:$Q$16,$R$3:$R$16)))*$B663,-5)</f>
        <v>28700000</v>
      </c>
      <c r="I663" s="17">
        <f t="shared" si="1987"/>
        <v>77800000</v>
      </c>
      <c r="J663" s="17">
        <f t="shared" si="1987"/>
        <v>84500000</v>
      </c>
      <c r="K663" s="17">
        <f t="shared" ref="K663:M663" si="1988">roundup((XLOOKUP($D663,$T$3:$T$10,$U$3:$U$10)*XLOOKUP(K$2,$AA$3:$AA$5,$AD$3:$AD$5)-ABS(XLOOKUP($C663,$Q$3:$Q$16,$R$3:$R$16)))*$B663,-5)</f>
        <v>34100000</v>
      </c>
      <c r="L663" s="17">
        <f t="shared" si="1988"/>
        <v>88000000</v>
      </c>
      <c r="M663" s="17">
        <f t="shared" si="1988"/>
        <v>95400000</v>
      </c>
    </row>
    <row r="664">
      <c r="A664" s="14" t="s">
        <v>707</v>
      </c>
      <c r="B664" s="14">
        <v>110.0</v>
      </c>
      <c r="C664" s="15">
        <f t="shared" si="4"/>
        <v>11</v>
      </c>
      <c r="D664" s="14" t="s">
        <v>33</v>
      </c>
      <c r="E664" s="16">
        <f t="shared" ref="E664:G664" si="1989">ROUNDUP((XLOOKUP($D664,$T$3:$T$10,$U$3:$U$10)*XLOOKUP(E$2,$AA$3:$AA$5,$AB$3:$AB$5)-ABS(XLOOKUP($C664,$Q$3:$Q$16,$R$3:$R$16)))*$B664,-5)</f>
        <v>23900000</v>
      </c>
      <c r="F664" s="16">
        <f t="shared" si="1989"/>
        <v>42400000</v>
      </c>
      <c r="G664" s="16">
        <f t="shared" si="1989"/>
        <v>46200000</v>
      </c>
      <c r="H664" s="17">
        <f t="shared" ref="H664:J664" si="1990">roundup((XLOOKUP($D664,$T$3:$T$10,$U$3:$U$10)*XLOOKUP(H$2,$AA$3:$AA$5,$AC$3:$AC$5)-ABS(XLOOKUP($C664,$Q$3:$Q$16,$R$3:$R$16)))*$B664,-5)</f>
        <v>19700000</v>
      </c>
      <c r="I664" s="17">
        <f t="shared" si="1990"/>
        <v>52400000</v>
      </c>
      <c r="J664" s="17">
        <f t="shared" si="1990"/>
        <v>56900000</v>
      </c>
      <c r="K664" s="17">
        <f t="shared" ref="K664:M664" si="1991">roundup((XLOOKUP($D664,$T$3:$T$10,$U$3:$U$10)*XLOOKUP(K$2,$AA$3:$AA$5,$AD$3:$AD$5)-ABS(XLOOKUP($C664,$Q$3:$Q$16,$R$3:$R$16)))*$B664,-5)</f>
        <v>23300000</v>
      </c>
      <c r="L664" s="17">
        <f t="shared" si="1991"/>
        <v>59300000</v>
      </c>
      <c r="M664" s="17">
        <f t="shared" si="1991"/>
        <v>64200000</v>
      </c>
    </row>
    <row r="665">
      <c r="A665" s="14" t="s">
        <v>708</v>
      </c>
      <c r="B665" s="14">
        <v>134.0</v>
      </c>
      <c r="C665" s="15">
        <f t="shared" si="4"/>
        <v>11</v>
      </c>
      <c r="D665" s="14" t="s">
        <v>33</v>
      </c>
      <c r="E665" s="16">
        <f t="shared" ref="E665:G665" si="1992">ROUNDUP((XLOOKUP($D665,$T$3:$T$10,$U$3:$U$10)*XLOOKUP(E$2,$AA$3:$AA$5,$AB$3:$AB$5)-ABS(XLOOKUP($C665,$Q$3:$Q$16,$R$3:$R$16)))*$B665,-5)</f>
        <v>29100000</v>
      </c>
      <c r="F665" s="16">
        <f t="shared" si="1992"/>
        <v>51600000</v>
      </c>
      <c r="G665" s="16">
        <f t="shared" si="1992"/>
        <v>56300000</v>
      </c>
      <c r="H665" s="17">
        <f t="shared" ref="H665:J665" si="1993">roundup((XLOOKUP($D665,$T$3:$T$10,$U$3:$U$10)*XLOOKUP(H$2,$AA$3:$AA$5,$AC$3:$AC$5)-ABS(XLOOKUP($C665,$Q$3:$Q$16,$R$3:$R$16)))*$B665,-5)</f>
        <v>24000000</v>
      </c>
      <c r="I665" s="17">
        <f t="shared" si="1993"/>
        <v>63900000</v>
      </c>
      <c r="J665" s="17">
        <f t="shared" si="1993"/>
        <v>69300000</v>
      </c>
      <c r="K665" s="17">
        <f t="shared" ref="K665:M665" si="1994">roundup((XLOOKUP($D665,$T$3:$T$10,$U$3:$U$10)*XLOOKUP(K$2,$AA$3:$AA$5,$AD$3:$AD$5)-ABS(XLOOKUP($C665,$Q$3:$Q$16,$R$3:$R$16)))*$B665,-5)</f>
        <v>28400000</v>
      </c>
      <c r="L665" s="17">
        <f t="shared" si="1994"/>
        <v>72200000</v>
      </c>
      <c r="M665" s="17">
        <f t="shared" si="1994"/>
        <v>78200000</v>
      </c>
    </row>
    <row r="666">
      <c r="A666" s="14" t="s">
        <v>709</v>
      </c>
      <c r="B666" s="14">
        <v>128.0</v>
      </c>
      <c r="C666" s="15">
        <f t="shared" si="4"/>
        <v>11</v>
      </c>
      <c r="D666" s="14" t="s">
        <v>33</v>
      </c>
      <c r="E666" s="16">
        <f t="shared" ref="E666:G666" si="1995">ROUNDUP((XLOOKUP($D666,$T$3:$T$10,$U$3:$U$10)*XLOOKUP(E$2,$AA$3:$AA$5,$AB$3:$AB$5)-ABS(XLOOKUP($C666,$Q$3:$Q$16,$R$3:$R$16)))*$B666,-5)</f>
        <v>27800000</v>
      </c>
      <c r="F666" s="16">
        <f t="shared" si="1995"/>
        <v>49300000</v>
      </c>
      <c r="G666" s="16">
        <f t="shared" si="1995"/>
        <v>53700000</v>
      </c>
      <c r="H666" s="17">
        <f t="shared" ref="H666:J666" si="1996">roundup((XLOOKUP($D666,$T$3:$T$10,$U$3:$U$10)*XLOOKUP(H$2,$AA$3:$AA$5,$AC$3:$AC$5)-ABS(XLOOKUP($C666,$Q$3:$Q$16,$R$3:$R$16)))*$B666,-5)</f>
        <v>22900000</v>
      </c>
      <c r="I666" s="17">
        <f t="shared" si="1996"/>
        <v>61000000</v>
      </c>
      <c r="J666" s="17">
        <f t="shared" si="1996"/>
        <v>66200000</v>
      </c>
      <c r="K666" s="17">
        <f t="shared" ref="K666:M666" si="1997">roundup((XLOOKUP($D666,$T$3:$T$10,$U$3:$U$10)*XLOOKUP(K$2,$AA$3:$AA$5,$AD$3:$AD$5)-ABS(XLOOKUP($C666,$Q$3:$Q$16,$R$3:$R$16)))*$B666,-5)</f>
        <v>27100000</v>
      </c>
      <c r="L666" s="17">
        <f t="shared" si="1997"/>
        <v>69000000</v>
      </c>
      <c r="M666" s="17">
        <f t="shared" si="1997"/>
        <v>74700000</v>
      </c>
    </row>
    <row r="667">
      <c r="A667" s="14" t="s">
        <v>710</v>
      </c>
      <c r="B667" s="14">
        <v>151.0</v>
      </c>
      <c r="C667" s="15">
        <f t="shared" si="4"/>
        <v>11</v>
      </c>
      <c r="D667" s="14" t="s">
        <v>33</v>
      </c>
      <c r="E667" s="16">
        <f t="shared" ref="E667:G667" si="1998">ROUNDUP((XLOOKUP($D667,$T$3:$T$10,$U$3:$U$10)*XLOOKUP(E$2,$AA$3:$AA$5,$AB$3:$AB$5)-ABS(XLOOKUP($C667,$Q$3:$Q$16,$R$3:$R$16)))*$B667,-5)</f>
        <v>32800000</v>
      </c>
      <c r="F667" s="16">
        <f t="shared" si="1998"/>
        <v>58100000</v>
      </c>
      <c r="G667" s="16">
        <f t="shared" si="1998"/>
        <v>63400000</v>
      </c>
      <c r="H667" s="17">
        <f t="shared" ref="H667:J667" si="1999">roundup((XLOOKUP($D667,$T$3:$T$10,$U$3:$U$10)*XLOOKUP(H$2,$AA$3:$AA$5,$AC$3:$AC$5)-ABS(XLOOKUP($C667,$Q$3:$Q$16,$R$3:$R$16)))*$B667,-5)</f>
        <v>27000000</v>
      </c>
      <c r="I667" s="17">
        <f t="shared" si="1999"/>
        <v>72000000</v>
      </c>
      <c r="J667" s="17">
        <f t="shared" si="1999"/>
        <v>78100000</v>
      </c>
      <c r="K667" s="17">
        <f t="shared" ref="K667:M667" si="2000">roundup((XLOOKUP($D667,$T$3:$T$10,$U$3:$U$10)*XLOOKUP(K$2,$AA$3:$AA$5,$AD$3:$AD$5)-ABS(XLOOKUP($C667,$Q$3:$Q$16,$R$3:$R$16)))*$B667,-5)</f>
        <v>32000000</v>
      </c>
      <c r="L667" s="17">
        <f t="shared" si="2000"/>
        <v>81300000</v>
      </c>
      <c r="M667" s="17">
        <f t="shared" si="2000"/>
        <v>88100000</v>
      </c>
    </row>
    <row r="668">
      <c r="A668" s="14" t="s">
        <v>711</v>
      </c>
      <c r="B668" s="14">
        <v>163.0</v>
      </c>
      <c r="C668" s="15">
        <f t="shared" si="4"/>
        <v>12</v>
      </c>
      <c r="D668" s="14" t="s">
        <v>33</v>
      </c>
      <c r="E668" s="16">
        <f t="shared" ref="E668:G668" si="2001">ROUNDUP((XLOOKUP($D668,$T$3:$T$10,$U$3:$U$10)*XLOOKUP(E$2,$AA$3:$AA$5,$AB$3:$AB$5)-ABS(XLOOKUP($C668,$Q$3:$Q$16,$R$3:$R$16)))*$B668,-5)</f>
        <v>34600000</v>
      </c>
      <c r="F668" s="16">
        <f t="shared" si="2001"/>
        <v>61900000</v>
      </c>
      <c r="G668" s="16">
        <f t="shared" si="2001"/>
        <v>67600000</v>
      </c>
      <c r="H668" s="17">
        <f t="shared" ref="H668:J668" si="2002">roundup((XLOOKUP($D668,$T$3:$T$10,$U$3:$U$10)*XLOOKUP(H$2,$AA$3:$AA$5,$AC$3:$AC$5)-ABS(XLOOKUP($C668,$Q$3:$Q$16,$R$3:$R$16)))*$B668,-5)</f>
        <v>28300000</v>
      </c>
      <c r="I668" s="17">
        <f t="shared" si="2002"/>
        <v>76900000</v>
      </c>
      <c r="J668" s="17">
        <f t="shared" si="2002"/>
        <v>83500000</v>
      </c>
      <c r="K668" s="17">
        <f t="shared" ref="K668:M668" si="2003">roundup((XLOOKUP($D668,$T$3:$T$10,$U$3:$U$10)*XLOOKUP(K$2,$AA$3:$AA$5,$AD$3:$AD$5)-ABS(XLOOKUP($C668,$Q$3:$Q$16,$R$3:$R$16)))*$B668,-5)</f>
        <v>33700000</v>
      </c>
      <c r="L668" s="17">
        <f t="shared" si="2003"/>
        <v>87000000</v>
      </c>
      <c r="M668" s="17">
        <f t="shared" si="2003"/>
        <v>94300000</v>
      </c>
    </row>
    <row r="669">
      <c r="A669" s="14" t="s">
        <v>712</v>
      </c>
      <c r="B669" s="14">
        <v>163.0</v>
      </c>
      <c r="C669" s="15">
        <f t="shared" si="4"/>
        <v>12</v>
      </c>
      <c r="D669" s="14" t="s">
        <v>33</v>
      </c>
      <c r="E669" s="16">
        <f t="shared" ref="E669:G669" si="2004">ROUNDUP((XLOOKUP($D669,$T$3:$T$10,$U$3:$U$10)*XLOOKUP(E$2,$AA$3:$AA$5,$AB$3:$AB$5)-ABS(XLOOKUP($C669,$Q$3:$Q$16,$R$3:$R$16)))*$B669,-5)</f>
        <v>34600000</v>
      </c>
      <c r="F669" s="16">
        <f t="shared" si="2004"/>
        <v>61900000</v>
      </c>
      <c r="G669" s="16">
        <f t="shared" si="2004"/>
        <v>67600000</v>
      </c>
      <c r="H669" s="17">
        <f t="shared" ref="H669:J669" si="2005">roundup((XLOOKUP($D669,$T$3:$T$10,$U$3:$U$10)*XLOOKUP(H$2,$AA$3:$AA$5,$AC$3:$AC$5)-ABS(XLOOKUP($C669,$Q$3:$Q$16,$R$3:$R$16)))*$B669,-5)</f>
        <v>28300000</v>
      </c>
      <c r="I669" s="17">
        <f t="shared" si="2005"/>
        <v>76900000</v>
      </c>
      <c r="J669" s="17">
        <f t="shared" si="2005"/>
        <v>83500000</v>
      </c>
      <c r="K669" s="17">
        <f t="shared" ref="K669:M669" si="2006">roundup((XLOOKUP($D669,$T$3:$T$10,$U$3:$U$10)*XLOOKUP(K$2,$AA$3:$AA$5,$AD$3:$AD$5)-ABS(XLOOKUP($C669,$Q$3:$Q$16,$R$3:$R$16)))*$B669,-5)</f>
        <v>33700000</v>
      </c>
      <c r="L669" s="17">
        <f t="shared" si="2006"/>
        <v>87000000</v>
      </c>
      <c r="M669" s="17">
        <f t="shared" si="2006"/>
        <v>94300000</v>
      </c>
    </row>
    <row r="670">
      <c r="A670" s="14" t="s">
        <v>713</v>
      </c>
      <c r="B670" s="14">
        <v>48.0</v>
      </c>
      <c r="C670" s="15">
        <f t="shared" si="4"/>
        <v>6</v>
      </c>
      <c r="D670" s="14" t="s">
        <v>36</v>
      </c>
      <c r="E670" s="16">
        <f t="shared" ref="E670:G670" si="2007">ROUNDUP((XLOOKUP($D670,$T$3:$T$10,$U$3:$U$10)*XLOOKUP(E$2,$AA$3:$AA$5,$AB$3:$AB$5)-ABS(XLOOKUP($C670,$Q$3:$Q$16,$R$3:$R$16)))*$B670,-5)</f>
        <v>18200000</v>
      </c>
      <c r="F670" s="16">
        <f t="shared" si="2007"/>
        <v>27200000</v>
      </c>
      <c r="G670" s="16">
        <f t="shared" si="2007"/>
        <v>29100000</v>
      </c>
      <c r="H670" s="17">
        <f t="shared" ref="H670:J670" si="2008">roundup((XLOOKUP($D670,$T$3:$T$10,$U$3:$U$10)*XLOOKUP(H$2,$AA$3:$AA$5,$AC$3:$AC$5)-ABS(XLOOKUP($C670,$Q$3:$Q$16,$R$3:$R$16)))*$B670,-5)</f>
        <v>16100000</v>
      </c>
      <c r="I670" s="17">
        <f t="shared" si="2008"/>
        <v>32100000</v>
      </c>
      <c r="J670" s="17">
        <f t="shared" si="2008"/>
        <v>34300000</v>
      </c>
      <c r="K670" s="17">
        <f t="shared" ref="K670:M670" si="2009">roundup((XLOOKUP($D670,$T$3:$T$10,$U$3:$U$10)*XLOOKUP(K$2,$AA$3:$AA$5,$AD$3:$AD$5)-ABS(XLOOKUP($C670,$Q$3:$Q$16,$R$3:$R$16)))*$B670,-5)</f>
        <v>17900000</v>
      </c>
      <c r="L670" s="17">
        <f t="shared" si="2009"/>
        <v>35500000</v>
      </c>
      <c r="M670" s="17">
        <f t="shared" si="2009"/>
        <v>37900000</v>
      </c>
    </row>
    <row r="671">
      <c r="A671" s="14" t="s">
        <v>714</v>
      </c>
      <c r="B671" s="14">
        <v>135.0</v>
      </c>
      <c r="C671" s="15">
        <f t="shared" si="4"/>
        <v>11</v>
      </c>
      <c r="D671" s="14" t="s">
        <v>33</v>
      </c>
      <c r="E671" s="16">
        <f t="shared" ref="E671:G671" si="2010">ROUNDUP((XLOOKUP($D671,$T$3:$T$10,$U$3:$U$10)*XLOOKUP(E$2,$AA$3:$AA$5,$AB$3:$AB$5)-ABS(XLOOKUP($C671,$Q$3:$Q$16,$R$3:$R$16)))*$B671,-5)</f>
        <v>29300000</v>
      </c>
      <c r="F671" s="16">
        <f t="shared" si="2010"/>
        <v>52000000</v>
      </c>
      <c r="G671" s="16">
        <f t="shared" si="2010"/>
        <v>56700000</v>
      </c>
      <c r="H671" s="17">
        <f t="shared" ref="H671:J671" si="2011">roundup((XLOOKUP($D671,$T$3:$T$10,$U$3:$U$10)*XLOOKUP(H$2,$AA$3:$AA$5,$AC$3:$AC$5)-ABS(XLOOKUP($C671,$Q$3:$Q$16,$R$3:$R$16)))*$B671,-5)</f>
        <v>24100000</v>
      </c>
      <c r="I671" s="17">
        <f t="shared" si="2011"/>
        <v>64300000</v>
      </c>
      <c r="J671" s="17">
        <f t="shared" si="2011"/>
        <v>69800000</v>
      </c>
      <c r="K671" s="17">
        <f t="shared" ref="K671:M671" si="2012">roundup((XLOOKUP($D671,$T$3:$T$10,$U$3:$U$10)*XLOOKUP(K$2,$AA$3:$AA$5,$AD$3:$AD$5)-ABS(XLOOKUP($C671,$Q$3:$Q$16,$R$3:$R$16)))*$B671,-5)</f>
        <v>28600000</v>
      </c>
      <c r="L671" s="17">
        <f t="shared" si="2012"/>
        <v>72700000</v>
      </c>
      <c r="M671" s="17">
        <f t="shared" si="2012"/>
        <v>78700000</v>
      </c>
    </row>
    <row r="672">
      <c r="A672" s="14" t="s">
        <v>715</v>
      </c>
      <c r="B672" s="14">
        <v>113.0</v>
      </c>
      <c r="C672" s="15">
        <f t="shared" si="4"/>
        <v>11</v>
      </c>
      <c r="D672" s="14" t="s">
        <v>33</v>
      </c>
      <c r="E672" s="16">
        <f t="shared" ref="E672:G672" si="2013">ROUNDUP((XLOOKUP($D672,$T$3:$T$10,$U$3:$U$10)*XLOOKUP(E$2,$AA$3:$AA$5,$AB$3:$AB$5)-ABS(XLOOKUP($C672,$Q$3:$Q$16,$R$3:$R$16)))*$B672,-5)</f>
        <v>24500000</v>
      </c>
      <c r="F672" s="16">
        <f t="shared" si="2013"/>
        <v>43500000</v>
      </c>
      <c r="G672" s="16">
        <f t="shared" si="2013"/>
        <v>47500000</v>
      </c>
      <c r="H672" s="17">
        <f t="shared" ref="H672:J672" si="2014">roundup((XLOOKUP($D672,$T$3:$T$10,$U$3:$U$10)*XLOOKUP(H$2,$AA$3:$AA$5,$AC$3:$AC$5)-ABS(XLOOKUP($C672,$Q$3:$Q$16,$R$3:$R$16)))*$B672,-5)</f>
        <v>20200000</v>
      </c>
      <c r="I672" s="17">
        <f t="shared" si="2014"/>
        <v>53900000</v>
      </c>
      <c r="J672" s="17">
        <f t="shared" si="2014"/>
        <v>58500000</v>
      </c>
      <c r="K672" s="17">
        <f t="shared" ref="K672:M672" si="2015">roundup((XLOOKUP($D672,$T$3:$T$10,$U$3:$U$10)*XLOOKUP(K$2,$AA$3:$AA$5,$AD$3:$AD$5)-ABS(XLOOKUP($C672,$Q$3:$Q$16,$R$3:$R$16)))*$B672,-5)</f>
        <v>23900000</v>
      </c>
      <c r="L672" s="17">
        <f t="shared" si="2015"/>
        <v>60900000</v>
      </c>
      <c r="M672" s="17">
        <f t="shared" si="2015"/>
        <v>65900000</v>
      </c>
    </row>
    <row r="673">
      <c r="A673" s="14" t="s">
        <v>716</v>
      </c>
      <c r="B673" s="14">
        <v>140.0</v>
      </c>
      <c r="C673" s="15">
        <f t="shared" si="4"/>
        <v>11</v>
      </c>
      <c r="D673" s="14" t="s">
        <v>36</v>
      </c>
      <c r="E673" s="16">
        <f t="shared" ref="E673:G673" si="2016">ROUNDUP((XLOOKUP($D673,$T$3:$T$10,$U$3:$U$10)*XLOOKUP(E$2,$AA$3:$AA$5,$AB$3:$AB$5)-ABS(XLOOKUP($C673,$Q$3:$Q$16,$R$3:$R$16)))*$B673,-5)</f>
        <v>36800000</v>
      </c>
      <c r="F673" s="16">
        <f t="shared" si="2016"/>
        <v>63100000</v>
      </c>
      <c r="G673" s="16">
        <f t="shared" si="2016"/>
        <v>68600000</v>
      </c>
      <c r="H673" s="17">
        <f t="shared" ref="H673:J673" si="2017">roundup((XLOOKUP($D673,$T$3:$T$10,$U$3:$U$10)*XLOOKUP(H$2,$AA$3:$AA$5,$AC$3:$AC$5)-ABS(XLOOKUP($C673,$Q$3:$Q$16,$R$3:$R$16)))*$B673,-5)</f>
        <v>30800000</v>
      </c>
      <c r="I673" s="17">
        <f t="shared" si="2017"/>
        <v>77500000</v>
      </c>
      <c r="J673" s="17">
        <f t="shared" si="2017"/>
        <v>83900000</v>
      </c>
      <c r="K673" s="17">
        <f t="shared" ref="K673:M673" si="2018">roundup((XLOOKUP($D673,$T$3:$T$10,$U$3:$U$10)*XLOOKUP(K$2,$AA$3:$AA$5,$AD$3:$AD$5)-ABS(XLOOKUP($C673,$Q$3:$Q$16,$R$3:$R$16)))*$B673,-5)</f>
        <v>35900000</v>
      </c>
      <c r="L673" s="17">
        <f t="shared" si="2018"/>
        <v>87200000</v>
      </c>
      <c r="M673" s="17">
        <f t="shared" si="2018"/>
        <v>94200000</v>
      </c>
    </row>
    <row r="674">
      <c r="A674" s="14" t="s">
        <v>717</v>
      </c>
      <c r="B674" s="14">
        <v>135.0</v>
      </c>
      <c r="C674" s="15">
        <f t="shared" si="4"/>
        <v>11</v>
      </c>
      <c r="D674" s="14" t="s">
        <v>33</v>
      </c>
      <c r="E674" s="16">
        <f t="shared" ref="E674:G674" si="2019">ROUNDUP((XLOOKUP($D674,$T$3:$T$10,$U$3:$U$10)*XLOOKUP(E$2,$AA$3:$AA$5,$AB$3:$AB$5)-ABS(XLOOKUP($C674,$Q$3:$Q$16,$R$3:$R$16)))*$B674,-5)</f>
        <v>29300000</v>
      </c>
      <c r="F674" s="16">
        <f t="shared" si="2019"/>
        <v>52000000</v>
      </c>
      <c r="G674" s="16">
        <f t="shared" si="2019"/>
        <v>56700000</v>
      </c>
      <c r="H674" s="17">
        <f t="shared" ref="H674:J674" si="2020">roundup((XLOOKUP($D674,$T$3:$T$10,$U$3:$U$10)*XLOOKUP(H$2,$AA$3:$AA$5,$AC$3:$AC$5)-ABS(XLOOKUP($C674,$Q$3:$Q$16,$R$3:$R$16)))*$B674,-5)</f>
        <v>24100000</v>
      </c>
      <c r="I674" s="17">
        <f t="shared" si="2020"/>
        <v>64300000</v>
      </c>
      <c r="J674" s="17">
        <f t="shared" si="2020"/>
        <v>69800000</v>
      </c>
      <c r="K674" s="17">
        <f t="shared" ref="K674:M674" si="2021">roundup((XLOOKUP($D674,$T$3:$T$10,$U$3:$U$10)*XLOOKUP(K$2,$AA$3:$AA$5,$AD$3:$AD$5)-ABS(XLOOKUP($C674,$Q$3:$Q$16,$R$3:$R$16)))*$B674,-5)</f>
        <v>28600000</v>
      </c>
      <c r="L674" s="17">
        <f t="shared" si="2021"/>
        <v>72700000</v>
      </c>
      <c r="M674" s="17">
        <f t="shared" si="2021"/>
        <v>78700000</v>
      </c>
    </row>
    <row r="675">
      <c r="A675" s="14" t="s">
        <v>718</v>
      </c>
      <c r="B675" s="14">
        <v>141.0</v>
      </c>
      <c r="C675" s="15">
        <f t="shared" si="4"/>
        <v>11</v>
      </c>
      <c r="D675" s="14" t="s">
        <v>638</v>
      </c>
      <c r="E675" s="16">
        <f t="shared" ref="E675:G675" si="2022">ROUNDUP((XLOOKUP($D675,$T$3:$T$10,$U$3:$U$10)*XLOOKUP(E$2,$AA$3:$AA$5,$AB$3:$AB$5)-ABS(XLOOKUP($C675,$Q$3:$Q$16,$R$3:$R$16)))*$B675,-5)</f>
        <v>37400000</v>
      </c>
      <c r="F675" s="16">
        <f t="shared" si="2022"/>
        <v>64200000</v>
      </c>
      <c r="G675" s="16">
        <f t="shared" si="2022"/>
        <v>69700000</v>
      </c>
      <c r="H675" s="17">
        <f t="shared" ref="H675:J675" si="2023">roundup((XLOOKUP($D675,$T$3:$T$10,$U$3:$U$10)*XLOOKUP(H$2,$AA$3:$AA$5,$AC$3:$AC$5)-ABS(XLOOKUP($C675,$Q$3:$Q$16,$R$3:$R$16)))*$B675,-5)</f>
        <v>31300000</v>
      </c>
      <c r="I675" s="17">
        <f t="shared" si="2023"/>
        <v>78700000</v>
      </c>
      <c r="J675" s="17">
        <f t="shared" si="2023"/>
        <v>85200000</v>
      </c>
      <c r="K675" s="17">
        <f t="shared" ref="K675:M675" si="2024">roundup((XLOOKUP($D675,$T$3:$T$10,$U$3:$U$10)*XLOOKUP(K$2,$AA$3:$AA$5,$AD$3:$AD$5)-ABS(XLOOKUP($C675,$Q$3:$Q$16,$R$3:$R$16)))*$B675,-5)</f>
        <v>36600000</v>
      </c>
      <c r="L675" s="17">
        <f t="shared" si="2024"/>
        <v>88600000</v>
      </c>
      <c r="M675" s="17">
        <f t="shared" si="2024"/>
        <v>95700000</v>
      </c>
    </row>
    <row r="676">
      <c r="A676" s="14" t="s">
        <v>719</v>
      </c>
      <c r="B676" s="14">
        <v>106.0</v>
      </c>
      <c r="C676" s="15">
        <f t="shared" si="4"/>
        <v>11</v>
      </c>
      <c r="D676" s="14" t="s">
        <v>36</v>
      </c>
      <c r="E676" s="16">
        <f t="shared" ref="E676:G676" si="2025">ROUNDUP((XLOOKUP($D676,$T$3:$T$10,$U$3:$U$10)*XLOOKUP(E$2,$AA$3:$AA$5,$AB$3:$AB$5)-ABS(XLOOKUP($C676,$Q$3:$Q$16,$R$3:$R$16)))*$B676,-5)</f>
        <v>27800000</v>
      </c>
      <c r="F676" s="16">
        <f t="shared" si="2025"/>
        <v>47800000</v>
      </c>
      <c r="G676" s="16">
        <f t="shared" si="2025"/>
        <v>51900000</v>
      </c>
      <c r="H676" s="17">
        <f t="shared" ref="H676:J676" si="2026">roundup((XLOOKUP($D676,$T$3:$T$10,$U$3:$U$10)*XLOOKUP(H$2,$AA$3:$AA$5,$AC$3:$AC$5)-ABS(XLOOKUP($C676,$Q$3:$Q$16,$R$3:$R$16)))*$B676,-5)</f>
        <v>23300000</v>
      </c>
      <c r="I676" s="17">
        <f t="shared" si="2026"/>
        <v>58700000</v>
      </c>
      <c r="J676" s="17">
        <f t="shared" si="2026"/>
        <v>63500000</v>
      </c>
      <c r="K676" s="17">
        <f t="shared" ref="K676:M676" si="2027">roundup((XLOOKUP($D676,$T$3:$T$10,$U$3:$U$10)*XLOOKUP(K$2,$AA$3:$AA$5,$AD$3:$AD$5)-ABS(XLOOKUP($C676,$Q$3:$Q$16,$R$3:$R$16)))*$B676,-5)</f>
        <v>27200000</v>
      </c>
      <c r="L676" s="17">
        <f t="shared" si="2027"/>
        <v>66100000</v>
      </c>
      <c r="M676" s="17">
        <f t="shared" si="2027"/>
        <v>71400000</v>
      </c>
    </row>
    <row r="677">
      <c r="A677" s="14" t="s">
        <v>720</v>
      </c>
      <c r="B677" s="14">
        <v>346.0</v>
      </c>
      <c r="C677" s="15">
        <f t="shared" si="4"/>
        <v>14</v>
      </c>
      <c r="D677" s="14" t="s">
        <v>36</v>
      </c>
      <c r="E677" s="16">
        <f t="shared" ref="E677:G677" si="2028">ROUNDUP((XLOOKUP($D677,$T$3:$T$10,$U$3:$U$10)*XLOOKUP(E$2,$AA$3:$AA$5,$AB$3:$AB$5)-ABS(XLOOKUP($C677,$Q$3:$Q$16,$R$3:$R$16)))*$B677,-5)</f>
        <v>80700000</v>
      </c>
      <c r="F677" s="16">
        <f t="shared" si="2028"/>
        <v>145900000</v>
      </c>
      <c r="G677" s="16">
        <f t="shared" si="2028"/>
        <v>159400000</v>
      </c>
      <c r="H677" s="17">
        <f t="shared" ref="H677:J677" si="2029">roundup((XLOOKUP($D677,$T$3:$T$10,$U$3:$U$10)*XLOOKUP(H$2,$AA$3:$AA$5,$AC$3:$AC$5)-ABS(XLOOKUP($C677,$Q$3:$Q$16,$R$3:$R$16)))*$B677,-5)</f>
        <v>65900000</v>
      </c>
      <c r="I677" s="17">
        <f t="shared" si="2029"/>
        <v>181400000</v>
      </c>
      <c r="J677" s="17">
        <f t="shared" si="2029"/>
        <v>197100000</v>
      </c>
      <c r="K677" s="17">
        <f t="shared" ref="K677:M677" si="2030">roundup((XLOOKUP($D677,$T$3:$T$10,$U$3:$U$10)*XLOOKUP(K$2,$AA$3:$AA$5,$AD$3:$AD$5)-ABS(XLOOKUP($C677,$Q$3:$Q$16,$R$3:$R$16)))*$B677,-5)</f>
        <v>78700000</v>
      </c>
      <c r="L677" s="17">
        <f t="shared" si="2030"/>
        <v>205500000</v>
      </c>
      <c r="M677" s="17">
        <f t="shared" si="2030"/>
        <v>222800000</v>
      </c>
    </row>
    <row r="678">
      <c r="A678" s="14" t="s">
        <v>721</v>
      </c>
      <c r="B678" s="14">
        <v>117.0</v>
      </c>
      <c r="C678" s="15">
        <f t="shared" si="4"/>
        <v>11</v>
      </c>
      <c r="D678" s="14" t="s">
        <v>36</v>
      </c>
      <c r="E678" s="16">
        <f t="shared" ref="E678:G678" si="2031">ROUNDUP((XLOOKUP($D678,$T$3:$T$10,$U$3:$U$10)*XLOOKUP(E$2,$AA$3:$AA$5,$AB$3:$AB$5)-ABS(XLOOKUP($C678,$Q$3:$Q$16,$R$3:$R$16)))*$B678,-5)</f>
        <v>30700000</v>
      </c>
      <c r="F678" s="16">
        <f t="shared" si="2031"/>
        <v>52800000</v>
      </c>
      <c r="G678" s="16">
        <f t="shared" si="2031"/>
        <v>57300000</v>
      </c>
      <c r="H678" s="17">
        <f t="shared" ref="H678:J678" si="2032">roundup((XLOOKUP($D678,$T$3:$T$10,$U$3:$U$10)*XLOOKUP(H$2,$AA$3:$AA$5,$AC$3:$AC$5)-ABS(XLOOKUP($C678,$Q$3:$Q$16,$R$3:$R$16)))*$B678,-5)</f>
        <v>25700000</v>
      </c>
      <c r="I678" s="17">
        <f t="shared" si="2032"/>
        <v>64800000</v>
      </c>
      <c r="J678" s="17">
        <f t="shared" si="2032"/>
        <v>70100000</v>
      </c>
      <c r="K678" s="17">
        <f t="shared" ref="K678:M678" si="2033">roundup((XLOOKUP($D678,$T$3:$T$10,$U$3:$U$10)*XLOOKUP(K$2,$AA$3:$AA$5,$AD$3:$AD$5)-ABS(XLOOKUP($C678,$Q$3:$Q$16,$R$3:$R$16)))*$B678,-5)</f>
        <v>30000000</v>
      </c>
      <c r="L678" s="17">
        <f t="shared" si="2033"/>
        <v>72900000</v>
      </c>
      <c r="M678" s="17">
        <f t="shared" si="2033"/>
        <v>78800000</v>
      </c>
    </row>
    <row r="679">
      <c r="A679" s="14" t="s">
        <v>722</v>
      </c>
      <c r="B679" s="14">
        <v>141.0</v>
      </c>
      <c r="C679" s="15">
        <f t="shared" si="4"/>
        <v>11</v>
      </c>
      <c r="D679" s="14" t="s">
        <v>36</v>
      </c>
      <c r="E679" s="16">
        <f t="shared" ref="E679:G679" si="2034">ROUNDUP((XLOOKUP($D679,$T$3:$T$10,$U$3:$U$10)*XLOOKUP(E$2,$AA$3:$AA$5,$AB$3:$AB$5)-ABS(XLOOKUP($C679,$Q$3:$Q$16,$R$3:$R$16)))*$B679,-5)</f>
        <v>37000000</v>
      </c>
      <c r="F679" s="16">
        <f t="shared" si="2034"/>
        <v>63600000</v>
      </c>
      <c r="G679" s="16">
        <f t="shared" si="2034"/>
        <v>69100000</v>
      </c>
      <c r="H679" s="17">
        <f t="shared" ref="H679:J679" si="2035">roundup((XLOOKUP($D679,$T$3:$T$10,$U$3:$U$10)*XLOOKUP(H$2,$AA$3:$AA$5,$AC$3:$AC$5)-ABS(XLOOKUP($C679,$Q$3:$Q$16,$R$3:$R$16)))*$B679,-5)</f>
        <v>31000000</v>
      </c>
      <c r="I679" s="17">
        <f t="shared" si="2035"/>
        <v>78000000</v>
      </c>
      <c r="J679" s="17">
        <f t="shared" si="2035"/>
        <v>84500000</v>
      </c>
      <c r="K679" s="17">
        <f t="shared" ref="K679:M679" si="2036">roundup((XLOOKUP($D679,$T$3:$T$10,$U$3:$U$10)*XLOOKUP(K$2,$AA$3:$AA$5,$AD$3:$AD$5)-ABS(XLOOKUP($C679,$Q$3:$Q$16,$R$3:$R$16)))*$B679,-5)</f>
        <v>36200000</v>
      </c>
      <c r="L679" s="17">
        <f t="shared" si="2036"/>
        <v>87800000</v>
      </c>
      <c r="M679" s="17">
        <f t="shared" si="2036"/>
        <v>94900000</v>
      </c>
    </row>
    <row r="680">
      <c r="A680" s="14" t="s">
        <v>723</v>
      </c>
      <c r="B680" s="14">
        <v>119.0</v>
      </c>
      <c r="C680" s="15">
        <f t="shared" si="4"/>
        <v>11</v>
      </c>
      <c r="D680" s="14" t="s">
        <v>33</v>
      </c>
      <c r="E680" s="16">
        <f t="shared" ref="E680:G680" si="2037">ROUNDUP((XLOOKUP($D680,$T$3:$T$10,$U$3:$U$10)*XLOOKUP(E$2,$AA$3:$AA$5,$AB$3:$AB$5)-ABS(XLOOKUP($C680,$Q$3:$Q$16,$R$3:$R$16)))*$B680,-5)</f>
        <v>25800000</v>
      </c>
      <c r="F680" s="16">
        <f t="shared" si="2037"/>
        <v>45800000</v>
      </c>
      <c r="G680" s="16">
        <f t="shared" si="2037"/>
        <v>50000000</v>
      </c>
      <c r="H680" s="17">
        <f t="shared" ref="H680:J680" si="2038">roundup((XLOOKUP($D680,$T$3:$T$10,$U$3:$U$10)*XLOOKUP(H$2,$AA$3:$AA$5,$AC$3:$AC$5)-ABS(XLOOKUP($C680,$Q$3:$Q$16,$R$3:$R$16)))*$B680,-5)</f>
        <v>21300000</v>
      </c>
      <c r="I680" s="17">
        <f t="shared" si="2038"/>
        <v>56700000</v>
      </c>
      <c r="J680" s="17">
        <f t="shared" si="2038"/>
        <v>61600000</v>
      </c>
      <c r="K680" s="17">
        <f t="shared" ref="K680:M680" si="2039">roundup((XLOOKUP($D680,$T$3:$T$10,$U$3:$U$10)*XLOOKUP(K$2,$AA$3:$AA$5,$AD$3:$AD$5)-ABS(XLOOKUP($C680,$Q$3:$Q$16,$R$3:$R$16)))*$B680,-5)</f>
        <v>25200000</v>
      </c>
      <c r="L680" s="17">
        <f t="shared" si="2039"/>
        <v>64100000</v>
      </c>
      <c r="M680" s="17">
        <f t="shared" si="2039"/>
        <v>69400000</v>
      </c>
    </row>
    <row r="681">
      <c r="A681" s="14" t="s">
        <v>724</v>
      </c>
      <c r="B681" s="14">
        <v>142.0</v>
      </c>
      <c r="C681" s="15">
        <f t="shared" si="4"/>
        <v>11</v>
      </c>
      <c r="D681" s="14" t="s">
        <v>33</v>
      </c>
      <c r="E681" s="16">
        <f t="shared" ref="E681:G681" si="2040">ROUNDUP((XLOOKUP($D681,$T$3:$T$10,$U$3:$U$10)*XLOOKUP(E$2,$AA$3:$AA$5,$AB$3:$AB$5)-ABS(XLOOKUP($C681,$Q$3:$Q$16,$R$3:$R$16)))*$B681,-5)</f>
        <v>30800000</v>
      </c>
      <c r="F681" s="16">
        <f t="shared" si="2040"/>
        <v>54700000</v>
      </c>
      <c r="G681" s="16">
        <f t="shared" si="2040"/>
        <v>59600000</v>
      </c>
      <c r="H681" s="17">
        <f t="shared" ref="H681:J681" si="2041">roundup((XLOOKUP($D681,$T$3:$T$10,$U$3:$U$10)*XLOOKUP(H$2,$AA$3:$AA$5,$AC$3:$AC$5)-ABS(XLOOKUP($C681,$Q$3:$Q$16,$R$3:$R$16)))*$B681,-5)</f>
        <v>25400000</v>
      </c>
      <c r="I681" s="17">
        <f t="shared" si="2041"/>
        <v>67700000</v>
      </c>
      <c r="J681" s="17">
        <f t="shared" si="2041"/>
        <v>73400000</v>
      </c>
      <c r="K681" s="17">
        <f t="shared" ref="K681:M681" si="2042">roundup((XLOOKUP($D681,$T$3:$T$10,$U$3:$U$10)*XLOOKUP(K$2,$AA$3:$AA$5,$AD$3:$AD$5)-ABS(XLOOKUP($C681,$Q$3:$Q$16,$R$3:$R$16)))*$B681,-5)</f>
        <v>30100000</v>
      </c>
      <c r="L681" s="17">
        <f t="shared" si="2042"/>
        <v>76500000</v>
      </c>
      <c r="M681" s="17">
        <f t="shared" si="2042"/>
        <v>82800000</v>
      </c>
    </row>
    <row r="682">
      <c r="A682" s="14" t="s">
        <v>725</v>
      </c>
      <c r="B682" s="14">
        <v>88.0</v>
      </c>
      <c r="C682" s="15">
        <f t="shared" si="4"/>
        <v>11</v>
      </c>
      <c r="D682" s="14" t="s">
        <v>33</v>
      </c>
      <c r="E682" s="16">
        <f t="shared" ref="E682:G682" si="2043">ROUNDUP((XLOOKUP($D682,$T$3:$T$10,$U$3:$U$10)*XLOOKUP(E$2,$AA$3:$AA$5,$AB$3:$AB$5)-ABS(XLOOKUP($C682,$Q$3:$Q$16,$R$3:$R$16)))*$B682,-5)</f>
        <v>19100000</v>
      </c>
      <c r="F682" s="16">
        <f t="shared" si="2043"/>
        <v>33900000</v>
      </c>
      <c r="G682" s="16">
        <f t="shared" si="2043"/>
        <v>37000000</v>
      </c>
      <c r="H682" s="17">
        <f t="shared" ref="H682:J682" si="2044">roundup((XLOOKUP($D682,$T$3:$T$10,$U$3:$U$10)*XLOOKUP(H$2,$AA$3:$AA$5,$AC$3:$AC$5)-ABS(XLOOKUP($C682,$Q$3:$Q$16,$R$3:$R$16)))*$B682,-5)</f>
        <v>15800000</v>
      </c>
      <c r="I682" s="17">
        <f t="shared" si="2044"/>
        <v>42000000</v>
      </c>
      <c r="J682" s="17">
        <f t="shared" si="2044"/>
        <v>45500000</v>
      </c>
      <c r="K682" s="17">
        <f t="shared" ref="K682:M682" si="2045">roundup((XLOOKUP($D682,$T$3:$T$10,$U$3:$U$10)*XLOOKUP(K$2,$AA$3:$AA$5,$AD$3:$AD$5)-ABS(XLOOKUP($C682,$Q$3:$Q$16,$R$3:$R$16)))*$B682,-5)</f>
        <v>18700000</v>
      </c>
      <c r="L682" s="17">
        <f t="shared" si="2045"/>
        <v>47400000</v>
      </c>
      <c r="M682" s="17">
        <f t="shared" si="2045"/>
        <v>51300000</v>
      </c>
    </row>
    <row r="683">
      <c r="A683" s="14" t="s">
        <v>726</v>
      </c>
      <c r="B683" s="14">
        <v>125.0</v>
      </c>
      <c r="C683" s="15">
        <f t="shared" si="4"/>
        <v>11</v>
      </c>
      <c r="D683" s="14" t="s">
        <v>33</v>
      </c>
      <c r="E683" s="16">
        <f t="shared" ref="E683:G683" si="2046">ROUNDUP((XLOOKUP($D683,$T$3:$T$10,$U$3:$U$10)*XLOOKUP(E$2,$AA$3:$AA$5,$AB$3:$AB$5)-ABS(XLOOKUP($C683,$Q$3:$Q$16,$R$3:$R$16)))*$B683,-5)</f>
        <v>27100000</v>
      </c>
      <c r="F683" s="16">
        <f t="shared" si="2046"/>
        <v>48100000</v>
      </c>
      <c r="G683" s="16">
        <f t="shared" si="2046"/>
        <v>52500000</v>
      </c>
      <c r="H683" s="17">
        <f t="shared" ref="H683:J683" si="2047">roundup((XLOOKUP($D683,$T$3:$T$10,$U$3:$U$10)*XLOOKUP(H$2,$AA$3:$AA$5,$AC$3:$AC$5)-ABS(XLOOKUP($C683,$Q$3:$Q$16,$R$3:$R$16)))*$B683,-5)</f>
        <v>22400000</v>
      </c>
      <c r="I683" s="17">
        <f t="shared" si="2047"/>
        <v>59600000</v>
      </c>
      <c r="J683" s="17">
        <f t="shared" si="2047"/>
        <v>64700000</v>
      </c>
      <c r="K683" s="17">
        <f t="shared" ref="K683:M683" si="2048">roundup((XLOOKUP($D683,$T$3:$T$10,$U$3:$U$10)*XLOOKUP(K$2,$AA$3:$AA$5,$AD$3:$AD$5)-ABS(XLOOKUP($C683,$Q$3:$Q$16,$R$3:$R$16)))*$B683,-5)</f>
        <v>26500000</v>
      </c>
      <c r="L683" s="17">
        <f t="shared" si="2048"/>
        <v>67300000</v>
      </c>
      <c r="M683" s="17">
        <f t="shared" si="2048"/>
        <v>72900000</v>
      </c>
    </row>
    <row r="684">
      <c r="A684" s="14" t="s">
        <v>727</v>
      </c>
      <c r="B684" s="14">
        <v>153.0</v>
      </c>
      <c r="C684" s="15">
        <f t="shared" si="4"/>
        <v>11</v>
      </c>
      <c r="D684" s="14" t="s">
        <v>33</v>
      </c>
      <c r="E684" s="16">
        <f t="shared" ref="E684:G684" si="2049">ROUNDUP((XLOOKUP($D684,$T$3:$T$10,$U$3:$U$10)*XLOOKUP(E$2,$AA$3:$AA$5,$AB$3:$AB$5)-ABS(XLOOKUP($C684,$Q$3:$Q$16,$R$3:$R$16)))*$B684,-5)</f>
        <v>33200000</v>
      </c>
      <c r="F684" s="16">
        <f t="shared" si="2049"/>
        <v>58900000</v>
      </c>
      <c r="G684" s="16">
        <f t="shared" si="2049"/>
        <v>64200000</v>
      </c>
      <c r="H684" s="17">
        <f t="shared" ref="H684:J684" si="2050">roundup((XLOOKUP($D684,$T$3:$T$10,$U$3:$U$10)*XLOOKUP(H$2,$AA$3:$AA$5,$AC$3:$AC$5)-ABS(XLOOKUP($C684,$Q$3:$Q$16,$R$3:$R$16)))*$B684,-5)</f>
        <v>27300000</v>
      </c>
      <c r="I684" s="17">
        <f t="shared" si="2050"/>
        <v>72900000</v>
      </c>
      <c r="J684" s="17">
        <f t="shared" si="2050"/>
        <v>79100000</v>
      </c>
      <c r="K684" s="17">
        <f t="shared" ref="K684:M684" si="2051">roundup((XLOOKUP($D684,$T$3:$T$10,$U$3:$U$10)*XLOOKUP(K$2,$AA$3:$AA$5,$AD$3:$AD$5)-ABS(XLOOKUP($C684,$Q$3:$Q$16,$R$3:$R$16)))*$B684,-5)</f>
        <v>32400000</v>
      </c>
      <c r="L684" s="17">
        <f t="shared" si="2051"/>
        <v>82400000</v>
      </c>
      <c r="M684" s="17">
        <f t="shared" si="2051"/>
        <v>89200000</v>
      </c>
    </row>
    <row r="685">
      <c r="A685" s="14" t="s">
        <v>728</v>
      </c>
      <c r="B685" s="14">
        <v>123.0</v>
      </c>
      <c r="C685" s="15">
        <f t="shared" si="4"/>
        <v>11</v>
      </c>
      <c r="D685" s="14" t="s">
        <v>33</v>
      </c>
      <c r="E685" s="16">
        <f t="shared" ref="E685:G685" si="2052">ROUNDUP((XLOOKUP($D685,$T$3:$T$10,$U$3:$U$10)*XLOOKUP(E$2,$AA$3:$AA$5,$AB$3:$AB$5)-ABS(XLOOKUP($C685,$Q$3:$Q$16,$R$3:$R$16)))*$B685,-5)</f>
        <v>26700000</v>
      </c>
      <c r="F685" s="16">
        <f t="shared" si="2052"/>
        <v>47400000</v>
      </c>
      <c r="G685" s="16">
        <f t="shared" si="2052"/>
        <v>51600000</v>
      </c>
      <c r="H685" s="17">
        <f t="shared" ref="H685:J685" si="2053">roundup((XLOOKUP($D685,$T$3:$T$10,$U$3:$U$10)*XLOOKUP(H$2,$AA$3:$AA$5,$AC$3:$AC$5)-ABS(XLOOKUP($C685,$Q$3:$Q$16,$R$3:$R$16)))*$B685,-5)</f>
        <v>22000000</v>
      </c>
      <c r="I685" s="17">
        <f t="shared" si="2053"/>
        <v>58600000</v>
      </c>
      <c r="J685" s="17">
        <f t="shared" si="2053"/>
        <v>63600000</v>
      </c>
      <c r="K685" s="17">
        <f t="shared" ref="K685:M685" si="2054">roundup((XLOOKUP($D685,$T$3:$T$10,$U$3:$U$10)*XLOOKUP(K$2,$AA$3:$AA$5,$AD$3:$AD$5)-ABS(XLOOKUP($C685,$Q$3:$Q$16,$R$3:$R$16)))*$B685,-5)</f>
        <v>26100000</v>
      </c>
      <c r="L685" s="17">
        <f t="shared" si="2054"/>
        <v>66300000</v>
      </c>
      <c r="M685" s="17">
        <f t="shared" si="2054"/>
        <v>71700000</v>
      </c>
    </row>
    <row r="686">
      <c r="A686" s="14" t="s">
        <v>729</v>
      </c>
      <c r="B686" s="14">
        <v>128.0</v>
      </c>
      <c r="C686" s="15">
        <f t="shared" si="4"/>
        <v>11</v>
      </c>
      <c r="D686" s="14" t="s">
        <v>33</v>
      </c>
      <c r="E686" s="16">
        <f t="shared" ref="E686:G686" si="2055">ROUNDUP((XLOOKUP($D686,$T$3:$T$10,$U$3:$U$10)*XLOOKUP(E$2,$AA$3:$AA$5,$AB$3:$AB$5)-ABS(XLOOKUP($C686,$Q$3:$Q$16,$R$3:$R$16)))*$B686,-5)</f>
        <v>27800000</v>
      </c>
      <c r="F686" s="16">
        <f t="shared" si="2055"/>
        <v>49300000</v>
      </c>
      <c r="G686" s="16">
        <f t="shared" si="2055"/>
        <v>53700000</v>
      </c>
      <c r="H686" s="17">
        <f t="shared" ref="H686:J686" si="2056">roundup((XLOOKUP($D686,$T$3:$T$10,$U$3:$U$10)*XLOOKUP(H$2,$AA$3:$AA$5,$AC$3:$AC$5)-ABS(XLOOKUP($C686,$Q$3:$Q$16,$R$3:$R$16)))*$B686,-5)</f>
        <v>22900000</v>
      </c>
      <c r="I686" s="17">
        <f t="shared" si="2056"/>
        <v>61000000</v>
      </c>
      <c r="J686" s="17">
        <f t="shared" si="2056"/>
        <v>66200000</v>
      </c>
      <c r="K686" s="17">
        <f t="shared" ref="K686:M686" si="2057">roundup((XLOOKUP($D686,$T$3:$T$10,$U$3:$U$10)*XLOOKUP(K$2,$AA$3:$AA$5,$AD$3:$AD$5)-ABS(XLOOKUP($C686,$Q$3:$Q$16,$R$3:$R$16)))*$B686,-5)</f>
        <v>27100000</v>
      </c>
      <c r="L686" s="17">
        <f t="shared" si="2057"/>
        <v>69000000</v>
      </c>
      <c r="M686" s="17">
        <f t="shared" si="2057"/>
        <v>74700000</v>
      </c>
    </row>
    <row r="687">
      <c r="A687" s="14" t="s">
        <v>730</v>
      </c>
      <c r="B687" s="14">
        <v>174.0</v>
      </c>
      <c r="C687" s="15">
        <f t="shared" si="4"/>
        <v>12</v>
      </c>
      <c r="D687" s="14" t="s">
        <v>36</v>
      </c>
      <c r="E687" s="16">
        <f t="shared" ref="E687:G687" si="2058">ROUNDUP((XLOOKUP($D687,$T$3:$T$10,$U$3:$U$10)*XLOOKUP(E$2,$AA$3:$AA$5,$AB$3:$AB$5)-ABS(XLOOKUP($C687,$Q$3:$Q$16,$R$3:$R$16)))*$B687,-5)</f>
        <v>44800000</v>
      </c>
      <c r="F687" s="16">
        <f t="shared" si="2058"/>
        <v>77600000</v>
      </c>
      <c r="G687" s="16">
        <f t="shared" si="2058"/>
        <v>84400000</v>
      </c>
      <c r="H687" s="17">
        <f t="shared" ref="H687:J687" si="2059">roundup((XLOOKUP($D687,$T$3:$T$10,$U$3:$U$10)*XLOOKUP(H$2,$AA$3:$AA$5,$AC$3:$AC$5)-ABS(XLOOKUP($C687,$Q$3:$Q$16,$R$3:$R$16)))*$B687,-5)</f>
        <v>37300000</v>
      </c>
      <c r="I687" s="17">
        <f t="shared" si="2059"/>
        <v>95400000</v>
      </c>
      <c r="J687" s="17">
        <f t="shared" si="2059"/>
        <v>103300000</v>
      </c>
      <c r="K687" s="17">
        <f t="shared" ref="K687:M687" si="2060">roundup((XLOOKUP($D687,$T$3:$T$10,$U$3:$U$10)*XLOOKUP(K$2,$AA$3:$AA$5,$AD$3:$AD$5)-ABS(XLOOKUP($C687,$Q$3:$Q$16,$R$3:$R$16)))*$B687,-5)</f>
        <v>43800000</v>
      </c>
      <c r="L687" s="17">
        <f t="shared" si="2060"/>
        <v>107500000</v>
      </c>
      <c r="M687" s="17">
        <f t="shared" si="2060"/>
        <v>116200000</v>
      </c>
    </row>
    <row r="688">
      <c r="A688" s="14" t="s">
        <v>731</v>
      </c>
      <c r="B688" s="14">
        <v>122.0</v>
      </c>
      <c r="C688" s="15">
        <f t="shared" si="4"/>
        <v>11</v>
      </c>
      <c r="D688" s="14" t="s">
        <v>33</v>
      </c>
      <c r="E688" s="16">
        <f t="shared" ref="E688:G688" si="2061">ROUNDUP((XLOOKUP($D688,$T$3:$T$10,$U$3:$U$10)*XLOOKUP(E$2,$AA$3:$AA$5,$AB$3:$AB$5)-ABS(XLOOKUP($C688,$Q$3:$Q$16,$R$3:$R$16)))*$B688,-5)</f>
        <v>26500000</v>
      </c>
      <c r="F688" s="16">
        <f t="shared" si="2061"/>
        <v>47000000</v>
      </c>
      <c r="G688" s="16">
        <f t="shared" si="2061"/>
        <v>51200000</v>
      </c>
      <c r="H688" s="17">
        <f t="shared" ref="H688:J688" si="2062">roundup((XLOOKUP($D688,$T$3:$T$10,$U$3:$U$10)*XLOOKUP(H$2,$AA$3:$AA$5,$AC$3:$AC$5)-ABS(XLOOKUP($C688,$Q$3:$Q$16,$R$3:$R$16)))*$B688,-5)</f>
        <v>21800000</v>
      </c>
      <c r="I688" s="17">
        <f t="shared" si="2062"/>
        <v>58200000</v>
      </c>
      <c r="J688" s="17">
        <f t="shared" si="2062"/>
        <v>63100000</v>
      </c>
      <c r="K688" s="17">
        <f t="shared" ref="K688:M688" si="2063">roundup((XLOOKUP($D688,$T$3:$T$10,$U$3:$U$10)*XLOOKUP(K$2,$AA$3:$AA$5,$AD$3:$AD$5)-ABS(XLOOKUP($C688,$Q$3:$Q$16,$R$3:$R$16)))*$B688,-5)</f>
        <v>25800000</v>
      </c>
      <c r="L688" s="17">
        <f t="shared" si="2063"/>
        <v>65700000</v>
      </c>
      <c r="M688" s="17">
        <f t="shared" si="2063"/>
        <v>71200000</v>
      </c>
    </row>
    <row r="689">
      <c r="A689" s="14" t="s">
        <v>732</v>
      </c>
      <c r="B689" s="14">
        <v>112.0</v>
      </c>
      <c r="C689" s="15">
        <f t="shared" si="4"/>
        <v>11</v>
      </c>
      <c r="D689" s="14" t="s">
        <v>36</v>
      </c>
      <c r="E689" s="16">
        <f t="shared" ref="E689:G689" si="2064">ROUNDUP((XLOOKUP($D689,$T$3:$T$10,$U$3:$U$10)*XLOOKUP(E$2,$AA$3:$AA$5,$AB$3:$AB$5)-ABS(XLOOKUP($C689,$Q$3:$Q$16,$R$3:$R$16)))*$B689,-5)</f>
        <v>29400000</v>
      </c>
      <c r="F689" s="16">
        <f t="shared" si="2064"/>
        <v>50500000</v>
      </c>
      <c r="G689" s="16">
        <f t="shared" si="2064"/>
        <v>54900000</v>
      </c>
      <c r="H689" s="17">
        <f t="shared" ref="H689:J689" si="2065">roundup((XLOOKUP($D689,$T$3:$T$10,$U$3:$U$10)*XLOOKUP(H$2,$AA$3:$AA$5,$AC$3:$AC$5)-ABS(XLOOKUP($C689,$Q$3:$Q$16,$R$3:$R$16)))*$B689,-5)</f>
        <v>24600000</v>
      </c>
      <c r="I689" s="17">
        <f t="shared" si="2065"/>
        <v>62000000</v>
      </c>
      <c r="J689" s="17">
        <f t="shared" si="2065"/>
        <v>67100000</v>
      </c>
      <c r="K689" s="17">
        <f t="shared" ref="K689:M689" si="2066">roundup((XLOOKUP($D689,$T$3:$T$10,$U$3:$U$10)*XLOOKUP(K$2,$AA$3:$AA$5,$AD$3:$AD$5)-ABS(XLOOKUP($C689,$Q$3:$Q$16,$R$3:$R$16)))*$B689,-5)</f>
        <v>28800000</v>
      </c>
      <c r="L689" s="17">
        <f t="shared" si="2066"/>
        <v>69800000</v>
      </c>
      <c r="M689" s="17">
        <f t="shared" si="2066"/>
        <v>75400000</v>
      </c>
    </row>
    <row r="690">
      <c r="A690" s="14" t="s">
        <v>733</v>
      </c>
      <c r="B690" s="14">
        <v>101.0</v>
      </c>
      <c r="C690" s="15">
        <f t="shared" si="4"/>
        <v>11</v>
      </c>
      <c r="D690" s="14" t="s">
        <v>36</v>
      </c>
      <c r="E690" s="16">
        <f t="shared" ref="E690:G690" si="2067">ROUNDUP((XLOOKUP($D690,$T$3:$T$10,$U$3:$U$10)*XLOOKUP(E$2,$AA$3:$AA$5,$AB$3:$AB$5)-ABS(XLOOKUP($C690,$Q$3:$Q$16,$R$3:$R$16)))*$B690,-5)</f>
        <v>26500000</v>
      </c>
      <c r="F690" s="16">
        <f t="shared" si="2067"/>
        <v>45600000</v>
      </c>
      <c r="G690" s="16">
        <f t="shared" si="2067"/>
        <v>49500000</v>
      </c>
      <c r="H690" s="17">
        <f t="shared" ref="H690:J690" si="2068">roundup((XLOOKUP($D690,$T$3:$T$10,$U$3:$U$10)*XLOOKUP(H$2,$AA$3:$AA$5,$AC$3:$AC$5)-ABS(XLOOKUP($C690,$Q$3:$Q$16,$R$3:$R$16)))*$B690,-5)</f>
        <v>22200000</v>
      </c>
      <c r="I690" s="17">
        <f t="shared" si="2068"/>
        <v>55900000</v>
      </c>
      <c r="J690" s="17">
        <f t="shared" si="2068"/>
        <v>60500000</v>
      </c>
      <c r="K690" s="17">
        <f t="shared" ref="K690:M690" si="2069">roundup((XLOOKUP($D690,$T$3:$T$10,$U$3:$U$10)*XLOOKUP(K$2,$AA$3:$AA$5,$AD$3:$AD$5)-ABS(XLOOKUP($C690,$Q$3:$Q$16,$R$3:$R$16)))*$B690,-5)</f>
        <v>25900000</v>
      </c>
      <c r="L690" s="17">
        <f t="shared" si="2069"/>
        <v>62900000</v>
      </c>
      <c r="M690" s="17">
        <f t="shared" si="2069"/>
        <v>68000000</v>
      </c>
    </row>
    <row r="691">
      <c r="A691" s="14" t="s">
        <v>734</v>
      </c>
      <c r="B691" s="14">
        <v>116.0</v>
      </c>
      <c r="C691" s="15">
        <f t="shared" si="4"/>
        <v>11</v>
      </c>
      <c r="D691" s="14" t="s">
        <v>36</v>
      </c>
      <c r="E691" s="16">
        <f t="shared" ref="E691:G691" si="2070">ROUNDUP((XLOOKUP($D691,$T$3:$T$10,$U$3:$U$10)*XLOOKUP(E$2,$AA$3:$AA$5,$AB$3:$AB$5)-ABS(XLOOKUP($C691,$Q$3:$Q$16,$R$3:$R$16)))*$B691,-5)</f>
        <v>30500000</v>
      </c>
      <c r="F691" s="16">
        <f t="shared" si="2070"/>
        <v>52300000</v>
      </c>
      <c r="G691" s="16">
        <f t="shared" si="2070"/>
        <v>56800000</v>
      </c>
      <c r="H691" s="17">
        <f t="shared" ref="H691:J691" si="2071">roundup((XLOOKUP($D691,$T$3:$T$10,$U$3:$U$10)*XLOOKUP(H$2,$AA$3:$AA$5,$AC$3:$AC$5)-ABS(XLOOKUP($C691,$Q$3:$Q$16,$R$3:$R$16)))*$B691,-5)</f>
        <v>25500000</v>
      </c>
      <c r="I691" s="17">
        <f t="shared" si="2071"/>
        <v>64200000</v>
      </c>
      <c r="J691" s="17">
        <f t="shared" si="2071"/>
        <v>69500000</v>
      </c>
      <c r="K691" s="17">
        <f t="shared" ref="K691:M691" si="2072">roundup((XLOOKUP($D691,$T$3:$T$10,$U$3:$U$10)*XLOOKUP(K$2,$AA$3:$AA$5,$AD$3:$AD$5)-ABS(XLOOKUP($C691,$Q$3:$Q$16,$R$3:$R$16)))*$B691,-5)</f>
        <v>29800000</v>
      </c>
      <c r="L691" s="17">
        <f t="shared" si="2072"/>
        <v>72300000</v>
      </c>
      <c r="M691" s="17">
        <f t="shared" si="2072"/>
        <v>78100000</v>
      </c>
    </row>
    <row r="692">
      <c r="A692" s="14" t="s">
        <v>735</v>
      </c>
      <c r="B692" s="14">
        <v>166.0</v>
      </c>
      <c r="C692" s="15">
        <f t="shared" si="4"/>
        <v>12</v>
      </c>
      <c r="D692" s="14" t="s">
        <v>33</v>
      </c>
      <c r="E692" s="16">
        <f t="shared" ref="E692:G692" si="2073">ROUNDUP((XLOOKUP($D692,$T$3:$T$10,$U$3:$U$10)*XLOOKUP(E$2,$AA$3:$AA$5,$AB$3:$AB$5)-ABS(XLOOKUP($C692,$Q$3:$Q$16,$R$3:$R$16)))*$B692,-5)</f>
        <v>35200000</v>
      </c>
      <c r="F692" s="16">
        <f t="shared" si="2073"/>
        <v>63100000</v>
      </c>
      <c r="G692" s="16">
        <f t="shared" si="2073"/>
        <v>68900000</v>
      </c>
      <c r="H692" s="17">
        <f t="shared" ref="H692:J692" si="2074">roundup((XLOOKUP($D692,$T$3:$T$10,$U$3:$U$10)*XLOOKUP(H$2,$AA$3:$AA$5,$AC$3:$AC$5)-ABS(XLOOKUP($C692,$Q$3:$Q$16,$R$3:$R$16)))*$B692,-5)</f>
        <v>28800000</v>
      </c>
      <c r="I692" s="17">
        <f t="shared" si="2074"/>
        <v>78300000</v>
      </c>
      <c r="J692" s="17">
        <f t="shared" si="2074"/>
        <v>85000000</v>
      </c>
      <c r="K692" s="17">
        <f t="shared" ref="K692:M692" si="2075">roundup((XLOOKUP($D692,$T$3:$T$10,$U$3:$U$10)*XLOOKUP(K$2,$AA$3:$AA$5,$AD$3:$AD$5)-ABS(XLOOKUP($C692,$Q$3:$Q$16,$R$3:$R$16)))*$B692,-5)</f>
        <v>34300000</v>
      </c>
      <c r="L692" s="17">
        <f t="shared" si="2075"/>
        <v>88600000</v>
      </c>
      <c r="M692" s="17">
        <f t="shared" si="2075"/>
        <v>96000000</v>
      </c>
    </row>
    <row r="693">
      <c r="A693" s="14" t="s">
        <v>736</v>
      </c>
      <c r="B693" s="14">
        <v>28.0</v>
      </c>
      <c r="C693" s="15">
        <f t="shared" si="4"/>
        <v>1</v>
      </c>
      <c r="D693" s="14" t="s">
        <v>36</v>
      </c>
      <c r="E693" s="16">
        <f t="shared" ref="E693:G693" si="2076">ROUNDUP((XLOOKUP($D693,$T$3:$T$10,$U$3:$U$10)*XLOOKUP(E$2,$AA$3:$AA$5,$AB$3:$AB$5)-ABS(XLOOKUP($C693,$Q$3:$Q$16,$R$3:$R$16)))*$B693,-5)</f>
        <v>11900000</v>
      </c>
      <c r="F693" s="16">
        <f t="shared" si="2076"/>
        <v>17100000</v>
      </c>
      <c r="G693" s="16">
        <f t="shared" si="2076"/>
        <v>18200000</v>
      </c>
      <c r="H693" s="17">
        <f t="shared" ref="H693:J693" si="2077">roundup((XLOOKUP($D693,$T$3:$T$10,$U$3:$U$10)*XLOOKUP(H$2,$AA$3:$AA$5,$AC$3:$AC$5)-ABS(XLOOKUP($C693,$Q$3:$Q$16,$R$3:$R$16)))*$B693,-5)</f>
        <v>10700000</v>
      </c>
      <c r="I693" s="17">
        <f t="shared" si="2077"/>
        <v>20000000</v>
      </c>
      <c r="J693" s="17">
        <f t="shared" si="2077"/>
        <v>21300000</v>
      </c>
      <c r="K693" s="17">
        <f t="shared" ref="K693:M693" si="2078">roundup((XLOOKUP($D693,$T$3:$T$10,$U$3:$U$10)*XLOOKUP(K$2,$AA$3:$AA$5,$AD$3:$AD$5)-ABS(XLOOKUP($C693,$Q$3:$Q$16,$R$3:$R$16)))*$B693,-5)</f>
        <v>11700000</v>
      </c>
      <c r="L693" s="17">
        <f t="shared" si="2078"/>
        <v>22000000</v>
      </c>
      <c r="M693" s="17">
        <f t="shared" si="2078"/>
        <v>23400000</v>
      </c>
    </row>
    <row r="694">
      <c r="A694" s="14" t="s">
        <v>737</v>
      </c>
      <c r="B694" s="14">
        <v>71.0</v>
      </c>
      <c r="C694" s="15">
        <f t="shared" si="4"/>
        <v>9</v>
      </c>
      <c r="D694" s="14" t="s">
        <v>36</v>
      </c>
      <c r="E694" s="16">
        <f t="shared" ref="E694:G694" si="2079">ROUNDUP((XLOOKUP($D694,$T$3:$T$10,$U$3:$U$10)*XLOOKUP(E$2,$AA$3:$AA$5,$AB$3:$AB$5)-ABS(XLOOKUP($C694,$Q$3:$Q$16,$R$3:$R$16)))*$B694,-5)</f>
        <v>25100000</v>
      </c>
      <c r="F694" s="16">
        <f t="shared" si="2079"/>
        <v>38500000</v>
      </c>
      <c r="G694" s="16">
        <f t="shared" si="2079"/>
        <v>41300000</v>
      </c>
      <c r="H694" s="17">
        <f t="shared" ref="H694:J694" si="2080">roundup((XLOOKUP($D694,$T$3:$T$10,$U$3:$U$10)*XLOOKUP(H$2,$AA$3:$AA$5,$AC$3:$AC$5)-ABS(XLOOKUP($C694,$Q$3:$Q$16,$R$3:$R$16)))*$B694,-5)</f>
        <v>22100000</v>
      </c>
      <c r="I694" s="17">
        <f t="shared" si="2080"/>
        <v>45800000</v>
      </c>
      <c r="J694" s="17">
        <f t="shared" si="2080"/>
        <v>49000000</v>
      </c>
      <c r="K694" s="17">
        <f t="shared" ref="K694:M694" si="2081">roundup((XLOOKUP($D694,$T$3:$T$10,$U$3:$U$10)*XLOOKUP(K$2,$AA$3:$AA$5,$AD$3:$AD$5)-ABS(XLOOKUP($C694,$Q$3:$Q$16,$R$3:$R$16)))*$B694,-5)</f>
        <v>24700000</v>
      </c>
      <c r="L694" s="17">
        <f t="shared" si="2081"/>
        <v>50700000</v>
      </c>
      <c r="M694" s="17">
        <f t="shared" si="2081"/>
        <v>54300000</v>
      </c>
    </row>
    <row r="695">
      <c r="A695" s="14" t="s">
        <v>738</v>
      </c>
      <c r="B695" s="14">
        <v>107.0</v>
      </c>
      <c r="C695" s="15">
        <f t="shared" si="4"/>
        <v>11</v>
      </c>
      <c r="D695" s="14" t="s">
        <v>33</v>
      </c>
      <c r="E695" s="16">
        <f t="shared" ref="E695:G695" si="2082">ROUNDUP((XLOOKUP($D695,$T$3:$T$10,$U$3:$U$10)*XLOOKUP(E$2,$AA$3:$AA$5,$AB$3:$AB$5)-ABS(XLOOKUP($C695,$Q$3:$Q$16,$R$3:$R$16)))*$B695,-5)</f>
        <v>23200000</v>
      </c>
      <c r="F695" s="16">
        <f t="shared" si="2082"/>
        <v>41200000</v>
      </c>
      <c r="G695" s="16">
        <f t="shared" si="2082"/>
        <v>44900000</v>
      </c>
      <c r="H695" s="17">
        <f t="shared" ref="H695:J695" si="2083">roundup((XLOOKUP($D695,$T$3:$T$10,$U$3:$U$10)*XLOOKUP(H$2,$AA$3:$AA$5,$AC$3:$AC$5)-ABS(XLOOKUP($C695,$Q$3:$Q$16,$R$3:$R$16)))*$B695,-5)</f>
        <v>19100000</v>
      </c>
      <c r="I695" s="17">
        <f t="shared" si="2083"/>
        <v>51000000</v>
      </c>
      <c r="J695" s="17">
        <f t="shared" si="2083"/>
        <v>55400000</v>
      </c>
      <c r="K695" s="17">
        <f t="shared" ref="K695:M695" si="2084">roundup((XLOOKUP($D695,$T$3:$T$10,$U$3:$U$10)*XLOOKUP(K$2,$AA$3:$AA$5,$AD$3:$AD$5)-ABS(XLOOKUP($C695,$Q$3:$Q$16,$R$3:$R$16)))*$B695,-5)</f>
        <v>22700000</v>
      </c>
      <c r="L695" s="17">
        <f t="shared" si="2084"/>
        <v>57600000</v>
      </c>
      <c r="M695" s="17">
        <f t="shared" si="2084"/>
        <v>62400000</v>
      </c>
    </row>
    <row r="696">
      <c r="A696" s="14" t="s">
        <v>739</v>
      </c>
      <c r="B696" s="14">
        <v>157.0</v>
      </c>
      <c r="C696" s="15">
        <f t="shared" si="4"/>
        <v>11</v>
      </c>
      <c r="D696" s="14" t="s">
        <v>33</v>
      </c>
      <c r="E696" s="16">
        <f t="shared" ref="E696:G696" si="2085">ROUNDUP((XLOOKUP($D696,$T$3:$T$10,$U$3:$U$10)*XLOOKUP(E$2,$AA$3:$AA$5,$AB$3:$AB$5)-ABS(XLOOKUP($C696,$Q$3:$Q$16,$R$3:$R$16)))*$B696,-5)</f>
        <v>34100000</v>
      </c>
      <c r="F696" s="16">
        <f t="shared" si="2085"/>
        <v>60500000</v>
      </c>
      <c r="G696" s="16">
        <f t="shared" si="2085"/>
        <v>65900000</v>
      </c>
      <c r="H696" s="17">
        <f t="shared" ref="H696:J696" si="2086">roundup((XLOOKUP($D696,$T$3:$T$10,$U$3:$U$10)*XLOOKUP(H$2,$AA$3:$AA$5,$AC$3:$AC$5)-ABS(XLOOKUP($C696,$Q$3:$Q$16,$R$3:$R$16)))*$B696,-5)</f>
        <v>28100000</v>
      </c>
      <c r="I696" s="17">
        <f t="shared" si="2086"/>
        <v>74800000</v>
      </c>
      <c r="J696" s="17">
        <f t="shared" si="2086"/>
        <v>81200000</v>
      </c>
      <c r="K696" s="17">
        <f t="shared" ref="K696:M696" si="2087">roundup((XLOOKUP($D696,$T$3:$T$10,$U$3:$U$10)*XLOOKUP(K$2,$AA$3:$AA$5,$AD$3:$AD$5)-ABS(XLOOKUP($C696,$Q$3:$Q$16,$R$3:$R$16)))*$B696,-5)</f>
        <v>33200000</v>
      </c>
      <c r="L696" s="17">
        <f t="shared" si="2087"/>
        <v>84600000</v>
      </c>
      <c r="M696" s="17">
        <f t="shared" si="2087"/>
        <v>91600000</v>
      </c>
    </row>
    <row r="697">
      <c r="A697" s="14" t="s">
        <v>740</v>
      </c>
      <c r="B697" s="14">
        <v>134.0</v>
      </c>
      <c r="C697" s="15">
        <f t="shared" si="4"/>
        <v>11</v>
      </c>
      <c r="D697" s="14" t="s">
        <v>33</v>
      </c>
      <c r="E697" s="16">
        <f t="shared" ref="E697:G697" si="2088">ROUNDUP((XLOOKUP($D697,$T$3:$T$10,$U$3:$U$10)*XLOOKUP(E$2,$AA$3:$AA$5,$AB$3:$AB$5)-ABS(XLOOKUP($C697,$Q$3:$Q$16,$R$3:$R$16)))*$B697,-5)</f>
        <v>29100000</v>
      </c>
      <c r="F697" s="16">
        <f t="shared" si="2088"/>
        <v>51600000</v>
      </c>
      <c r="G697" s="16">
        <f t="shared" si="2088"/>
        <v>56300000</v>
      </c>
      <c r="H697" s="17">
        <f t="shared" ref="H697:J697" si="2089">roundup((XLOOKUP($D697,$T$3:$T$10,$U$3:$U$10)*XLOOKUP(H$2,$AA$3:$AA$5,$AC$3:$AC$5)-ABS(XLOOKUP($C697,$Q$3:$Q$16,$R$3:$R$16)))*$B697,-5)</f>
        <v>24000000</v>
      </c>
      <c r="I697" s="17">
        <f t="shared" si="2089"/>
        <v>63900000</v>
      </c>
      <c r="J697" s="17">
        <f t="shared" si="2089"/>
        <v>69300000</v>
      </c>
      <c r="K697" s="17">
        <f t="shared" ref="K697:M697" si="2090">roundup((XLOOKUP($D697,$T$3:$T$10,$U$3:$U$10)*XLOOKUP(K$2,$AA$3:$AA$5,$AD$3:$AD$5)-ABS(XLOOKUP($C697,$Q$3:$Q$16,$R$3:$R$16)))*$B697,-5)</f>
        <v>28400000</v>
      </c>
      <c r="L697" s="17">
        <f t="shared" si="2090"/>
        <v>72200000</v>
      </c>
      <c r="M697" s="17">
        <f t="shared" si="2090"/>
        <v>78200000</v>
      </c>
    </row>
    <row r="698">
      <c r="A698" s="14" t="s">
        <v>741</v>
      </c>
      <c r="B698" s="14">
        <v>60.0</v>
      </c>
      <c r="C698" s="15">
        <f t="shared" si="4"/>
        <v>8</v>
      </c>
      <c r="D698" s="14" t="s">
        <v>33</v>
      </c>
      <c r="E698" s="16">
        <f t="shared" ref="E698:G698" si="2091">ROUNDUP((XLOOKUP($D698,$T$3:$T$10,$U$3:$U$10)*XLOOKUP(E$2,$AA$3:$AA$5,$AB$3:$AB$5)-ABS(XLOOKUP($C698,$Q$3:$Q$16,$R$3:$R$16)))*$B698,-5)</f>
        <v>18800000</v>
      </c>
      <c r="F698" s="16">
        <f t="shared" si="2091"/>
        <v>28800000</v>
      </c>
      <c r="G698" s="16">
        <f t="shared" si="2091"/>
        <v>30900000</v>
      </c>
      <c r="H698" s="17">
        <f t="shared" ref="H698:J698" si="2092">roundup((XLOOKUP($D698,$T$3:$T$10,$U$3:$U$10)*XLOOKUP(H$2,$AA$3:$AA$5,$AC$3:$AC$5)-ABS(XLOOKUP($C698,$Q$3:$Q$16,$R$3:$R$16)))*$B698,-5)</f>
        <v>16500000</v>
      </c>
      <c r="I698" s="17">
        <f t="shared" si="2092"/>
        <v>34300000</v>
      </c>
      <c r="J698" s="17">
        <f t="shared" si="2092"/>
        <v>36800000</v>
      </c>
      <c r="K698" s="17">
        <f t="shared" ref="K698:M698" si="2093">roundup((XLOOKUP($D698,$T$3:$T$10,$U$3:$U$10)*XLOOKUP(K$2,$AA$3:$AA$5,$AD$3:$AD$5)-ABS(XLOOKUP($C698,$Q$3:$Q$16,$R$3:$R$16)))*$B698,-5)</f>
        <v>18400000</v>
      </c>
      <c r="L698" s="17">
        <f t="shared" si="2093"/>
        <v>38000000</v>
      </c>
      <c r="M698" s="17">
        <f t="shared" si="2093"/>
        <v>40700000</v>
      </c>
    </row>
    <row r="699">
      <c r="A699" s="14" t="s">
        <v>742</v>
      </c>
      <c r="B699" s="14">
        <v>139.0</v>
      </c>
      <c r="C699" s="15">
        <f t="shared" si="4"/>
        <v>11</v>
      </c>
      <c r="D699" s="14" t="s">
        <v>33</v>
      </c>
      <c r="E699" s="16">
        <f t="shared" ref="E699:G699" si="2094">ROUNDUP((XLOOKUP($D699,$T$3:$T$10,$U$3:$U$10)*XLOOKUP(E$2,$AA$3:$AA$5,$AB$3:$AB$5)-ABS(XLOOKUP($C699,$Q$3:$Q$16,$R$3:$R$16)))*$B699,-5)</f>
        <v>30200000</v>
      </c>
      <c r="F699" s="16">
        <f t="shared" si="2094"/>
        <v>53500000</v>
      </c>
      <c r="G699" s="16">
        <f t="shared" si="2094"/>
        <v>58400000</v>
      </c>
      <c r="H699" s="17">
        <f t="shared" ref="H699:J699" si="2095">roundup((XLOOKUP($D699,$T$3:$T$10,$U$3:$U$10)*XLOOKUP(H$2,$AA$3:$AA$5,$AC$3:$AC$5)-ABS(XLOOKUP($C699,$Q$3:$Q$16,$R$3:$R$16)))*$B699,-5)</f>
        <v>24900000</v>
      </c>
      <c r="I699" s="17">
        <f t="shared" si="2095"/>
        <v>66300000</v>
      </c>
      <c r="J699" s="17">
        <f t="shared" si="2095"/>
        <v>71900000</v>
      </c>
      <c r="K699" s="17">
        <f t="shared" ref="K699:M699" si="2096">roundup((XLOOKUP($D699,$T$3:$T$10,$U$3:$U$10)*XLOOKUP(K$2,$AA$3:$AA$5,$AD$3:$AD$5)-ABS(XLOOKUP($C699,$Q$3:$Q$16,$R$3:$R$16)))*$B699,-5)</f>
        <v>29400000</v>
      </c>
      <c r="L699" s="17">
        <f t="shared" si="2096"/>
        <v>74900000</v>
      </c>
      <c r="M699" s="17">
        <f t="shared" si="2096"/>
        <v>81100000</v>
      </c>
    </row>
    <row r="700">
      <c r="A700" s="14" t="s">
        <v>743</v>
      </c>
      <c r="B700" s="14">
        <v>105.0</v>
      </c>
      <c r="C700" s="15">
        <f t="shared" si="4"/>
        <v>11</v>
      </c>
      <c r="D700" s="14" t="s">
        <v>36</v>
      </c>
      <c r="E700" s="16">
        <f t="shared" ref="E700:G700" si="2097">ROUNDUP((XLOOKUP($D700,$T$3:$T$10,$U$3:$U$10)*XLOOKUP(E$2,$AA$3:$AA$5,$AB$3:$AB$5)-ABS(XLOOKUP($C700,$Q$3:$Q$16,$R$3:$R$16)))*$B700,-5)</f>
        <v>27600000</v>
      </c>
      <c r="F700" s="16">
        <f t="shared" si="2097"/>
        <v>47400000</v>
      </c>
      <c r="G700" s="16">
        <f t="shared" si="2097"/>
        <v>51400000</v>
      </c>
      <c r="H700" s="17">
        <f t="shared" ref="H700:J700" si="2098">roundup((XLOOKUP($D700,$T$3:$T$10,$U$3:$U$10)*XLOOKUP(H$2,$AA$3:$AA$5,$AC$3:$AC$5)-ABS(XLOOKUP($C700,$Q$3:$Q$16,$R$3:$R$16)))*$B700,-5)</f>
        <v>23100000</v>
      </c>
      <c r="I700" s="17">
        <f t="shared" si="2098"/>
        <v>58100000</v>
      </c>
      <c r="J700" s="17">
        <f t="shared" si="2098"/>
        <v>62900000</v>
      </c>
      <c r="K700" s="17">
        <f t="shared" ref="K700:M700" si="2099">roundup((XLOOKUP($D700,$T$3:$T$10,$U$3:$U$10)*XLOOKUP(K$2,$AA$3:$AA$5,$AD$3:$AD$5)-ABS(XLOOKUP($C700,$Q$3:$Q$16,$R$3:$R$16)))*$B700,-5)</f>
        <v>27000000</v>
      </c>
      <c r="L700" s="17">
        <f t="shared" si="2099"/>
        <v>65400000</v>
      </c>
      <c r="M700" s="17">
        <f t="shared" si="2099"/>
        <v>70700000</v>
      </c>
    </row>
    <row r="701">
      <c r="A701" s="14" t="s">
        <v>744</v>
      </c>
      <c r="B701" s="14">
        <v>139.0</v>
      </c>
      <c r="C701" s="15">
        <f t="shared" si="4"/>
        <v>11</v>
      </c>
      <c r="D701" s="14" t="s">
        <v>36</v>
      </c>
      <c r="E701" s="16">
        <f t="shared" ref="E701:G701" si="2100">ROUNDUP((XLOOKUP($D701,$T$3:$T$10,$U$3:$U$10)*XLOOKUP(E$2,$AA$3:$AA$5,$AB$3:$AB$5)-ABS(XLOOKUP($C701,$Q$3:$Q$16,$R$3:$R$16)))*$B701,-5)</f>
        <v>36500000</v>
      </c>
      <c r="F701" s="16">
        <f t="shared" si="2100"/>
        <v>62700000</v>
      </c>
      <c r="G701" s="16">
        <f t="shared" si="2100"/>
        <v>68100000</v>
      </c>
      <c r="H701" s="17">
        <f t="shared" ref="H701:J701" si="2101">roundup((XLOOKUP($D701,$T$3:$T$10,$U$3:$U$10)*XLOOKUP(H$2,$AA$3:$AA$5,$AC$3:$AC$5)-ABS(XLOOKUP($C701,$Q$3:$Q$16,$R$3:$R$16)))*$B701,-5)</f>
        <v>30500000</v>
      </c>
      <c r="I701" s="17">
        <f t="shared" si="2101"/>
        <v>76900000</v>
      </c>
      <c r="J701" s="17">
        <f t="shared" si="2101"/>
        <v>83300000</v>
      </c>
      <c r="K701" s="17">
        <f t="shared" ref="K701:M701" si="2102">roundup((XLOOKUP($D701,$T$3:$T$10,$U$3:$U$10)*XLOOKUP(K$2,$AA$3:$AA$5,$AD$3:$AD$5)-ABS(XLOOKUP($C701,$Q$3:$Q$16,$R$3:$R$16)))*$B701,-5)</f>
        <v>35700000</v>
      </c>
      <c r="L701" s="17">
        <f t="shared" si="2102"/>
        <v>86600000</v>
      </c>
      <c r="M701" s="17">
        <f t="shared" si="2102"/>
        <v>93500000</v>
      </c>
    </row>
    <row r="702">
      <c r="A702" s="14" t="s">
        <v>745</v>
      </c>
      <c r="B702" s="14">
        <v>107.0</v>
      </c>
      <c r="C702" s="15">
        <f t="shared" si="4"/>
        <v>11</v>
      </c>
      <c r="D702" s="14" t="s">
        <v>36</v>
      </c>
      <c r="E702" s="16">
        <f t="shared" ref="E702:G702" si="2103">ROUNDUP((XLOOKUP($D702,$T$3:$T$10,$U$3:$U$10)*XLOOKUP(E$2,$AA$3:$AA$5,$AB$3:$AB$5)-ABS(XLOOKUP($C702,$Q$3:$Q$16,$R$3:$R$16)))*$B702,-5)</f>
        <v>28100000</v>
      </c>
      <c r="F702" s="16">
        <f t="shared" si="2103"/>
        <v>48300000</v>
      </c>
      <c r="G702" s="16">
        <f t="shared" si="2103"/>
        <v>52400000</v>
      </c>
      <c r="H702" s="17">
        <f t="shared" ref="H702:J702" si="2104">roundup((XLOOKUP($D702,$T$3:$T$10,$U$3:$U$10)*XLOOKUP(H$2,$AA$3:$AA$5,$AC$3:$AC$5)-ABS(XLOOKUP($C702,$Q$3:$Q$16,$R$3:$R$16)))*$B702,-5)</f>
        <v>23500000</v>
      </c>
      <c r="I702" s="17">
        <f t="shared" si="2104"/>
        <v>59200000</v>
      </c>
      <c r="J702" s="17">
        <f t="shared" si="2104"/>
        <v>64100000</v>
      </c>
      <c r="K702" s="17">
        <f t="shared" ref="K702:M702" si="2105">roundup((XLOOKUP($D702,$T$3:$T$10,$U$3:$U$10)*XLOOKUP(K$2,$AA$3:$AA$5,$AD$3:$AD$5)-ABS(XLOOKUP($C702,$Q$3:$Q$16,$R$3:$R$16)))*$B702,-5)</f>
        <v>27500000</v>
      </c>
      <c r="L702" s="17">
        <f t="shared" si="2105"/>
        <v>66700000</v>
      </c>
      <c r="M702" s="17">
        <f t="shared" si="2105"/>
        <v>72000000</v>
      </c>
    </row>
    <row r="703">
      <c r="A703" s="14" t="s">
        <v>746</v>
      </c>
      <c r="B703" s="14">
        <v>128.0</v>
      </c>
      <c r="C703" s="15">
        <f t="shared" si="4"/>
        <v>11</v>
      </c>
      <c r="D703" s="14" t="s">
        <v>36</v>
      </c>
      <c r="E703" s="16">
        <f t="shared" ref="E703:G703" si="2106">ROUNDUP((XLOOKUP($D703,$T$3:$T$10,$U$3:$U$10)*XLOOKUP(E$2,$AA$3:$AA$5,$AB$3:$AB$5)-ABS(XLOOKUP($C703,$Q$3:$Q$16,$R$3:$R$16)))*$B703,-5)</f>
        <v>33600000</v>
      </c>
      <c r="F703" s="16">
        <f t="shared" si="2106"/>
        <v>57700000</v>
      </c>
      <c r="G703" s="16">
        <f t="shared" si="2106"/>
        <v>62700000</v>
      </c>
      <c r="H703" s="17">
        <f t="shared" ref="H703:J703" si="2107">roundup((XLOOKUP($D703,$T$3:$T$10,$U$3:$U$10)*XLOOKUP(H$2,$AA$3:$AA$5,$AC$3:$AC$5)-ABS(XLOOKUP($C703,$Q$3:$Q$16,$R$3:$R$16)))*$B703,-5)</f>
        <v>28100000</v>
      </c>
      <c r="I703" s="17">
        <f t="shared" si="2107"/>
        <v>70900000</v>
      </c>
      <c r="J703" s="17">
        <f t="shared" si="2107"/>
        <v>76700000</v>
      </c>
      <c r="K703" s="17">
        <f t="shared" ref="K703:M703" si="2108">roundup((XLOOKUP($D703,$T$3:$T$10,$U$3:$U$10)*XLOOKUP(K$2,$AA$3:$AA$5,$AD$3:$AD$5)-ABS(XLOOKUP($C703,$Q$3:$Q$16,$R$3:$R$16)))*$B703,-5)</f>
        <v>32900000</v>
      </c>
      <c r="L703" s="17">
        <f t="shared" si="2108"/>
        <v>79700000</v>
      </c>
      <c r="M703" s="17">
        <f t="shared" si="2108"/>
        <v>86200000</v>
      </c>
    </row>
    <row r="704">
      <c r="A704" s="14" t="s">
        <v>747</v>
      </c>
      <c r="B704" s="14">
        <v>120.0</v>
      </c>
      <c r="C704" s="15">
        <f t="shared" si="4"/>
        <v>11</v>
      </c>
      <c r="D704" s="14" t="s">
        <v>36</v>
      </c>
      <c r="E704" s="16">
        <f t="shared" ref="E704:G704" si="2109">ROUNDUP((XLOOKUP($D704,$T$3:$T$10,$U$3:$U$10)*XLOOKUP(E$2,$AA$3:$AA$5,$AB$3:$AB$5)-ABS(XLOOKUP($C704,$Q$3:$Q$16,$R$3:$R$16)))*$B704,-5)</f>
        <v>31500000</v>
      </c>
      <c r="F704" s="16">
        <f t="shared" si="2109"/>
        <v>54100000</v>
      </c>
      <c r="G704" s="16">
        <f t="shared" si="2109"/>
        <v>58800000</v>
      </c>
      <c r="H704" s="17">
        <f t="shared" ref="H704:J704" si="2110">roundup((XLOOKUP($D704,$T$3:$T$10,$U$3:$U$10)*XLOOKUP(H$2,$AA$3:$AA$5,$AC$3:$AC$5)-ABS(XLOOKUP($C704,$Q$3:$Q$16,$R$3:$R$16)))*$B704,-5)</f>
        <v>26400000</v>
      </c>
      <c r="I704" s="17">
        <f t="shared" si="2110"/>
        <v>66400000</v>
      </c>
      <c r="J704" s="17">
        <f t="shared" si="2110"/>
        <v>71900000</v>
      </c>
      <c r="K704" s="17">
        <f t="shared" ref="K704:M704" si="2111">roundup((XLOOKUP($D704,$T$3:$T$10,$U$3:$U$10)*XLOOKUP(K$2,$AA$3:$AA$5,$AD$3:$AD$5)-ABS(XLOOKUP($C704,$Q$3:$Q$16,$R$3:$R$16)))*$B704,-5)</f>
        <v>30800000</v>
      </c>
      <c r="L704" s="17">
        <f t="shared" si="2111"/>
        <v>74800000</v>
      </c>
      <c r="M704" s="17">
        <f t="shared" si="2111"/>
        <v>80800000</v>
      </c>
    </row>
    <row r="705">
      <c r="A705" s="14" t="s">
        <v>748</v>
      </c>
      <c r="B705" s="14">
        <v>168.0</v>
      </c>
      <c r="C705" s="15">
        <f t="shared" si="4"/>
        <v>12</v>
      </c>
      <c r="D705" s="14" t="s">
        <v>33</v>
      </c>
      <c r="E705" s="16">
        <f t="shared" ref="E705:G705" si="2112">ROUNDUP((XLOOKUP($D705,$T$3:$T$10,$U$3:$U$10)*XLOOKUP(E$2,$AA$3:$AA$5,$AB$3:$AB$5)-ABS(XLOOKUP($C705,$Q$3:$Q$16,$R$3:$R$16)))*$B705,-5)</f>
        <v>35600000</v>
      </c>
      <c r="F705" s="16">
        <f t="shared" si="2112"/>
        <v>63800000</v>
      </c>
      <c r="G705" s="16">
        <f t="shared" si="2112"/>
        <v>69700000</v>
      </c>
      <c r="H705" s="17">
        <f t="shared" ref="H705:J705" si="2113">roundup((XLOOKUP($D705,$T$3:$T$10,$U$3:$U$10)*XLOOKUP(H$2,$AA$3:$AA$5,$AC$3:$AC$5)-ABS(XLOOKUP($C705,$Q$3:$Q$16,$R$3:$R$16)))*$B705,-5)</f>
        <v>29200000</v>
      </c>
      <c r="I705" s="17">
        <f t="shared" si="2113"/>
        <v>79200000</v>
      </c>
      <c r="J705" s="17">
        <f t="shared" si="2113"/>
        <v>86000000</v>
      </c>
      <c r="K705" s="17">
        <f t="shared" ref="K705:M705" si="2114">roundup((XLOOKUP($D705,$T$3:$T$10,$U$3:$U$10)*XLOOKUP(K$2,$AA$3:$AA$5,$AD$3:$AD$5)-ABS(XLOOKUP($C705,$Q$3:$Q$16,$R$3:$R$16)))*$B705,-5)</f>
        <v>34700000</v>
      </c>
      <c r="L705" s="17">
        <f t="shared" si="2114"/>
        <v>89600000</v>
      </c>
      <c r="M705" s="17">
        <f t="shared" si="2114"/>
        <v>97100000</v>
      </c>
    </row>
    <row r="706">
      <c r="A706" s="14" t="s">
        <v>749</v>
      </c>
      <c r="B706" s="14">
        <v>208.0</v>
      </c>
      <c r="C706" s="15">
        <f t="shared" si="4"/>
        <v>13</v>
      </c>
      <c r="D706" s="14" t="s">
        <v>33</v>
      </c>
      <c r="E706" s="16">
        <f t="shared" ref="E706:G706" si="2115">ROUNDUP((XLOOKUP($D706,$T$3:$T$10,$U$3:$U$10)*XLOOKUP(E$2,$AA$3:$AA$5,$AB$3:$AB$5)-ABS(XLOOKUP($C706,$Q$3:$Q$16,$R$3:$R$16)))*$B706,-5)</f>
        <v>41000000</v>
      </c>
      <c r="F706" s="16">
        <f t="shared" si="2115"/>
        <v>75900000</v>
      </c>
      <c r="G706" s="16">
        <f t="shared" si="2115"/>
        <v>83100000</v>
      </c>
      <c r="H706" s="17">
        <f t="shared" ref="H706:J706" si="2116">roundup((XLOOKUP($D706,$T$3:$T$10,$U$3:$U$10)*XLOOKUP(H$2,$AA$3:$AA$5,$AC$3:$AC$5)-ABS(XLOOKUP($C706,$Q$3:$Q$16,$R$3:$R$16)))*$B706,-5)</f>
        <v>33000000</v>
      </c>
      <c r="I706" s="17">
        <f t="shared" si="2116"/>
        <v>95000000</v>
      </c>
      <c r="J706" s="17">
        <f t="shared" si="2116"/>
        <v>103400000</v>
      </c>
      <c r="K706" s="17">
        <f t="shared" ref="K706:M706" si="2117">roundup((XLOOKUP($D706,$T$3:$T$10,$U$3:$U$10)*XLOOKUP(K$2,$AA$3:$AA$5,$AD$3:$AD$5)-ABS(XLOOKUP($C706,$Q$3:$Q$16,$R$3:$R$16)))*$B706,-5)</f>
        <v>39900000</v>
      </c>
      <c r="L706" s="17">
        <f t="shared" si="2117"/>
        <v>107900000</v>
      </c>
      <c r="M706" s="17">
        <f t="shared" si="2117"/>
        <v>117100000</v>
      </c>
    </row>
    <row r="707">
      <c r="A707" s="14" t="s">
        <v>750</v>
      </c>
      <c r="B707" s="14">
        <v>130.0</v>
      </c>
      <c r="C707" s="15">
        <f t="shared" si="4"/>
        <v>11</v>
      </c>
      <c r="D707" s="14" t="s">
        <v>33</v>
      </c>
      <c r="E707" s="16">
        <f t="shared" ref="E707:G707" si="2118">ROUNDUP((XLOOKUP($D707,$T$3:$T$10,$U$3:$U$10)*XLOOKUP(E$2,$AA$3:$AA$5,$AB$3:$AB$5)-ABS(XLOOKUP($C707,$Q$3:$Q$16,$R$3:$R$16)))*$B707,-5)</f>
        <v>28200000</v>
      </c>
      <c r="F707" s="16">
        <f t="shared" si="2118"/>
        <v>50100000</v>
      </c>
      <c r="G707" s="16">
        <f t="shared" si="2118"/>
        <v>54600000</v>
      </c>
      <c r="H707" s="17">
        <f t="shared" ref="H707:J707" si="2119">roundup((XLOOKUP($D707,$T$3:$T$10,$U$3:$U$10)*XLOOKUP(H$2,$AA$3:$AA$5,$AC$3:$AC$5)-ABS(XLOOKUP($C707,$Q$3:$Q$16,$R$3:$R$16)))*$B707,-5)</f>
        <v>23200000</v>
      </c>
      <c r="I707" s="17">
        <f t="shared" si="2119"/>
        <v>62000000</v>
      </c>
      <c r="J707" s="17">
        <f t="shared" si="2119"/>
        <v>67200000</v>
      </c>
      <c r="K707" s="17">
        <f t="shared" ref="K707:M707" si="2120">roundup((XLOOKUP($D707,$T$3:$T$10,$U$3:$U$10)*XLOOKUP(K$2,$AA$3:$AA$5,$AD$3:$AD$5)-ABS(XLOOKUP($C707,$Q$3:$Q$16,$R$3:$R$16)))*$B707,-5)</f>
        <v>27500000</v>
      </c>
      <c r="L707" s="17">
        <f t="shared" si="2120"/>
        <v>70000000</v>
      </c>
      <c r="M707" s="17">
        <f t="shared" si="2120"/>
        <v>75800000</v>
      </c>
    </row>
    <row r="708">
      <c r="A708" s="14" t="s">
        <v>751</v>
      </c>
      <c r="B708" s="14">
        <v>142.0</v>
      </c>
      <c r="C708" s="15">
        <f t="shared" si="4"/>
        <v>11</v>
      </c>
      <c r="D708" s="14" t="s">
        <v>36</v>
      </c>
      <c r="E708" s="16">
        <f t="shared" ref="E708:G708" si="2121">ROUNDUP((XLOOKUP($D708,$T$3:$T$10,$U$3:$U$10)*XLOOKUP(E$2,$AA$3:$AA$5,$AB$3:$AB$5)-ABS(XLOOKUP($C708,$Q$3:$Q$16,$R$3:$R$16)))*$B708,-5)</f>
        <v>37300000</v>
      </c>
      <c r="F708" s="16">
        <f t="shared" si="2121"/>
        <v>64000000</v>
      </c>
      <c r="G708" s="16">
        <f t="shared" si="2121"/>
        <v>69600000</v>
      </c>
      <c r="H708" s="17">
        <f t="shared" ref="H708:J708" si="2122">roundup((XLOOKUP($D708,$T$3:$T$10,$U$3:$U$10)*XLOOKUP(H$2,$AA$3:$AA$5,$AC$3:$AC$5)-ABS(XLOOKUP($C708,$Q$3:$Q$16,$R$3:$R$16)))*$B708,-5)</f>
        <v>31200000</v>
      </c>
      <c r="I708" s="17">
        <f t="shared" si="2122"/>
        <v>78600000</v>
      </c>
      <c r="J708" s="17">
        <f t="shared" si="2122"/>
        <v>85100000</v>
      </c>
      <c r="K708" s="17">
        <f t="shared" ref="K708:M708" si="2123">roundup((XLOOKUP($D708,$T$3:$T$10,$U$3:$U$10)*XLOOKUP(K$2,$AA$3:$AA$5,$AD$3:$AD$5)-ABS(XLOOKUP($C708,$Q$3:$Q$16,$R$3:$R$16)))*$B708,-5)</f>
        <v>36400000</v>
      </c>
      <c r="L708" s="17">
        <f t="shared" si="2123"/>
        <v>88500000</v>
      </c>
      <c r="M708" s="17">
        <f t="shared" si="2123"/>
        <v>95600000</v>
      </c>
    </row>
    <row r="709">
      <c r="A709" s="14" t="s">
        <v>752</v>
      </c>
      <c r="B709" s="14">
        <v>145.0</v>
      </c>
      <c r="C709" s="15">
        <f t="shared" si="4"/>
        <v>11</v>
      </c>
      <c r="D709" s="14" t="s">
        <v>33</v>
      </c>
      <c r="E709" s="16">
        <f t="shared" ref="E709:G709" si="2124">ROUNDUP((XLOOKUP($D709,$T$3:$T$10,$U$3:$U$10)*XLOOKUP(E$2,$AA$3:$AA$5,$AB$3:$AB$5)-ABS(XLOOKUP($C709,$Q$3:$Q$16,$R$3:$R$16)))*$B709,-5)</f>
        <v>31500000</v>
      </c>
      <c r="F709" s="16">
        <f t="shared" si="2124"/>
        <v>55800000</v>
      </c>
      <c r="G709" s="16">
        <f t="shared" si="2124"/>
        <v>60900000</v>
      </c>
      <c r="H709" s="17">
        <f t="shared" ref="H709:J709" si="2125">roundup((XLOOKUP($D709,$T$3:$T$10,$U$3:$U$10)*XLOOKUP(H$2,$AA$3:$AA$5,$AC$3:$AC$5)-ABS(XLOOKUP($C709,$Q$3:$Q$16,$R$3:$R$16)))*$B709,-5)</f>
        <v>25900000</v>
      </c>
      <c r="I709" s="17">
        <f t="shared" si="2125"/>
        <v>69100000</v>
      </c>
      <c r="J709" s="17">
        <f t="shared" si="2125"/>
        <v>75000000</v>
      </c>
      <c r="K709" s="17">
        <f t="shared" ref="K709:M709" si="2126">roundup((XLOOKUP($D709,$T$3:$T$10,$U$3:$U$10)*XLOOKUP(K$2,$AA$3:$AA$5,$AD$3:$AD$5)-ABS(XLOOKUP($C709,$Q$3:$Q$16,$R$3:$R$16)))*$B709,-5)</f>
        <v>30700000</v>
      </c>
      <c r="L709" s="17">
        <f t="shared" si="2126"/>
        <v>78100000</v>
      </c>
      <c r="M709" s="17">
        <f t="shared" si="2126"/>
        <v>84600000</v>
      </c>
    </row>
    <row r="710">
      <c r="A710" s="14" t="s">
        <v>753</v>
      </c>
      <c r="B710" s="14">
        <v>107.0</v>
      </c>
      <c r="C710" s="15">
        <f t="shared" si="4"/>
        <v>11</v>
      </c>
      <c r="D710" s="14" t="s">
        <v>33</v>
      </c>
      <c r="E710" s="16">
        <f t="shared" ref="E710:G710" si="2127">ROUNDUP((XLOOKUP($D710,$T$3:$T$10,$U$3:$U$10)*XLOOKUP(E$2,$AA$3:$AA$5,$AB$3:$AB$5)-ABS(XLOOKUP($C710,$Q$3:$Q$16,$R$3:$R$16)))*$B710,-5)</f>
        <v>23200000</v>
      </c>
      <c r="F710" s="16">
        <f t="shared" si="2127"/>
        <v>41200000</v>
      </c>
      <c r="G710" s="16">
        <f t="shared" si="2127"/>
        <v>44900000</v>
      </c>
      <c r="H710" s="17">
        <f t="shared" ref="H710:J710" si="2128">roundup((XLOOKUP($D710,$T$3:$T$10,$U$3:$U$10)*XLOOKUP(H$2,$AA$3:$AA$5,$AC$3:$AC$5)-ABS(XLOOKUP($C710,$Q$3:$Q$16,$R$3:$R$16)))*$B710,-5)</f>
        <v>19100000</v>
      </c>
      <c r="I710" s="17">
        <f t="shared" si="2128"/>
        <v>51000000</v>
      </c>
      <c r="J710" s="17">
        <f t="shared" si="2128"/>
        <v>55400000</v>
      </c>
      <c r="K710" s="17">
        <f t="shared" ref="K710:M710" si="2129">roundup((XLOOKUP($D710,$T$3:$T$10,$U$3:$U$10)*XLOOKUP(K$2,$AA$3:$AA$5,$AD$3:$AD$5)-ABS(XLOOKUP($C710,$Q$3:$Q$16,$R$3:$R$16)))*$B710,-5)</f>
        <v>22700000</v>
      </c>
      <c r="L710" s="17">
        <f t="shared" si="2129"/>
        <v>57600000</v>
      </c>
      <c r="M710" s="17">
        <f t="shared" si="2129"/>
        <v>62400000</v>
      </c>
    </row>
    <row r="711">
      <c r="A711" s="14" t="s">
        <v>754</v>
      </c>
      <c r="B711" s="14">
        <v>102.0</v>
      </c>
      <c r="C711" s="15">
        <f t="shared" si="4"/>
        <v>11</v>
      </c>
      <c r="D711" s="14" t="s">
        <v>36</v>
      </c>
      <c r="E711" s="16">
        <f t="shared" ref="E711:G711" si="2130">ROUNDUP((XLOOKUP($D711,$T$3:$T$10,$U$3:$U$10)*XLOOKUP(E$2,$AA$3:$AA$5,$AB$3:$AB$5)-ABS(XLOOKUP($C711,$Q$3:$Q$16,$R$3:$R$16)))*$B711,-5)</f>
        <v>26800000</v>
      </c>
      <c r="F711" s="16">
        <f t="shared" si="2130"/>
        <v>46000000</v>
      </c>
      <c r="G711" s="16">
        <f t="shared" si="2130"/>
        <v>50000000</v>
      </c>
      <c r="H711" s="17">
        <f t="shared" ref="H711:J711" si="2131">roundup((XLOOKUP($D711,$T$3:$T$10,$U$3:$U$10)*XLOOKUP(H$2,$AA$3:$AA$5,$AC$3:$AC$5)-ABS(XLOOKUP($C711,$Q$3:$Q$16,$R$3:$R$16)))*$B711,-5)</f>
        <v>22400000</v>
      </c>
      <c r="I711" s="17">
        <f t="shared" si="2131"/>
        <v>56500000</v>
      </c>
      <c r="J711" s="17">
        <f t="shared" si="2131"/>
        <v>61100000</v>
      </c>
      <c r="K711" s="17">
        <f t="shared" ref="K711:M711" si="2132">roundup((XLOOKUP($D711,$T$3:$T$10,$U$3:$U$10)*XLOOKUP(K$2,$AA$3:$AA$5,$AD$3:$AD$5)-ABS(XLOOKUP($C711,$Q$3:$Q$16,$R$3:$R$16)))*$B711,-5)</f>
        <v>26200000</v>
      </c>
      <c r="L711" s="17">
        <f t="shared" si="2132"/>
        <v>63600000</v>
      </c>
      <c r="M711" s="17">
        <f t="shared" si="2132"/>
        <v>68700000</v>
      </c>
    </row>
    <row r="712">
      <c r="A712" s="14" t="s">
        <v>755</v>
      </c>
      <c r="B712" s="14">
        <v>127.0</v>
      </c>
      <c r="C712" s="15">
        <f t="shared" si="4"/>
        <v>11</v>
      </c>
      <c r="D712" s="14" t="s">
        <v>36</v>
      </c>
      <c r="E712" s="16">
        <f t="shared" ref="E712:G712" si="2133">ROUNDUP((XLOOKUP($D712,$T$3:$T$10,$U$3:$U$10)*XLOOKUP(E$2,$AA$3:$AA$5,$AB$3:$AB$5)-ABS(XLOOKUP($C712,$Q$3:$Q$16,$R$3:$R$16)))*$B712,-5)</f>
        <v>33300000</v>
      </c>
      <c r="F712" s="16">
        <f t="shared" si="2133"/>
        <v>57300000</v>
      </c>
      <c r="G712" s="16">
        <f t="shared" si="2133"/>
        <v>62200000</v>
      </c>
      <c r="H712" s="17">
        <f t="shared" ref="H712:J712" si="2134">roundup((XLOOKUP($D712,$T$3:$T$10,$U$3:$U$10)*XLOOKUP(H$2,$AA$3:$AA$5,$AC$3:$AC$5)-ABS(XLOOKUP($C712,$Q$3:$Q$16,$R$3:$R$16)))*$B712,-5)</f>
        <v>27900000</v>
      </c>
      <c r="I712" s="17">
        <f t="shared" si="2134"/>
        <v>70300000</v>
      </c>
      <c r="J712" s="17">
        <f t="shared" si="2134"/>
        <v>76100000</v>
      </c>
      <c r="K712" s="17">
        <f t="shared" ref="K712:M712" si="2135">roundup((XLOOKUP($D712,$T$3:$T$10,$U$3:$U$10)*XLOOKUP(K$2,$AA$3:$AA$5,$AD$3:$AD$5)-ABS(XLOOKUP($C712,$Q$3:$Q$16,$R$3:$R$16)))*$B712,-5)</f>
        <v>32600000</v>
      </c>
      <c r="L712" s="17">
        <f t="shared" si="2135"/>
        <v>79100000</v>
      </c>
      <c r="M712" s="17">
        <f t="shared" si="2135"/>
        <v>85500000</v>
      </c>
    </row>
    <row r="713">
      <c r="A713" s="14" t="s">
        <v>756</v>
      </c>
      <c r="B713" s="14">
        <v>125.0</v>
      </c>
      <c r="C713" s="15">
        <f t="shared" si="4"/>
        <v>11</v>
      </c>
      <c r="D713" s="14" t="s">
        <v>33</v>
      </c>
      <c r="E713" s="16">
        <f t="shared" ref="E713:G713" si="2136">ROUNDUP((XLOOKUP($D713,$T$3:$T$10,$U$3:$U$10)*XLOOKUP(E$2,$AA$3:$AA$5,$AB$3:$AB$5)-ABS(XLOOKUP($C713,$Q$3:$Q$16,$R$3:$R$16)))*$B713,-5)</f>
        <v>27100000</v>
      </c>
      <c r="F713" s="16">
        <f t="shared" si="2136"/>
        <v>48100000</v>
      </c>
      <c r="G713" s="16">
        <f t="shared" si="2136"/>
        <v>52500000</v>
      </c>
      <c r="H713" s="17">
        <f t="shared" ref="H713:J713" si="2137">roundup((XLOOKUP($D713,$T$3:$T$10,$U$3:$U$10)*XLOOKUP(H$2,$AA$3:$AA$5,$AC$3:$AC$5)-ABS(XLOOKUP($C713,$Q$3:$Q$16,$R$3:$R$16)))*$B713,-5)</f>
        <v>22400000</v>
      </c>
      <c r="I713" s="17">
        <f t="shared" si="2137"/>
        <v>59600000</v>
      </c>
      <c r="J713" s="17">
        <f t="shared" si="2137"/>
        <v>64700000</v>
      </c>
      <c r="K713" s="17">
        <f t="shared" ref="K713:M713" si="2138">roundup((XLOOKUP($D713,$T$3:$T$10,$U$3:$U$10)*XLOOKUP(K$2,$AA$3:$AA$5,$AD$3:$AD$5)-ABS(XLOOKUP($C713,$Q$3:$Q$16,$R$3:$R$16)))*$B713,-5)</f>
        <v>26500000</v>
      </c>
      <c r="L713" s="17">
        <f t="shared" si="2138"/>
        <v>67300000</v>
      </c>
      <c r="M713" s="17">
        <f t="shared" si="2138"/>
        <v>72900000</v>
      </c>
    </row>
    <row r="714">
      <c r="A714" s="14" t="s">
        <v>757</v>
      </c>
      <c r="B714" s="14">
        <v>101.0</v>
      </c>
      <c r="C714" s="15">
        <f t="shared" si="4"/>
        <v>11</v>
      </c>
      <c r="D714" s="14" t="s">
        <v>36</v>
      </c>
      <c r="E714" s="16">
        <f t="shared" ref="E714:G714" si="2139">ROUNDUP((XLOOKUP($D714,$T$3:$T$10,$U$3:$U$10)*XLOOKUP(E$2,$AA$3:$AA$5,$AB$3:$AB$5)-ABS(XLOOKUP($C714,$Q$3:$Q$16,$R$3:$R$16)))*$B714,-5)</f>
        <v>26500000</v>
      </c>
      <c r="F714" s="16">
        <f t="shared" si="2139"/>
        <v>45600000</v>
      </c>
      <c r="G714" s="16">
        <f t="shared" si="2139"/>
        <v>49500000</v>
      </c>
      <c r="H714" s="17">
        <f t="shared" ref="H714:J714" si="2140">roundup((XLOOKUP($D714,$T$3:$T$10,$U$3:$U$10)*XLOOKUP(H$2,$AA$3:$AA$5,$AC$3:$AC$5)-ABS(XLOOKUP($C714,$Q$3:$Q$16,$R$3:$R$16)))*$B714,-5)</f>
        <v>22200000</v>
      </c>
      <c r="I714" s="17">
        <f t="shared" si="2140"/>
        <v>55900000</v>
      </c>
      <c r="J714" s="17">
        <f t="shared" si="2140"/>
        <v>60500000</v>
      </c>
      <c r="K714" s="17">
        <f t="shared" ref="K714:M714" si="2141">roundup((XLOOKUP($D714,$T$3:$T$10,$U$3:$U$10)*XLOOKUP(K$2,$AA$3:$AA$5,$AD$3:$AD$5)-ABS(XLOOKUP($C714,$Q$3:$Q$16,$R$3:$R$16)))*$B714,-5)</f>
        <v>25900000</v>
      </c>
      <c r="L714" s="17">
        <f t="shared" si="2141"/>
        <v>62900000</v>
      </c>
      <c r="M714" s="17">
        <f t="shared" si="2141"/>
        <v>68000000</v>
      </c>
    </row>
    <row r="715">
      <c r="A715" s="14" t="s">
        <v>758</v>
      </c>
      <c r="B715" s="14">
        <v>135.0</v>
      </c>
      <c r="C715" s="15">
        <f t="shared" si="4"/>
        <v>11</v>
      </c>
      <c r="D715" s="14" t="s">
        <v>36</v>
      </c>
      <c r="E715" s="16">
        <f t="shared" ref="E715:G715" si="2142">ROUNDUP((XLOOKUP($D715,$T$3:$T$10,$U$3:$U$10)*XLOOKUP(E$2,$AA$3:$AA$5,$AB$3:$AB$5)-ABS(XLOOKUP($C715,$Q$3:$Q$16,$R$3:$R$16)))*$B715,-5)</f>
        <v>35400000</v>
      </c>
      <c r="F715" s="16">
        <f t="shared" si="2142"/>
        <v>60900000</v>
      </c>
      <c r="G715" s="16">
        <f t="shared" si="2142"/>
        <v>66100000</v>
      </c>
      <c r="H715" s="17">
        <f t="shared" ref="H715:J715" si="2143">roundup((XLOOKUP($D715,$T$3:$T$10,$U$3:$U$10)*XLOOKUP(H$2,$AA$3:$AA$5,$AC$3:$AC$5)-ABS(XLOOKUP($C715,$Q$3:$Q$16,$R$3:$R$16)))*$B715,-5)</f>
        <v>29700000</v>
      </c>
      <c r="I715" s="17">
        <f t="shared" si="2143"/>
        <v>74700000</v>
      </c>
      <c r="J715" s="17">
        <f t="shared" si="2143"/>
        <v>80900000</v>
      </c>
      <c r="K715" s="17">
        <f t="shared" ref="K715:M715" si="2144">roundup((XLOOKUP($D715,$T$3:$T$10,$U$3:$U$10)*XLOOKUP(K$2,$AA$3:$AA$5,$AD$3:$AD$5)-ABS(XLOOKUP($C715,$Q$3:$Q$16,$R$3:$R$16)))*$B715,-5)</f>
        <v>34700000</v>
      </c>
      <c r="L715" s="17">
        <f t="shared" si="2144"/>
        <v>84100000</v>
      </c>
      <c r="M715" s="17">
        <f t="shared" si="2144"/>
        <v>90900000</v>
      </c>
    </row>
    <row r="716">
      <c r="A716" s="14" t="s">
        <v>759</v>
      </c>
      <c r="B716" s="14">
        <v>240.0</v>
      </c>
      <c r="C716" s="15">
        <f t="shared" si="4"/>
        <v>14</v>
      </c>
      <c r="D716" s="14" t="s">
        <v>36</v>
      </c>
      <c r="E716" s="16">
        <f t="shared" ref="E716:G716" si="2145">ROUNDUP((XLOOKUP($D716,$T$3:$T$10,$U$3:$U$10)*XLOOKUP(E$2,$AA$3:$AA$5,$AB$3:$AB$5)-ABS(XLOOKUP($C716,$Q$3:$Q$16,$R$3:$R$16)))*$B716,-5)</f>
        <v>56000000</v>
      </c>
      <c r="F716" s="16">
        <f t="shared" si="2145"/>
        <v>101200000</v>
      </c>
      <c r="G716" s="16">
        <f t="shared" si="2145"/>
        <v>110600000</v>
      </c>
      <c r="H716" s="17">
        <f t="shared" ref="H716:J716" si="2146">roundup((XLOOKUP($D716,$T$3:$T$10,$U$3:$U$10)*XLOOKUP(H$2,$AA$3:$AA$5,$AC$3:$AC$5)-ABS(XLOOKUP($C716,$Q$3:$Q$16,$R$3:$R$16)))*$B716,-5)</f>
        <v>45700000</v>
      </c>
      <c r="I716" s="17">
        <f t="shared" si="2146"/>
        <v>125800000</v>
      </c>
      <c r="J716" s="17">
        <f t="shared" si="2146"/>
        <v>136800000</v>
      </c>
      <c r="K716" s="17">
        <f t="shared" ref="K716:M716" si="2147">roundup((XLOOKUP($D716,$T$3:$T$10,$U$3:$U$10)*XLOOKUP(K$2,$AA$3:$AA$5,$AD$3:$AD$5)-ABS(XLOOKUP($C716,$Q$3:$Q$16,$R$3:$R$16)))*$B716,-5)</f>
        <v>54600000</v>
      </c>
      <c r="L716" s="17">
        <f t="shared" si="2147"/>
        <v>142500000</v>
      </c>
      <c r="M716" s="17">
        <f t="shared" si="2147"/>
        <v>154500000</v>
      </c>
    </row>
    <row r="717">
      <c r="A717" s="14" t="s">
        <v>760</v>
      </c>
      <c r="B717" s="14">
        <v>142.0</v>
      </c>
      <c r="C717" s="15">
        <f t="shared" si="4"/>
        <v>11</v>
      </c>
      <c r="D717" s="14" t="s">
        <v>36</v>
      </c>
      <c r="E717" s="16">
        <f t="shared" ref="E717:G717" si="2148">ROUNDUP((XLOOKUP($D717,$T$3:$T$10,$U$3:$U$10)*XLOOKUP(E$2,$AA$3:$AA$5,$AB$3:$AB$5)-ABS(XLOOKUP($C717,$Q$3:$Q$16,$R$3:$R$16)))*$B717,-5)</f>
        <v>37300000</v>
      </c>
      <c r="F717" s="16">
        <f t="shared" si="2148"/>
        <v>64000000</v>
      </c>
      <c r="G717" s="16">
        <f t="shared" si="2148"/>
        <v>69600000</v>
      </c>
      <c r="H717" s="17">
        <f t="shared" ref="H717:J717" si="2149">roundup((XLOOKUP($D717,$T$3:$T$10,$U$3:$U$10)*XLOOKUP(H$2,$AA$3:$AA$5,$AC$3:$AC$5)-ABS(XLOOKUP($C717,$Q$3:$Q$16,$R$3:$R$16)))*$B717,-5)</f>
        <v>31200000</v>
      </c>
      <c r="I717" s="17">
        <f t="shared" si="2149"/>
        <v>78600000</v>
      </c>
      <c r="J717" s="17">
        <f t="shared" si="2149"/>
        <v>85100000</v>
      </c>
      <c r="K717" s="17">
        <f t="shared" ref="K717:M717" si="2150">roundup((XLOOKUP($D717,$T$3:$T$10,$U$3:$U$10)*XLOOKUP(K$2,$AA$3:$AA$5,$AD$3:$AD$5)-ABS(XLOOKUP($C717,$Q$3:$Q$16,$R$3:$R$16)))*$B717,-5)</f>
        <v>36400000</v>
      </c>
      <c r="L717" s="17">
        <f t="shared" si="2150"/>
        <v>88500000</v>
      </c>
      <c r="M717" s="17">
        <f t="shared" si="2150"/>
        <v>95600000</v>
      </c>
    </row>
    <row r="718">
      <c r="A718" s="14" t="s">
        <v>761</v>
      </c>
      <c r="B718" s="14">
        <v>279.0</v>
      </c>
      <c r="C718" s="15">
        <f t="shared" si="4"/>
        <v>14</v>
      </c>
      <c r="D718" s="14" t="s">
        <v>33</v>
      </c>
      <c r="E718" s="16">
        <f t="shared" ref="E718:G718" si="2151">ROUNDUP((XLOOKUP($D718,$T$3:$T$10,$U$3:$U$10)*XLOOKUP(E$2,$AA$3:$AA$5,$AB$3:$AB$5)-ABS(XLOOKUP($C718,$Q$3:$Q$16,$R$3:$R$16)))*$B718,-5)</f>
        <v>52400000</v>
      </c>
      <c r="F718" s="16">
        <f t="shared" si="2151"/>
        <v>99300000</v>
      </c>
      <c r="G718" s="16">
        <f t="shared" si="2151"/>
        <v>109000000</v>
      </c>
      <c r="H718" s="17">
        <f t="shared" ref="H718:J718" si="2152">roundup((XLOOKUP($D718,$T$3:$T$10,$U$3:$U$10)*XLOOKUP(H$2,$AA$3:$AA$5,$AC$3:$AC$5)-ABS(XLOOKUP($C718,$Q$3:$Q$16,$R$3:$R$16)))*$B718,-5)</f>
        <v>41700000</v>
      </c>
      <c r="I718" s="17">
        <f t="shared" si="2152"/>
        <v>124800000</v>
      </c>
      <c r="J718" s="17">
        <f t="shared" si="2152"/>
        <v>136200000</v>
      </c>
      <c r="K718" s="17">
        <f t="shared" ref="K718:M718" si="2153">roundup((XLOOKUP($D718,$T$3:$T$10,$U$3:$U$10)*XLOOKUP(K$2,$AA$3:$AA$5,$AD$3:$AD$5)-ABS(XLOOKUP($C718,$Q$3:$Q$16,$R$3:$R$16)))*$B718,-5)</f>
        <v>51000000</v>
      </c>
      <c r="L718" s="17">
        <f t="shared" si="2153"/>
        <v>142100000</v>
      </c>
      <c r="M718" s="17">
        <f t="shared" si="2153"/>
        <v>154600000</v>
      </c>
    </row>
    <row r="719">
      <c r="A719" s="14" t="s">
        <v>762</v>
      </c>
      <c r="B719" s="14">
        <v>86.0</v>
      </c>
      <c r="C719" s="15">
        <f t="shared" si="4"/>
        <v>11</v>
      </c>
      <c r="D719" s="14" t="s">
        <v>33</v>
      </c>
      <c r="E719" s="16">
        <f t="shared" ref="E719:G719" si="2154">ROUNDUP((XLOOKUP($D719,$T$3:$T$10,$U$3:$U$10)*XLOOKUP(E$2,$AA$3:$AA$5,$AB$3:$AB$5)-ABS(XLOOKUP($C719,$Q$3:$Q$16,$R$3:$R$16)))*$B719,-5)</f>
        <v>18700000</v>
      </c>
      <c r="F719" s="16">
        <f t="shared" si="2154"/>
        <v>33100000</v>
      </c>
      <c r="G719" s="16">
        <f t="shared" si="2154"/>
        <v>36100000</v>
      </c>
      <c r="H719" s="17">
        <f t="shared" ref="H719:J719" si="2155">roundup((XLOOKUP($D719,$T$3:$T$10,$U$3:$U$10)*XLOOKUP(H$2,$AA$3:$AA$5,$AC$3:$AC$5)-ABS(XLOOKUP($C719,$Q$3:$Q$16,$R$3:$R$16)))*$B719,-5)</f>
        <v>15400000</v>
      </c>
      <c r="I719" s="17">
        <f t="shared" si="2155"/>
        <v>41000000</v>
      </c>
      <c r="J719" s="17">
        <f t="shared" si="2155"/>
        <v>44500000</v>
      </c>
      <c r="K719" s="17">
        <f t="shared" ref="K719:M719" si="2156">roundup((XLOOKUP($D719,$T$3:$T$10,$U$3:$U$10)*XLOOKUP(K$2,$AA$3:$AA$5,$AD$3:$AD$5)-ABS(XLOOKUP($C719,$Q$3:$Q$16,$R$3:$R$16)))*$B719,-5)</f>
        <v>18200000</v>
      </c>
      <c r="L719" s="17">
        <f t="shared" si="2156"/>
        <v>46300000</v>
      </c>
      <c r="M719" s="17">
        <f t="shared" si="2156"/>
        <v>50200000</v>
      </c>
    </row>
    <row r="720">
      <c r="A720" s="14" t="s">
        <v>763</v>
      </c>
      <c r="B720" s="14">
        <v>109.0</v>
      </c>
      <c r="C720" s="15">
        <f t="shared" si="4"/>
        <v>11</v>
      </c>
      <c r="D720" s="14" t="s">
        <v>33</v>
      </c>
      <c r="E720" s="16">
        <f t="shared" ref="E720:G720" si="2157">ROUNDUP((XLOOKUP($D720,$T$3:$T$10,$U$3:$U$10)*XLOOKUP(E$2,$AA$3:$AA$5,$AB$3:$AB$5)-ABS(XLOOKUP($C720,$Q$3:$Q$16,$R$3:$R$16)))*$B720,-5)</f>
        <v>23700000</v>
      </c>
      <c r="F720" s="16">
        <f t="shared" si="2157"/>
        <v>42000000</v>
      </c>
      <c r="G720" s="16">
        <f t="shared" si="2157"/>
        <v>45800000</v>
      </c>
      <c r="H720" s="17">
        <f t="shared" ref="H720:J720" si="2158">roundup((XLOOKUP($D720,$T$3:$T$10,$U$3:$U$10)*XLOOKUP(H$2,$AA$3:$AA$5,$AC$3:$AC$5)-ABS(XLOOKUP($C720,$Q$3:$Q$16,$R$3:$R$16)))*$B720,-5)</f>
        <v>19500000</v>
      </c>
      <c r="I720" s="17">
        <f t="shared" si="2158"/>
        <v>52000000</v>
      </c>
      <c r="J720" s="17">
        <f t="shared" si="2158"/>
        <v>56400000</v>
      </c>
      <c r="K720" s="17">
        <f t="shared" ref="K720:M720" si="2159">roundup((XLOOKUP($D720,$T$3:$T$10,$U$3:$U$10)*XLOOKUP(K$2,$AA$3:$AA$5,$AD$3:$AD$5)-ABS(XLOOKUP($C720,$Q$3:$Q$16,$R$3:$R$16)))*$B720,-5)</f>
        <v>23100000</v>
      </c>
      <c r="L720" s="17">
        <f t="shared" si="2159"/>
        <v>58700000</v>
      </c>
      <c r="M720" s="17">
        <f t="shared" si="2159"/>
        <v>63600000</v>
      </c>
    </row>
    <row r="721">
      <c r="A721" s="14" t="s">
        <v>764</v>
      </c>
      <c r="B721" s="14">
        <v>91.0</v>
      </c>
      <c r="C721" s="15">
        <f t="shared" si="4"/>
        <v>11</v>
      </c>
      <c r="D721" s="14" t="s">
        <v>33</v>
      </c>
      <c r="E721" s="16">
        <f t="shared" ref="E721:G721" si="2160">ROUNDUP((XLOOKUP($D721,$T$3:$T$10,$U$3:$U$10)*XLOOKUP(E$2,$AA$3:$AA$5,$AB$3:$AB$5)-ABS(XLOOKUP($C721,$Q$3:$Q$16,$R$3:$R$16)))*$B721,-5)</f>
        <v>19800000</v>
      </c>
      <c r="F721" s="16">
        <f t="shared" si="2160"/>
        <v>35100000</v>
      </c>
      <c r="G721" s="16">
        <f t="shared" si="2160"/>
        <v>38200000</v>
      </c>
      <c r="H721" s="17">
        <f t="shared" ref="H721:J721" si="2161">roundup((XLOOKUP($D721,$T$3:$T$10,$U$3:$U$10)*XLOOKUP(H$2,$AA$3:$AA$5,$AC$3:$AC$5)-ABS(XLOOKUP($C721,$Q$3:$Q$16,$R$3:$R$16)))*$B721,-5)</f>
        <v>16300000</v>
      </c>
      <c r="I721" s="17">
        <f t="shared" si="2161"/>
        <v>43400000</v>
      </c>
      <c r="J721" s="17">
        <f t="shared" si="2161"/>
        <v>47100000</v>
      </c>
      <c r="K721" s="17">
        <f t="shared" ref="K721:M721" si="2162">roundup((XLOOKUP($D721,$T$3:$T$10,$U$3:$U$10)*XLOOKUP(K$2,$AA$3:$AA$5,$AD$3:$AD$5)-ABS(XLOOKUP($C721,$Q$3:$Q$16,$R$3:$R$16)))*$B721,-5)</f>
        <v>19300000</v>
      </c>
      <c r="L721" s="17">
        <f t="shared" si="2162"/>
        <v>49000000</v>
      </c>
      <c r="M721" s="17">
        <f t="shared" si="2162"/>
        <v>53100000</v>
      </c>
    </row>
    <row r="722">
      <c r="A722" s="14" t="s">
        <v>765</v>
      </c>
      <c r="B722" s="14">
        <v>73.0</v>
      </c>
      <c r="C722" s="15">
        <f t="shared" si="4"/>
        <v>9</v>
      </c>
      <c r="D722" s="14" t="s">
        <v>36</v>
      </c>
      <c r="E722" s="16">
        <f t="shared" ref="E722:G722" si="2163">ROUNDUP((XLOOKUP($D722,$T$3:$T$10,$U$3:$U$10)*XLOOKUP(E$2,$AA$3:$AA$5,$AB$3:$AB$5)-ABS(XLOOKUP($C722,$Q$3:$Q$16,$R$3:$R$16)))*$B722,-5)</f>
        <v>25800000</v>
      </c>
      <c r="F722" s="16">
        <f t="shared" si="2163"/>
        <v>39600000</v>
      </c>
      <c r="G722" s="16">
        <f t="shared" si="2163"/>
        <v>42400000</v>
      </c>
      <c r="H722" s="17">
        <f t="shared" ref="H722:J722" si="2164">roundup((XLOOKUP($D722,$T$3:$T$10,$U$3:$U$10)*XLOOKUP(H$2,$AA$3:$AA$5,$AC$3:$AC$5)-ABS(XLOOKUP($C722,$Q$3:$Q$16,$R$3:$R$16)))*$B722,-5)</f>
        <v>22700000</v>
      </c>
      <c r="I722" s="17">
        <f t="shared" si="2164"/>
        <v>47100000</v>
      </c>
      <c r="J722" s="17">
        <f t="shared" si="2164"/>
        <v>50400000</v>
      </c>
      <c r="K722" s="17">
        <f t="shared" ref="K722:M722" si="2165">roundup((XLOOKUP($D722,$T$3:$T$10,$U$3:$U$10)*XLOOKUP(K$2,$AA$3:$AA$5,$AD$3:$AD$5)-ABS(XLOOKUP($C722,$Q$3:$Q$16,$R$3:$R$16)))*$B722,-5)</f>
        <v>25400000</v>
      </c>
      <c r="L722" s="17">
        <f t="shared" si="2165"/>
        <v>52100000</v>
      </c>
      <c r="M722" s="17">
        <f t="shared" si="2165"/>
        <v>55800000</v>
      </c>
    </row>
    <row r="723">
      <c r="A723" s="14" t="s">
        <v>766</v>
      </c>
      <c r="B723" s="14">
        <v>130.0</v>
      </c>
      <c r="C723" s="15">
        <f t="shared" si="4"/>
        <v>11</v>
      </c>
      <c r="D723" s="14" t="s">
        <v>36</v>
      </c>
      <c r="E723" s="16">
        <f t="shared" ref="E723:G723" si="2166">ROUNDUP((XLOOKUP($D723,$T$3:$T$10,$U$3:$U$10)*XLOOKUP(E$2,$AA$3:$AA$5,$AB$3:$AB$5)-ABS(XLOOKUP($C723,$Q$3:$Q$16,$R$3:$R$16)))*$B723,-5)</f>
        <v>34100000</v>
      </c>
      <c r="F723" s="16">
        <f t="shared" si="2166"/>
        <v>58600000</v>
      </c>
      <c r="G723" s="16">
        <f t="shared" si="2166"/>
        <v>63700000</v>
      </c>
      <c r="H723" s="17">
        <f t="shared" ref="H723:J723" si="2167">roundup((XLOOKUP($D723,$T$3:$T$10,$U$3:$U$10)*XLOOKUP(H$2,$AA$3:$AA$5,$AC$3:$AC$5)-ABS(XLOOKUP($C723,$Q$3:$Q$16,$R$3:$R$16)))*$B723,-5)</f>
        <v>28600000</v>
      </c>
      <c r="I723" s="17">
        <f t="shared" si="2167"/>
        <v>72000000</v>
      </c>
      <c r="J723" s="17">
        <f t="shared" si="2167"/>
        <v>77900000</v>
      </c>
      <c r="K723" s="17">
        <f t="shared" ref="K723:M723" si="2168">roundup((XLOOKUP($D723,$T$3:$T$10,$U$3:$U$10)*XLOOKUP(K$2,$AA$3:$AA$5,$AD$3:$AD$5)-ABS(XLOOKUP($C723,$Q$3:$Q$16,$R$3:$R$16)))*$B723,-5)</f>
        <v>33400000</v>
      </c>
      <c r="L723" s="17">
        <f t="shared" si="2168"/>
        <v>81000000</v>
      </c>
      <c r="M723" s="17">
        <f t="shared" si="2168"/>
        <v>87500000</v>
      </c>
    </row>
    <row r="724">
      <c r="A724" s="14" t="s">
        <v>767</v>
      </c>
      <c r="B724" s="14">
        <v>61.0</v>
      </c>
      <c r="C724" s="15">
        <f t="shared" si="4"/>
        <v>9</v>
      </c>
      <c r="D724" s="14" t="s">
        <v>36</v>
      </c>
      <c r="E724" s="16">
        <f t="shared" ref="E724:G724" si="2169">ROUNDUP((XLOOKUP($D724,$T$3:$T$10,$U$3:$U$10)*XLOOKUP(E$2,$AA$3:$AA$5,$AB$3:$AB$5)-ABS(XLOOKUP($C724,$Q$3:$Q$16,$R$3:$R$16)))*$B724,-5)</f>
        <v>21600000</v>
      </c>
      <c r="F724" s="16">
        <f t="shared" si="2169"/>
        <v>33100000</v>
      </c>
      <c r="G724" s="16">
        <f t="shared" si="2169"/>
        <v>35500000</v>
      </c>
      <c r="H724" s="17">
        <f t="shared" ref="H724:J724" si="2170">roundup((XLOOKUP($D724,$T$3:$T$10,$U$3:$U$10)*XLOOKUP(H$2,$AA$3:$AA$5,$AC$3:$AC$5)-ABS(XLOOKUP($C724,$Q$3:$Q$16,$R$3:$R$16)))*$B724,-5)</f>
        <v>19000000</v>
      </c>
      <c r="I724" s="17">
        <f t="shared" si="2170"/>
        <v>39300000</v>
      </c>
      <c r="J724" s="17">
        <f t="shared" si="2170"/>
        <v>42100000</v>
      </c>
      <c r="K724" s="17">
        <f t="shared" ref="K724:M724" si="2171">roundup((XLOOKUP($D724,$T$3:$T$10,$U$3:$U$10)*XLOOKUP(K$2,$AA$3:$AA$5,$AD$3:$AD$5)-ABS(XLOOKUP($C724,$Q$3:$Q$16,$R$3:$R$16)))*$B724,-5)</f>
        <v>21200000</v>
      </c>
      <c r="L724" s="17">
        <f t="shared" si="2171"/>
        <v>43600000</v>
      </c>
      <c r="M724" s="17">
        <f t="shared" si="2171"/>
        <v>46600000</v>
      </c>
    </row>
    <row r="725">
      <c r="A725" s="14" t="s">
        <v>768</v>
      </c>
      <c r="B725" s="14">
        <v>103.0</v>
      </c>
      <c r="C725" s="15">
        <f t="shared" si="4"/>
        <v>11</v>
      </c>
      <c r="D725" s="14" t="s">
        <v>36</v>
      </c>
      <c r="E725" s="16">
        <f t="shared" ref="E725:G725" si="2172">ROUNDUP((XLOOKUP($D725,$T$3:$T$10,$U$3:$U$10)*XLOOKUP(E$2,$AA$3:$AA$5,$AB$3:$AB$5)-ABS(XLOOKUP($C725,$Q$3:$Q$16,$R$3:$R$16)))*$B725,-5)</f>
        <v>27100000</v>
      </c>
      <c r="F725" s="16">
        <f t="shared" si="2172"/>
        <v>46500000</v>
      </c>
      <c r="G725" s="16">
        <f t="shared" si="2172"/>
        <v>50500000</v>
      </c>
      <c r="H725" s="17">
        <f t="shared" ref="H725:J725" si="2173">roundup((XLOOKUP($D725,$T$3:$T$10,$U$3:$U$10)*XLOOKUP(H$2,$AA$3:$AA$5,$AC$3:$AC$5)-ABS(XLOOKUP($C725,$Q$3:$Q$16,$R$3:$R$16)))*$B725,-5)</f>
        <v>22600000</v>
      </c>
      <c r="I725" s="17">
        <f t="shared" si="2173"/>
        <v>57000000</v>
      </c>
      <c r="J725" s="17">
        <f t="shared" si="2173"/>
        <v>61700000</v>
      </c>
      <c r="K725" s="17">
        <f t="shared" ref="K725:M725" si="2174">roundup((XLOOKUP($D725,$T$3:$T$10,$U$3:$U$10)*XLOOKUP(K$2,$AA$3:$AA$5,$AD$3:$AD$5)-ABS(XLOOKUP($C725,$Q$3:$Q$16,$R$3:$R$16)))*$B725,-5)</f>
        <v>26500000</v>
      </c>
      <c r="L725" s="17">
        <f t="shared" si="2174"/>
        <v>64200000</v>
      </c>
      <c r="M725" s="17">
        <f t="shared" si="2174"/>
        <v>69300000</v>
      </c>
    </row>
    <row r="726">
      <c r="A726" s="14" t="s">
        <v>769</v>
      </c>
      <c r="B726" s="14">
        <v>215.0</v>
      </c>
      <c r="C726" s="15">
        <f t="shared" si="4"/>
        <v>13</v>
      </c>
      <c r="D726" s="14" t="s">
        <v>33</v>
      </c>
      <c r="E726" s="16">
        <f t="shared" ref="E726:G726" si="2175">ROUNDUP((XLOOKUP($D726,$T$3:$T$10,$U$3:$U$10)*XLOOKUP(E$2,$AA$3:$AA$5,$AB$3:$AB$5)-ABS(XLOOKUP($C726,$Q$3:$Q$16,$R$3:$R$16)))*$B726,-5)</f>
        <v>42300000</v>
      </c>
      <c r="F726" s="16">
        <f t="shared" si="2175"/>
        <v>78500000</v>
      </c>
      <c r="G726" s="16">
        <f t="shared" si="2175"/>
        <v>85900000</v>
      </c>
      <c r="H726" s="17">
        <f t="shared" ref="H726:J726" si="2176">roundup((XLOOKUP($D726,$T$3:$T$10,$U$3:$U$10)*XLOOKUP(H$2,$AA$3:$AA$5,$AC$3:$AC$5)-ABS(XLOOKUP($C726,$Q$3:$Q$16,$R$3:$R$16)))*$B726,-5)</f>
        <v>34100000</v>
      </c>
      <c r="I726" s="17">
        <f t="shared" si="2176"/>
        <v>98200000</v>
      </c>
      <c r="J726" s="17">
        <f t="shared" si="2176"/>
        <v>106900000</v>
      </c>
      <c r="K726" s="17">
        <f t="shared" ref="K726:M726" si="2177">roundup((XLOOKUP($D726,$T$3:$T$10,$U$3:$U$10)*XLOOKUP(K$2,$AA$3:$AA$5,$AD$3:$AD$5)-ABS(XLOOKUP($C726,$Q$3:$Q$16,$R$3:$R$16)))*$B726,-5)</f>
        <v>41200000</v>
      </c>
      <c r="L726" s="17">
        <f t="shared" si="2177"/>
        <v>111500000</v>
      </c>
      <c r="M726" s="17">
        <f t="shared" si="2177"/>
        <v>121100000</v>
      </c>
    </row>
    <row r="727">
      <c r="A727" s="14" t="s">
        <v>770</v>
      </c>
      <c r="B727" s="14">
        <v>237.0</v>
      </c>
      <c r="C727" s="15">
        <f t="shared" si="4"/>
        <v>14</v>
      </c>
      <c r="D727" s="14" t="s">
        <v>33</v>
      </c>
      <c r="E727" s="16">
        <f t="shared" ref="E727:G727" si="2178">ROUNDUP((XLOOKUP($D727,$T$3:$T$10,$U$3:$U$10)*XLOOKUP(E$2,$AA$3:$AA$5,$AB$3:$AB$5)-ABS(XLOOKUP($C727,$Q$3:$Q$16,$R$3:$R$16)))*$B727,-5)</f>
        <v>44500000</v>
      </c>
      <c r="F727" s="16">
        <f t="shared" si="2178"/>
        <v>84400000</v>
      </c>
      <c r="G727" s="16">
        <f t="shared" si="2178"/>
        <v>92600000</v>
      </c>
      <c r="H727" s="17">
        <f t="shared" ref="H727:J727" si="2179">roundup((XLOOKUP($D727,$T$3:$T$10,$U$3:$U$10)*XLOOKUP(H$2,$AA$3:$AA$5,$AC$3:$AC$5)-ABS(XLOOKUP($C727,$Q$3:$Q$16,$R$3:$R$16)))*$B727,-5)</f>
        <v>35500000</v>
      </c>
      <c r="I727" s="17">
        <f t="shared" si="2179"/>
        <v>106100000</v>
      </c>
      <c r="J727" s="17">
        <f t="shared" si="2179"/>
        <v>115700000</v>
      </c>
      <c r="K727" s="17">
        <f t="shared" ref="K727:M727" si="2180">roundup((XLOOKUP($D727,$T$3:$T$10,$U$3:$U$10)*XLOOKUP(K$2,$AA$3:$AA$5,$AD$3:$AD$5)-ABS(XLOOKUP($C727,$Q$3:$Q$16,$R$3:$R$16)))*$B727,-5)</f>
        <v>43300000</v>
      </c>
      <c r="L727" s="17">
        <f t="shared" si="2180"/>
        <v>120800000</v>
      </c>
      <c r="M727" s="17">
        <f t="shared" si="2180"/>
        <v>131300000</v>
      </c>
    </row>
    <row r="728">
      <c r="A728" s="14" t="s">
        <v>771</v>
      </c>
      <c r="B728" s="14">
        <v>169.0</v>
      </c>
      <c r="C728" s="15">
        <f t="shared" si="4"/>
        <v>12</v>
      </c>
      <c r="D728" s="14" t="s">
        <v>33</v>
      </c>
      <c r="E728" s="16">
        <f t="shared" ref="E728:G728" si="2181">ROUNDUP((XLOOKUP($D728,$T$3:$T$10,$U$3:$U$10)*XLOOKUP(E$2,$AA$3:$AA$5,$AB$3:$AB$5)-ABS(XLOOKUP($C728,$Q$3:$Q$16,$R$3:$R$16)))*$B728,-5)</f>
        <v>35800000</v>
      </c>
      <c r="F728" s="16">
        <f t="shared" si="2181"/>
        <v>64200000</v>
      </c>
      <c r="G728" s="16">
        <f t="shared" si="2181"/>
        <v>70100000</v>
      </c>
      <c r="H728" s="17">
        <f t="shared" ref="H728:J728" si="2182">roundup((XLOOKUP($D728,$T$3:$T$10,$U$3:$U$10)*XLOOKUP(H$2,$AA$3:$AA$5,$AC$3:$AC$5)-ABS(XLOOKUP($C728,$Q$3:$Q$16,$R$3:$R$16)))*$B728,-5)</f>
        <v>29400000</v>
      </c>
      <c r="I728" s="17">
        <f t="shared" si="2182"/>
        <v>79700000</v>
      </c>
      <c r="J728" s="17">
        <f t="shared" si="2182"/>
        <v>86600000</v>
      </c>
      <c r="K728" s="17">
        <f t="shared" ref="K728:M728" si="2183">roundup((XLOOKUP($D728,$T$3:$T$10,$U$3:$U$10)*XLOOKUP(K$2,$AA$3:$AA$5,$AD$3:$AD$5)-ABS(XLOOKUP($C728,$Q$3:$Q$16,$R$3:$R$16)))*$B728,-5)</f>
        <v>34900000</v>
      </c>
      <c r="L728" s="17">
        <f t="shared" si="2183"/>
        <v>90200000</v>
      </c>
      <c r="M728" s="17">
        <f t="shared" si="2183"/>
        <v>97700000</v>
      </c>
    </row>
    <row r="729">
      <c r="A729" s="14" t="s">
        <v>772</v>
      </c>
      <c r="B729" s="14">
        <v>196.0</v>
      </c>
      <c r="C729" s="15">
        <f t="shared" si="4"/>
        <v>13</v>
      </c>
      <c r="D729" s="14" t="s">
        <v>33</v>
      </c>
      <c r="E729" s="16">
        <f t="shared" ref="E729:G729" si="2184">ROUNDUP((XLOOKUP($D729,$T$3:$T$10,$U$3:$U$10)*XLOOKUP(E$2,$AA$3:$AA$5,$AB$3:$AB$5)-ABS(XLOOKUP($C729,$Q$3:$Q$16,$R$3:$R$16)))*$B729,-5)</f>
        <v>38600000</v>
      </c>
      <c r="F729" s="16">
        <f t="shared" si="2184"/>
        <v>71500000</v>
      </c>
      <c r="G729" s="16">
        <f t="shared" si="2184"/>
        <v>78400000</v>
      </c>
      <c r="H729" s="17">
        <f t="shared" ref="H729:J729" si="2185">roundup((XLOOKUP($D729,$T$3:$T$10,$U$3:$U$10)*XLOOKUP(H$2,$AA$3:$AA$5,$AC$3:$AC$5)-ABS(XLOOKUP($C729,$Q$3:$Q$16,$R$3:$R$16)))*$B729,-5)</f>
        <v>31100000</v>
      </c>
      <c r="I729" s="17">
        <f t="shared" si="2185"/>
        <v>89500000</v>
      </c>
      <c r="J729" s="17">
        <f t="shared" si="2185"/>
        <v>97400000</v>
      </c>
      <c r="K729" s="17">
        <f t="shared" ref="K729:M729" si="2186">roundup((XLOOKUP($D729,$T$3:$T$10,$U$3:$U$10)*XLOOKUP(K$2,$AA$3:$AA$5,$AD$3:$AD$5)-ABS(XLOOKUP($C729,$Q$3:$Q$16,$R$3:$R$16)))*$B729,-5)</f>
        <v>37600000</v>
      </c>
      <c r="L729" s="17">
        <f t="shared" si="2186"/>
        <v>101600000</v>
      </c>
      <c r="M729" s="17">
        <f t="shared" si="2186"/>
        <v>110400000</v>
      </c>
    </row>
    <row r="730">
      <c r="A730" s="14" t="s">
        <v>773</v>
      </c>
      <c r="B730" s="14">
        <v>135.0</v>
      </c>
      <c r="C730" s="15">
        <f t="shared" si="4"/>
        <v>11</v>
      </c>
      <c r="D730" s="14" t="s">
        <v>36</v>
      </c>
      <c r="E730" s="16">
        <f t="shared" ref="E730:G730" si="2187">ROUNDUP((XLOOKUP($D730,$T$3:$T$10,$U$3:$U$10)*XLOOKUP(E$2,$AA$3:$AA$5,$AB$3:$AB$5)-ABS(XLOOKUP($C730,$Q$3:$Q$16,$R$3:$R$16)))*$B730,-5)</f>
        <v>35400000</v>
      </c>
      <c r="F730" s="16">
        <f t="shared" si="2187"/>
        <v>60900000</v>
      </c>
      <c r="G730" s="16">
        <f t="shared" si="2187"/>
        <v>66100000</v>
      </c>
      <c r="H730" s="17">
        <f t="shared" ref="H730:J730" si="2188">roundup((XLOOKUP($D730,$T$3:$T$10,$U$3:$U$10)*XLOOKUP(H$2,$AA$3:$AA$5,$AC$3:$AC$5)-ABS(XLOOKUP($C730,$Q$3:$Q$16,$R$3:$R$16)))*$B730,-5)</f>
        <v>29700000</v>
      </c>
      <c r="I730" s="17">
        <f t="shared" si="2188"/>
        <v>74700000</v>
      </c>
      <c r="J730" s="17">
        <f t="shared" si="2188"/>
        <v>80900000</v>
      </c>
      <c r="K730" s="17">
        <f t="shared" ref="K730:M730" si="2189">roundup((XLOOKUP($D730,$T$3:$T$10,$U$3:$U$10)*XLOOKUP(K$2,$AA$3:$AA$5,$AD$3:$AD$5)-ABS(XLOOKUP($C730,$Q$3:$Q$16,$R$3:$R$16)))*$B730,-5)</f>
        <v>34700000</v>
      </c>
      <c r="L730" s="17">
        <f t="shared" si="2189"/>
        <v>84100000</v>
      </c>
      <c r="M730" s="17">
        <f t="shared" si="2189"/>
        <v>90900000</v>
      </c>
    </row>
    <row r="731">
      <c r="A731" s="14" t="s">
        <v>774</v>
      </c>
      <c r="B731" s="14">
        <v>113.0</v>
      </c>
      <c r="C731" s="15">
        <f t="shared" si="4"/>
        <v>11</v>
      </c>
      <c r="D731" s="14" t="s">
        <v>36</v>
      </c>
      <c r="E731" s="16">
        <f t="shared" ref="E731:G731" si="2190">ROUNDUP((XLOOKUP($D731,$T$3:$T$10,$U$3:$U$10)*XLOOKUP(E$2,$AA$3:$AA$5,$AB$3:$AB$5)-ABS(XLOOKUP($C731,$Q$3:$Q$16,$R$3:$R$16)))*$B731,-5)</f>
        <v>29700000</v>
      </c>
      <c r="F731" s="16">
        <f t="shared" si="2190"/>
        <v>51000000</v>
      </c>
      <c r="G731" s="16">
        <f t="shared" si="2190"/>
        <v>55400000</v>
      </c>
      <c r="H731" s="17">
        <f t="shared" ref="H731:J731" si="2191">roundup((XLOOKUP($D731,$T$3:$T$10,$U$3:$U$10)*XLOOKUP(H$2,$AA$3:$AA$5,$AC$3:$AC$5)-ABS(XLOOKUP($C731,$Q$3:$Q$16,$R$3:$R$16)))*$B731,-5)</f>
        <v>24800000</v>
      </c>
      <c r="I731" s="17">
        <f t="shared" si="2191"/>
        <v>62600000</v>
      </c>
      <c r="J731" s="17">
        <f t="shared" si="2191"/>
        <v>67700000</v>
      </c>
      <c r="K731" s="17">
        <f t="shared" ref="K731:M731" si="2192">roundup((XLOOKUP($D731,$T$3:$T$10,$U$3:$U$10)*XLOOKUP(K$2,$AA$3:$AA$5,$AD$3:$AD$5)-ABS(XLOOKUP($C731,$Q$3:$Q$16,$R$3:$R$16)))*$B731,-5)</f>
        <v>29000000</v>
      </c>
      <c r="L731" s="17">
        <f t="shared" si="2192"/>
        <v>70400000</v>
      </c>
      <c r="M731" s="17">
        <f t="shared" si="2192"/>
        <v>76100000</v>
      </c>
    </row>
    <row r="732">
      <c r="A732" s="14" t="s">
        <v>775</v>
      </c>
      <c r="B732" s="14">
        <v>140.0</v>
      </c>
      <c r="C732" s="15">
        <f t="shared" si="4"/>
        <v>11</v>
      </c>
      <c r="D732" s="14" t="s">
        <v>33</v>
      </c>
      <c r="E732" s="16">
        <f t="shared" ref="E732:G732" si="2193">ROUNDUP((XLOOKUP($D732,$T$3:$T$10,$U$3:$U$10)*XLOOKUP(E$2,$AA$3:$AA$5,$AB$3:$AB$5)-ABS(XLOOKUP($C732,$Q$3:$Q$16,$R$3:$R$16)))*$B732,-5)</f>
        <v>30400000</v>
      </c>
      <c r="F732" s="16">
        <f t="shared" si="2193"/>
        <v>53900000</v>
      </c>
      <c r="G732" s="16">
        <f t="shared" si="2193"/>
        <v>58800000</v>
      </c>
      <c r="H732" s="17">
        <f t="shared" ref="H732:J732" si="2194">roundup((XLOOKUP($D732,$T$3:$T$10,$U$3:$U$10)*XLOOKUP(H$2,$AA$3:$AA$5,$AC$3:$AC$5)-ABS(XLOOKUP($C732,$Q$3:$Q$16,$R$3:$R$16)))*$B732,-5)</f>
        <v>25000000</v>
      </c>
      <c r="I732" s="17">
        <f t="shared" si="2194"/>
        <v>66700000</v>
      </c>
      <c r="J732" s="17">
        <f t="shared" si="2194"/>
        <v>72400000</v>
      </c>
      <c r="K732" s="17">
        <f t="shared" ref="K732:M732" si="2195">roundup((XLOOKUP($D732,$T$3:$T$10,$U$3:$U$10)*XLOOKUP(K$2,$AA$3:$AA$5,$AD$3:$AD$5)-ABS(XLOOKUP($C732,$Q$3:$Q$16,$R$3:$R$16)))*$B732,-5)</f>
        <v>29700000</v>
      </c>
      <c r="L732" s="17">
        <f t="shared" si="2195"/>
        <v>75400000</v>
      </c>
      <c r="M732" s="17">
        <f t="shared" si="2195"/>
        <v>81700000</v>
      </c>
    </row>
    <row r="733">
      <c r="A733" s="14" t="s">
        <v>776</v>
      </c>
      <c r="B733" s="14">
        <v>219.0</v>
      </c>
      <c r="C733" s="15">
        <f t="shared" si="4"/>
        <v>13</v>
      </c>
      <c r="D733" s="14" t="s">
        <v>36</v>
      </c>
      <c r="E733" s="16">
        <f t="shared" ref="E733:G733" si="2196">ROUNDUP((XLOOKUP($D733,$T$3:$T$10,$U$3:$U$10)*XLOOKUP(E$2,$AA$3:$AA$5,$AB$3:$AB$5)-ABS(XLOOKUP($C733,$Q$3:$Q$16,$R$3:$R$16)))*$B733,-5)</f>
        <v>53100000</v>
      </c>
      <c r="F733" s="16">
        <f t="shared" si="2196"/>
        <v>94300000</v>
      </c>
      <c r="G733" s="16">
        <f t="shared" si="2196"/>
        <v>102900000</v>
      </c>
      <c r="H733" s="17">
        <f t="shared" ref="H733:J733" si="2197">roundup((XLOOKUP($D733,$T$3:$T$10,$U$3:$U$10)*XLOOKUP(H$2,$AA$3:$AA$5,$AC$3:$AC$5)-ABS(XLOOKUP($C733,$Q$3:$Q$16,$R$3:$R$16)))*$B733,-5)</f>
        <v>43700000</v>
      </c>
      <c r="I733" s="17">
        <f t="shared" si="2197"/>
        <v>116800000</v>
      </c>
      <c r="J733" s="17">
        <f t="shared" si="2197"/>
        <v>126800000</v>
      </c>
      <c r="K733" s="17">
        <f t="shared" ref="K733:M733" si="2198">roundup((XLOOKUP($D733,$T$3:$T$10,$U$3:$U$10)*XLOOKUP(K$2,$AA$3:$AA$5,$AD$3:$AD$5)-ABS(XLOOKUP($C733,$Q$3:$Q$16,$R$3:$R$16)))*$B733,-5)</f>
        <v>51800000</v>
      </c>
      <c r="L733" s="17">
        <f t="shared" si="2198"/>
        <v>132000000</v>
      </c>
      <c r="M733" s="17">
        <f t="shared" si="2198"/>
        <v>143000000</v>
      </c>
    </row>
    <row r="734">
      <c r="A734" s="14" t="s">
        <v>777</v>
      </c>
      <c r="B734" s="14">
        <v>503.0</v>
      </c>
      <c r="C734" s="15">
        <f t="shared" si="4"/>
        <v>14</v>
      </c>
      <c r="D734" s="14" t="s">
        <v>36</v>
      </c>
      <c r="E734" s="16">
        <f t="shared" ref="E734:G734" si="2199">ROUNDUP((XLOOKUP($D734,$T$3:$T$10,$U$3:$U$10)*XLOOKUP(E$2,$AA$3:$AA$5,$AB$3:$AB$5)-ABS(XLOOKUP($C734,$Q$3:$Q$16,$R$3:$R$16)))*$B734,-5)</f>
        <v>117300000</v>
      </c>
      <c r="F734" s="16">
        <f t="shared" si="2199"/>
        <v>212100000</v>
      </c>
      <c r="G734" s="16">
        <f t="shared" si="2199"/>
        <v>231700000</v>
      </c>
      <c r="H734" s="17">
        <f t="shared" ref="H734:J734" si="2200">roundup((XLOOKUP($D734,$T$3:$T$10,$U$3:$U$10)*XLOOKUP(H$2,$AA$3:$AA$5,$AC$3:$AC$5)-ABS(XLOOKUP($C734,$Q$3:$Q$16,$R$3:$R$16)))*$B734,-5)</f>
        <v>95800000</v>
      </c>
      <c r="I734" s="17">
        <f t="shared" si="2200"/>
        <v>263700000</v>
      </c>
      <c r="J734" s="17">
        <f t="shared" si="2200"/>
        <v>286600000</v>
      </c>
      <c r="K734" s="17">
        <f t="shared" ref="K734:M734" si="2201">roundup((XLOOKUP($D734,$T$3:$T$10,$U$3:$U$10)*XLOOKUP(K$2,$AA$3:$AA$5,$AD$3:$AD$5)-ABS(XLOOKUP($C734,$Q$3:$Q$16,$R$3:$R$16)))*$B734,-5)</f>
        <v>114400000</v>
      </c>
      <c r="L734" s="17">
        <f t="shared" si="2201"/>
        <v>298700000</v>
      </c>
      <c r="M734" s="17">
        <f t="shared" si="2201"/>
        <v>323800000</v>
      </c>
    </row>
    <row r="735">
      <c r="A735" s="14" t="s">
        <v>778</v>
      </c>
      <c r="B735" s="14">
        <v>288.0</v>
      </c>
      <c r="C735" s="15">
        <f t="shared" si="4"/>
        <v>14</v>
      </c>
      <c r="D735" s="14" t="s">
        <v>33</v>
      </c>
      <c r="E735" s="16">
        <f t="shared" ref="E735:G735" si="2202">ROUNDUP((XLOOKUP($D735,$T$3:$T$10,$U$3:$U$10)*XLOOKUP(E$2,$AA$3:$AA$5,$AB$3:$AB$5)-ABS(XLOOKUP($C735,$Q$3:$Q$16,$R$3:$R$16)))*$B735,-5)</f>
        <v>54100000</v>
      </c>
      <c r="F735" s="16">
        <f t="shared" si="2202"/>
        <v>102500000</v>
      </c>
      <c r="G735" s="16">
        <f t="shared" si="2202"/>
        <v>112500000</v>
      </c>
      <c r="H735" s="17">
        <f t="shared" ref="H735:J735" si="2203">roundup((XLOOKUP($D735,$T$3:$T$10,$U$3:$U$10)*XLOOKUP(H$2,$AA$3:$AA$5,$AC$3:$AC$5)-ABS(XLOOKUP($C735,$Q$3:$Q$16,$R$3:$R$16)))*$B735,-5)</f>
        <v>43100000</v>
      </c>
      <c r="I735" s="17">
        <f t="shared" si="2203"/>
        <v>128900000</v>
      </c>
      <c r="J735" s="17">
        <f t="shared" si="2203"/>
        <v>140600000</v>
      </c>
      <c r="K735" s="17">
        <f t="shared" ref="K735:M735" si="2204">roundup((XLOOKUP($D735,$T$3:$T$10,$U$3:$U$10)*XLOOKUP(K$2,$AA$3:$AA$5,$AD$3:$AD$5)-ABS(XLOOKUP($C735,$Q$3:$Q$16,$R$3:$R$16)))*$B735,-5)</f>
        <v>52600000</v>
      </c>
      <c r="L735" s="17">
        <f t="shared" si="2204"/>
        <v>146700000</v>
      </c>
      <c r="M735" s="17">
        <f t="shared" si="2204"/>
        <v>159600000</v>
      </c>
    </row>
    <row r="736">
      <c r="A736" s="14" t="s">
        <v>779</v>
      </c>
      <c r="B736" s="14">
        <v>44.0</v>
      </c>
      <c r="C736" s="15">
        <f t="shared" si="4"/>
        <v>5</v>
      </c>
      <c r="D736" s="14" t="s">
        <v>36</v>
      </c>
      <c r="E736" s="16">
        <f t="shared" ref="E736:G736" si="2205">ROUNDUP((XLOOKUP($D736,$T$3:$T$10,$U$3:$U$10)*XLOOKUP(E$2,$AA$3:$AA$5,$AB$3:$AB$5)-ABS(XLOOKUP($C736,$Q$3:$Q$16,$R$3:$R$16)))*$B736,-5)</f>
        <v>17000000</v>
      </c>
      <c r="F736" s="16">
        <f t="shared" si="2205"/>
        <v>25200000</v>
      </c>
      <c r="G736" s="16">
        <f t="shared" si="2205"/>
        <v>27000000</v>
      </c>
      <c r="H736" s="17">
        <f t="shared" ref="H736:J736" si="2206">roundup((XLOOKUP($D736,$T$3:$T$10,$U$3:$U$10)*XLOOKUP(H$2,$AA$3:$AA$5,$AC$3:$AC$5)-ABS(XLOOKUP($C736,$Q$3:$Q$16,$R$3:$R$16)))*$B736,-5)</f>
        <v>15100000</v>
      </c>
      <c r="I736" s="17">
        <f t="shared" si="2206"/>
        <v>29800000</v>
      </c>
      <c r="J736" s="17">
        <f t="shared" si="2206"/>
        <v>31800000</v>
      </c>
      <c r="K736" s="17">
        <f t="shared" ref="K736:M736" si="2207">roundup((XLOOKUP($D736,$T$3:$T$10,$U$3:$U$10)*XLOOKUP(K$2,$AA$3:$AA$5,$AD$3:$AD$5)-ABS(XLOOKUP($C736,$Q$3:$Q$16,$R$3:$R$16)))*$B736,-5)</f>
        <v>16700000</v>
      </c>
      <c r="L736" s="17">
        <f t="shared" si="2207"/>
        <v>32800000</v>
      </c>
      <c r="M736" s="17">
        <f t="shared" si="2207"/>
        <v>35000000</v>
      </c>
    </row>
    <row r="737">
      <c r="A737" s="14" t="s">
        <v>780</v>
      </c>
      <c r="B737" s="14">
        <v>96.0</v>
      </c>
      <c r="C737" s="15">
        <f t="shared" si="4"/>
        <v>11</v>
      </c>
      <c r="D737" s="14" t="s">
        <v>33</v>
      </c>
      <c r="E737" s="16">
        <f t="shared" ref="E737:G737" si="2208">ROUNDUP((XLOOKUP($D737,$T$3:$T$10,$U$3:$U$10)*XLOOKUP(E$2,$AA$3:$AA$5,$AB$3:$AB$5)-ABS(XLOOKUP($C737,$Q$3:$Q$16,$R$3:$R$16)))*$B737,-5)</f>
        <v>20900000</v>
      </c>
      <c r="F737" s="16">
        <f t="shared" si="2208"/>
        <v>37000000</v>
      </c>
      <c r="G737" s="16">
        <f t="shared" si="2208"/>
        <v>40300000</v>
      </c>
      <c r="H737" s="17">
        <f t="shared" ref="H737:J737" si="2209">roundup((XLOOKUP($D737,$T$3:$T$10,$U$3:$U$10)*XLOOKUP(H$2,$AA$3:$AA$5,$AC$3:$AC$5)-ABS(XLOOKUP($C737,$Q$3:$Q$16,$R$3:$R$16)))*$B737,-5)</f>
        <v>17200000</v>
      </c>
      <c r="I737" s="17">
        <f t="shared" si="2209"/>
        <v>45800000</v>
      </c>
      <c r="J737" s="17">
        <f t="shared" si="2209"/>
        <v>49700000</v>
      </c>
      <c r="K737" s="17">
        <f t="shared" ref="K737:M737" si="2210">roundup((XLOOKUP($D737,$T$3:$T$10,$U$3:$U$10)*XLOOKUP(K$2,$AA$3:$AA$5,$AD$3:$AD$5)-ABS(XLOOKUP($C737,$Q$3:$Q$16,$R$3:$R$16)))*$B737,-5)</f>
        <v>20400000</v>
      </c>
      <c r="L737" s="17">
        <f t="shared" si="2210"/>
        <v>51700000</v>
      </c>
      <c r="M737" s="17">
        <f t="shared" si="2210"/>
        <v>56000000</v>
      </c>
    </row>
    <row r="738">
      <c r="A738" s="14" t="s">
        <v>781</v>
      </c>
      <c r="B738" s="14">
        <v>176.0</v>
      </c>
      <c r="C738" s="15">
        <f t="shared" si="4"/>
        <v>12</v>
      </c>
      <c r="D738" s="14" t="s">
        <v>36</v>
      </c>
      <c r="E738" s="16">
        <f t="shared" ref="E738:G738" si="2211">ROUNDUP((XLOOKUP($D738,$T$3:$T$10,$U$3:$U$10)*XLOOKUP(E$2,$AA$3:$AA$5,$AB$3:$AB$5)-ABS(XLOOKUP($C738,$Q$3:$Q$16,$R$3:$R$16)))*$B738,-5)</f>
        <v>45300000</v>
      </c>
      <c r="F738" s="16">
        <f t="shared" si="2211"/>
        <v>78500000</v>
      </c>
      <c r="G738" s="16">
        <f t="shared" si="2211"/>
        <v>85300000</v>
      </c>
      <c r="H738" s="17">
        <f t="shared" ref="H738:J738" si="2212">roundup((XLOOKUP($D738,$T$3:$T$10,$U$3:$U$10)*XLOOKUP(H$2,$AA$3:$AA$5,$AC$3:$AC$5)-ABS(XLOOKUP($C738,$Q$3:$Q$16,$R$3:$R$16)))*$B738,-5)</f>
        <v>37800000</v>
      </c>
      <c r="I738" s="17">
        <f t="shared" si="2212"/>
        <v>96500000</v>
      </c>
      <c r="J738" s="17">
        <f t="shared" si="2212"/>
        <v>104500000</v>
      </c>
      <c r="K738" s="17">
        <f t="shared" ref="K738:M738" si="2213">roundup((XLOOKUP($D738,$T$3:$T$10,$U$3:$U$10)*XLOOKUP(K$2,$AA$3:$AA$5,$AD$3:$AD$5)-ABS(XLOOKUP($C738,$Q$3:$Q$16,$R$3:$R$16)))*$B738,-5)</f>
        <v>44300000</v>
      </c>
      <c r="L738" s="17">
        <f t="shared" si="2213"/>
        <v>108800000</v>
      </c>
      <c r="M738" s="17">
        <f t="shared" si="2213"/>
        <v>117600000</v>
      </c>
    </row>
    <row r="739">
      <c r="A739" s="14" t="s">
        <v>782</v>
      </c>
      <c r="B739" s="14">
        <v>133.0</v>
      </c>
      <c r="C739" s="15">
        <f t="shared" si="4"/>
        <v>11</v>
      </c>
      <c r="D739" s="14" t="s">
        <v>33</v>
      </c>
      <c r="E739" s="16">
        <f t="shared" ref="E739:G739" si="2214">ROUNDUP((XLOOKUP($D739,$T$3:$T$10,$U$3:$U$10)*XLOOKUP(E$2,$AA$3:$AA$5,$AB$3:$AB$5)-ABS(XLOOKUP($C739,$Q$3:$Q$16,$R$3:$R$16)))*$B739,-5)</f>
        <v>28900000</v>
      </c>
      <c r="F739" s="16">
        <f t="shared" si="2214"/>
        <v>51200000</v>
      </c>
      <c r="G739" s="16">
        <f t="shared" si="2214"/>
        <v>55800000</v>
      </c>
      <c r="H739" s="17">
        <f t="shared" ref="H739:J739" si="2215">roundup((XLOOKUP($D739,$T$3:$T$10,$U$3:$U$10)*XLOOKUP(H$2,$AA$3:$AA$5,$AC$3:$AC$5)-ABS(XLOOKUP($C739,$Q$3:$Q$16,$R$3:$R$16)))*$B739,-5)</f>
        <v>23800000</v>
      </c>
      <c r="I739" s="17">
        <f t="shared" si="2215"/>
        <v>63400000</v>
      </c>
      <c r="J739" s="17">
        <f t="shared" si="2215"/>
        <v>68800000</v>
      </c>
      <c r="K739" s="17">
        <f t="shared" ref="K739:M739" si="2216">roundup((XLOOKUP($D739,$T$3:$T$10,$U$3:$U$10)*XLOOKUP(K$2,$AA$3:$AA$5,$AD$3:$AD$5)-ABS(XLOOKUP($C739,$Q$3:$Q$16,$R$3:$R$16)))*$B739,-5)</f>
        <v>28200000</v>
      </c>
      <c r="L739" s="17">
        <f t="shared" si="2216"/>
        <v>71600000</v>
      </c>
      <c r="M739" s="17">
        <f t="shared" si="2216"/>
        <v>77600000</v>
      </c>
    </row>
    <row r="740">
      <c r="A740" s="14" t="s">
        <v>783</v>
      </c>
      <c r="B740" s="14">
        <v>156.0</v>
      </c>
      <c r="C740" s="15">
        <f t="shared" si="4"/>
        <v>11</v>
      </c>
      <c r="D740" s="14" t="s">
        <v>33</v>
      </c>
      <c r="E740" s="16">
        <f t="shared" ref="E740:G740" si="2217">ROUNDUP((XLOOKUP($D740,$T$3:$T$10,$U$3:$U$10)*XLOOKUP(E$2,$AA$3:$AA$5,$AB$3:$AB$5)-ABS(XLOOKUP($C740,$Q$3:$Q$16,$R$3:$R$16)))*$B740,-5)</f>
        <v>33900000</v>
      </c>
      <c r="F740" s="16">
        <f t="shared" si="2217"/>
        <v>60100000</v>
      </c>
      <c r="G740" s="16">
        <f t="shared" si="2217"/>
        <v>65500000</v>
      </c>
      <c r="H740" s="17">
        <f t="shared" ref="H740:J740" si="2218">roundup((XLOOKUP($D740,$T$3:$T$10,$U$3:$U$10)*XLOOKUP(H$2,$AA$3:$AA$5,$AC$3:$AC$5)-ABS(XLOOKUP($C740,$Q$3:$Q$16,$R$3:$R$16)))*$B740,-5)</f>
        <v>27900000</v>
      </c>
      <c r="I740" s="17">
        <f t="shared" si="2218"/>
        <v>74400000</v>
      </c>
      <c r="J740" s="17">
        <f t="shared" si="2218"/>
        <v>80700000</v>
      </c>
      <c r="K740" s="17">
        <f t="shared" ref="K740:M740" si="2219">roundup((XLOOKUP($D740,$T$3:$T$10,$U$3:$U$10)*XLOOKUP(K$2,$AA$3:$AA$5,$AD$3:$AD$5)-ABS(XLOOKUP($C740,$Q$3:$Q$16,$R$3:$R$16)))*$B740,-5)</f>
        <v>33000000</v>
      </c>
      <c r="L740" s="17">
        <f t="shared" si="2219"/>
        <v>84000000</v>
      </c>
      <c r="M740" s="17">
        <f t="shared" si="2219"/>
        <v>91000000</v>
      </c>
    </row>
    <row r="741">
      <c r="A741" s="14" t="s">
        <v>784</v>
      </c>
      <c r="B741" s="14">
        <v>342.0</v>
      </c>
      <c r="C741" s="15">
        <f t="shared" si="4"/>
        <v>14</v>
      </c>
      <c r="D741" s="14" t="s">
        <v>33</v>
      </c>
      <c r="E741" s="16">
        <f t="shared" ref="E741:G741" si="2220">ROUNDUP((XLOOKUP($D741,$T$3:$T$10,$U$3:$U$10)*XLOOKUP(E$2,$AA$3:$AA$5,$AB$3:$AB$5)-ABS(XLOOKUP($C741,$Q$3:$Q$16,$R$3:$R$16)))*$B741,-5)</f>
        <v>64200000</v>
      </c>
      <c r="F741" s="16">
        <f t="shared" si="2220"/>
        <v>121700000</v>
      </c>
      <c r="G741" s="16">
        <f t="shared" si="2220"/>
        <v>133600000</v>
      </c>
      <c r="H741" s="17">
        <f t="shared" ref="H741:J741" si="2221">roundup((XLOOKUP($D741,$T$3:$T$10,$U$3:$U$10)*XLOOKUP(H$2,$AA$3:$AA$5,$AC$3:$AC$5)-ABS(XLOOKUP($C741,$Q$3:$Q$16,$R$3:$R$16)))*$B741,-5)</f>
        <v>51200000</v>
      </c>
      <c r="I741" s="17">
        <f t="shared" si="2221"/>
        <v>153000000</v>
      </c>
      <c r="J741" s="17">
        <f t="shared" si="2221"/>
        <v>166900000</v>
      </c>
      <c r="K741" s="17">
        <f t="shared" ref="K741:M741" si="2222">roundup((XLOOKUP($D741,$T$3:$T$10,$U$3:$U$10)*XLOOKUP(K$2,$AA$3:$AA$5,$AD$3:$AD$5)-ABS(XLOOKUP($C741,$Q$3:$Q$16,$R$3:$R$16)))*$B741,-5)</f>
        <v>62500000</v>
      </c>
      <c r="L741" s="17">
        <f t="shared" si="2222"/>
        <v>174200000</v>
      </c>
      <c r="M741" s="17">
        <f t="shared" si="2222"/>
        <v>189500000</v>
      </c>
    </row>
    <row r="742">
      <c r="A742" s="14" t="s">
        <v>785</v>
      </c>
      <c r="B742" s="14">
        <v>322.0</v>
      </c>
      <c r="C742" s="15">
        <f t="shared" si="4"/>
        <v>14</v>
      </c>
      <c r="D742" s="14" t="s">
        <v>33</v>
      </c>
      <c r="E742" s="16">
        <f t="shared" ref="E742:G742" si="2223">ROUNDUP((XLOOKUP($D742,$T$3:$T$10,$U$3:$U$10)*XLOOKUP(E$2,$AA$3:$AA$5,$AB$3:$AB$5)-ABS(XLOOKUP($C742,$Q$3:$Q$16,$R$3:$R$16)))*$B742,-5)</f>
        <v>60500000</v>
      </c>
      <c r="F742" s="16">
        <f t="shared" si="2223"/>
        <v>114600000</v>
      </c>
      <c r="G742" s="16">
        <f t="shared" si="2223"/>
        <v>125800000</v>
      </c>
      <c r="H742" s="17">
        <f t="shared" ref="H742:J742" si="2224">roundup((XLOOKUP($D742,$T$3:$T$10,$U$3:$U$10)*XLOOKUP(H$2,$AA$3:$AA$5,$AC$3:$AC$5)-ABS(XLOOKUP($C742,$Q$3:$Q$16,$R$3:$R$16)))*$B742,-5)</f>
        <v>48200000</v>
      </c>
      <c r="I742" s="17">
        <f t="shared" si="2224"/>
        <v>144100000</v>
      </c>
      <c r="J742" s="17">
        <f t="shared" si="2224"/>
        <v>157100000</v>
      </c>
      <c r="K742" s="17">
        <f t="shared" ref="K742:M742" si="2225">roundup((XLOOKUP($D742,$T$3:$T$10,$U$3:$U$10)*XLOOKUP(K$2,$AA$3:$AA$5,$AD$3:$AD$5)-ABS(XLOOKUP($C742,$Q$3:$Q$16,$R$3:$R$16)))*$B742,-5)</f>
        <v>58800000</v>
      </c>
      <c r="L742" s="17">
        <f t="shared" si="2225"/>
        <v>164000000</v>
      </c>
      <c r="M742" s="17">
        <f t="shared" si="2225"/>
        <v>178400000</v>
      </c>
    </row>
    <row r="743">
      <c r="A743" s="14" t="s">
        <v>786</v>
      </c>
      <c r="B743" s="14">
        <v>319.0</v>
      </c>
      <c r="C743" s="15">
        <f t="shared" si="4"/>
        <v>14</v>
      </c>
      <c r="D743" s="14" t="s">
        <v>33</v>
      </c>
      <c r="E743" s="16">
        <f t="shared" ref="E743:G743" si="2226">ROUNDUP((XLOOKUP($D743,$T$3:$T$10,$U$3:$U$10)*XLOOKUP(E$2,$AA$3:$AA$5,$AB$3:$AB$5)-ABS(XLOOKUP($C743,$Q$3:$Q$16,$R$3:$R$16)))*$B743,-5)</f>
        <v>59900000</v>
      </c>
      <c r="F743" s="16">
        <f t="shared" si="2226"/>
        <v>113500000</v>
      </c>
      <c r="G743" s="16">
        <f t="shared" si="2226"/>
        <v>124600000</v>
      </c>
      <c r="H743" s="17">
        <f t="shared" ref="H743:J743" si="2227">roundup((XLOOKUP($D743,$T$3:$T$10,$U$3:$U$10)*XLOOKUP(H$2,$AA$3:$AA$5,$AC$3:$AC$5)-ABS(XLOOKUP($C743,$Q$3:$Q$16,$R$3:$R$16)))*$B743,-5)</f>
        <v>47700000</v>
      </c>
      <c r="I743" s="17">
        <f t="shared" si="2227"/>
        <v>142700000</v>
      </c>
      <c r="J743" s="17">
        <f t="shared" si="2227"/>
        <v>155700000</v>
      </c>
      <c r="K743" s="17">
        <f t="shared" ref="K743:M743" si="2228">roundup((XLOOKUP($D743,$T$3:$T$10,$U$3:$U$10)*XLOOKUP(K$2,$AA$3:$AA$5,$AD$3:$AD$5)-ABS(XLOOKUP($C743,$Q$3:$Q$16,$R$3:$R$16)))*$B743,-5)</f>
        <v>58300000</v>
      </c>
      <c r="L743" s="17">
        <f t="shared" si="2228"/>
        <v>162500000</v>
      </c>
      <c r="M743" s="17">
        <f t="shared" si="2228"/>
        <v>176800000</v>
      </c>
    </row>
    <row r="744">
      <c r="A744" s="14" t="s">
        <v>787</v>
      </c>
      <c r="B744" s="14">
        <v>253.0</v>
      </c>
      <c r="C744" s="15">
        <f t="shared" si="4"/>
        <v>14</v>
      </c>
      <c r="D744" s="14" t="s">
        <v>33</v>
      </c>
      <c r="E744" s="16">
        <f t="shared" ref="E744:G744" si="2229">ROUNDUP((XLOOKUP($D744,$T$3:$T$10,$U$3:$U$10)*XLOOKUP(E$2,$AA$3:$AA$5,$AB$3:$AB$5)-ABS(XLOOKUP($C744,$Q$3:$Q$16,$R$3:$R$16)))*$B744,-5)</f>
        <v>47500000</v>
      </c>
      <c r="F744" s="16">
        <f t="shared" si="2229"/>
        <v>90000000</v>
      </c>
      <c r="G744" s="16">
        <f t="shared" si="2229"/>
        <v>98800000</v>
      </c>
      <c r="H744" s="17">
        <f t="shared" ref="H744:J744" si="2230">roundup((XLOOKUP($D744,$T$3:$T$10,$U$3:$U$10)*XLOOKUP(H$2,$AA$3:$AA$5,$AC$3:$AC$5)-ABS(XLOOKUP($C744,$Q$3:$Q$16,$R$3:$R$16)))*$B744,-5)</f>
        <v>37900000</v>
      </c>
      <c r="I744" s="17">
        <f t="shared" si="2230"/>
        <v>113200000</v>
      </c>
      <c r="J744" s="17">
        <f t="shared" si="2230"/>
        <v>123500000</v>
      </c>
      <c r="K744" s="17">
        <f t="shared" ref="K744:M744" si="2231">roundup((XLOOKUP($D744,$T$3:$T$10,$U$3:$U$10)*XLOOKUP(K$2,$AA$3:$AA$5,$AD$3:$AD$5)-ABS(XLOOKUP($C744,$Q$3:$Q$16,$R$3:$R$16)))*$B744,-5)</f>
        <v>46200000</v>
      </c>
      <c r="L744" s="17">
        <f t="shared" si="2231"/>
        <v>128900000</v>
      </c>
      <c r="M744" s="17">
        <f t="shared" si="2231"/>
        <v>140200000</v>
      </c>
    </row>
    <row r="745">
      <c r="A745" s="14" t="s">
        <v>788</v>
      </c>
      <c r="B745" s="14">
        <v>320.0</v>
      </c>
      <c r="C745" s="15">
        <f t="shared" si="4"/>
        <v>14</v>
      </c>
      <c r="D745" s="14" t="s">
        <v>33</v>
      </c>
      <c r="E745" s="16">
        <f t="shared" ref="E745:G745" si="2232">ROUNDUP((XLOOKUP($D745,$T$3:$T$10,$U$3:$U$10)*XLOOKUP(E$2,$AA$3:$AA$5,$AB$3:$AB$5)-ABS(XLOOKUP($C745,$Q$3:$Q$16,$R$3:$R$16)))*$B745,-5)</f>
        <v>60100000</v>
      </c>
      <c r="F745" s="16">
        <f t="shared" si="2232"/>
        <v>113900000</v>
      </c>
      <c r="G745" s="16">
        <f t="shared" si="2232"/>
        <v>125000000</v>
      </c>
      <c r="H745" s="17">
        <f t="shared" ref="H745:J745" si="2233">roundup((XLOOKUP($D745,$T$3:$T$10,$U$3:$U$10)*XLOOKUP(H$2,$AA$3:$AA$5,$AC$3:$AC$5)-ABS(XLOOKUP($C745,$Q$3:$Q$16,$R$3:$R$16)))*$B745,-5)</f>
        <v>47900000</v>
      </c>
      <c r="I745" s="17">
        <f t="shared" si="2233"/>
        <v>143200000</v>
      </c>
      <c r="J745" s="17">
        <f t="shared" si="2233"/>
        <v>156200000</v>
      </c>
      <c r="K745" s="17">
        <f t="shared" ref="K745:M745" si="2234">roundup((XLOOKUP($D745,$T$3:$T$10,$U$3:$U$10)*XLOOKUP(K$2,$AA$3:$AA$5,$AD$3:$AD$5)-ABS(XLOOKUP($C745,$Q$3:$Q$16,$R$3:$R$16)))*$B745,-5)</f>
        <v>58400000</v>
      </c>
      <c r="L745" s="17">
        <f t="shared" si="2234"/>
        <v>163000000</v>
      </c>
      <c r="M745" s="17">
        <f t="shared" si="2234"/>
        <v>177300000</v>
      </c>
    </row>
    <row r="746">
      <c r="A746" s="14" t="s">
        <v>789</v>
      </c>
      <c r="B746" s="14">
        <v>227.0</v>
      </c>
      <c r="C746" s="15">
        <f t="shared" si="4"/>
        <v>14</v>
      </c>
      <c r="D746" s="14" t="s">
        <v>36</v>
      </c>
      <c r="E746" s="16">
        <f t="shared" ref="E746:G746" si="2235">ROUNDUP((XLOOKUP($D746,$T$3:$T$10,$U$3:$U$10)*XLOOKUP(E$2,$AA$3:$AA$5,$AB$3:$AB$5)-ABS(XLOOKUP($C746,$Q$3:$Q$16,$R$3:$R$16)))*$B746,-5)</f>
        <v>53000000</v>
      </c>
      <c r="F746" s="16">
        <f t="shared" si="2235"/>
        <v>95700000</v>
      </c>
      <c r="G746" s="16">
        <f t="shared" si="2235"/>
        <v>104600000</v>
      </c>
      <c r="H746" s="17">
        <f t="shared" ref="H746:J746" si="2236">roundup((XLOOKUP($D746,$T$3:$T$10,$U$3:$U$10)*XLOOKUP(H$2,$AA$3:$AA$5,$AC$3:$AC$5)-ABS(XLOOKUP($C746,$Q$3:$Q$16,$R$3:$R$16)))*$B746,-5)</f>
        <v>43200000</v>
      </c>
      <c r="I746" s="17">
        <f t="shared" si="2236"/>
        <v>119000000</v>
      </c>
      <c r="J746" s="17">
        <f t="shared" si="2236"/>
        <v>129400000</v>
      </c>
      <c r="K746" s="17">
        <f t="shared" ref="K746:M746" si="2237">roundup((XLOOKUP($D746,$T$3:$T$10,$U$3:$U$10)*XLOOKUP(K$2,$AA$3:$AA$5,$AD$3:$AD$5)-ABS(XLOOKUP($C746,$Q$3:$Q$16,$R$3:$R$16)))*$B746,-5)</f>
        <v>51700000</v>
      </c>
      <c r="L746" s="17">
        <f t="shared" si="2237"/>
        <v>134800000</v>
      </c>
      <c r="M746" s="17">
        <f t="shared" si="2237"/>
        <v>146200000</v>
      </c>
    </row>
    <row r="747">
      <c r="A747" s="14" t="s">
        <v>790</v>
      </c>
      <c r="B747" s="14">
        <v>211.0</v>
      </c>
      <c r="C747" s="15">
        <f t="shared" si="4"/>
        <v>13</v>
      </c>
      <c r="D747" s="14" t="s">
        <v>36</v>
      </c>
      <c r="E747" s="16">
        <f t="shared" ref="E747:G747" si="2238">ROUNDUP((XLOOKUP($D747,$T$3:$T$10,$U$3:$U$10)*XLOOKUP(E$2,$AA$3:$AA$5,$AB$3:$AB$5)-ABS(XLOOKUP($C747,$Q$3:$Q$16,$R$3:$R$16)))*$B747,-5)</f>
        <v>51100000</v>
      </c>
      <c r="F747" s="16">
        <f t="shared" si="2238"/>
        <v>90900000</v>
      </c>
      <c r="G747" s="16">
        <f t="shared" si="2238"/>
        <v>99100000</v>
      </c>
      <c r="H747" s="17">
        <f t="shared" ref="H747:J747" si="2239">roundup((XLOOKUP($D747,$T$3:$T$10,$U$3:$U$10)*XLOOKUP(H$2,$AA$3:$AA$5,$AC$3:$AC$5)-ABS(XLOOKUP($C747,$Q$3:$Q$16,$R$3:$R$16)))*$B747,-5)</f>
        <v>42100000</v>
      </c>
      <c r="I747" s="17">
        <f t="shared" si="2239"/>
        <v>112500000</v>
      </c>
      <c r="J747" s="17">
        <f t="shared" si="2239"/>
        <v>122100000</v>
      </c>
      <c r="K747" s="17">
        <f t="shared" ref="K747:M747" si="2240">roundup((XLOOKUP($D747,$T$3:$T$10,$U$3:$U$10)*XLOOKUP(K$2,$AA$3:$AA$5,$AD$3:$AD$5)-ABS(XLOOKUP($C747,$Q$3:$Q$16,$R$3:$R$16)))*$B747,-5)</f>
        <v>49900000</v>
      </c>
      <c r="L747" s="17">
        <f t="shared" si="2240"/>
        <v>127200000</v>
      </c>
      <c r="M747" s="17">
        <f t="shared" si="2240"/>
        <v>137800000</v>
      </c>
    </row>
    <row r="748">
      <c r="A748" s="14" t="s">
        <v>791</v>
      </c>
      <c r="B748" s="14">
        <v>199.0</v>
      </c>
      <c r="C748" s="15">
        <f t="shared" si="4"/>
        <v>13</v>
      </c>
      <c r="D748" s="14" t="s">
        <v>36</v>
      </c>
      <c r="E748" s="16">
        <f t="shared" ref="E748:G748" si="2241">ROUNDUP((XLOOKUP($D748,$T$3:$T$10,$U$3:$U$10)*XLOOKUP(E$2,$AA$3:$AA$5,$AB$3:$AB$5)-ABS(XLOOKUP($C748,$Q$3:$Q$16,$R$3:$R$16)))*$B748,-5)</f>
        <v>48200000</v>
      </c>
      <c r="F748" s="16">
        <f t="shared" si="2241"/>
        <v>85700000</v>
      </c>
      <c r="G748" s="16">
        <f t="shared" si="2241"/>
        <v>93500000</v>
      </c>
      <c r="H748" s="17">
        <f t="shared" ref="H748:J748" si="2242">roundup((XLOOKUP($D748,$T$3:$T$10,$U$3:$U$10)*XLOOKUP(H$2,$AA$3:$AA$5,$AC$3:$AC$5)-ABS(XLOOKUP($C748,$Q$3:$Q$16,$R$3:$R$16)))*$B748,-5)</f>
        <v>39700000</v>
      </c>
      <c r="I748" s="17">
        <f t="shared" si="2242"/>
        <v>106100000</v>
      </c>
      <c r="J748" s="17">
        <f t="shared" si="2242"/>
        <v>115200000</v>
      </c>
      <c r="K748" s="17">
        <f t="shared" ref="K748:M748" si="2243">roundup((XLOOKUP($D748,$T$3:$T$10,$U$3:$U$10)*XLOOKUP(K$2,$AA$3:$AA$5,$AD$3:$AD$5)-ABS(XLOOKUP($C748,$Q$3:$Q$16,$R$3:$R$16)))*$B748,-5)</f>
        <v>47100000</v>
      </c>
      <c r="L748" s="17">
        <f t="shared" si="2243"/>
        <v>120000000</v>
      </c>
      <c r="M748" s="17">
        <f t="shared" si="2243"/>
        <v>129900000</v>
      </c>
    </row>
    <row r="749">
      <c r="A749" s="14" t="s">
        <v>792</v>
      </c>
      <c r="B749" s="14">
        <v>196.0</v>
      </c>
      <c r="C749" s="15">
        <f t="shared" si="4"/>
        <v>13</v>
      </c>
      <c r="D749" s="14" t="s">
        <v>33</v>
      </c>
      <c r="E749" s="16">
        <f t="shared" ref="E749:G749" si="2244">ROUNDUP((XLOOKUP($D749,$T$3:$T$10,$U$3:$U$10)*XLOOKUP(E$2,$AA$3:$AA$5,$AB$3:$AB$5)-ABS(XLOOKUP($C749,$Q$3:$Q$16,$R$3:$R$16)))*$B749,-5)</f>
        <v>38600000</v>
      </c>
      <c r="F749" s="16">
        <f t="shared" si="2244"/>
        <v>71500000</v>
      </c>
      <c r="G749" s="16">
        <f t="shared" si="2244"/>
        <v>78400000</v>
      </c>
      <c r="H749" s="17">
        <f t="shared" ref="H749:J749" si="2245">roundup((XLOOKUP($D749,$T$3:$T$10,$U$3:$U$10)*XLOOKUP(H$2,$AA$3:$AA$5,$AC$3:$AC$5)-ABS(XLOOKUP($C749,$Q$3:$Q$16,$R$3:$R$16)))*$B749,-5)</f>
        <v>31100000</v>
      </c>
      <c r="I749" s="17">
        <f t="shared" si="2245"/>
        <v>89500000</v>
      </c>
      <c r="J749" s="17">
        <f t="shared" si="2245"/>
        <v>97400000</v>
      </c>
      <c r="K749" s="17">
        <f t="shared" ref="K749:M749" si="2246">roundup((XLOOKUP($D749,$T$3:$T$10,$U$3:$U$10)*XLOOKUP(K$2,$AA$3:$AA$5,$AD$3:$AD$5)-ABS(XLOOKUP($C749,$Q$3:$Q$16,$R$3:$R$16)))*$B749,-5)</f>
        <v>37600000</v>
      </c>
      <c r="L749" s="17">
        <f t="shared" si="2246"/>
        <v>101600000</v>
      </c>
      <c r="M749" s="17">
        <f t="shared" si="2246"/>
        <v>110400000</v>
      </c>
    </row>
    <row r="750">
      <c r="A750" s="14" t="s">
        <v>793</v>
      </c>
      <c r="B750" s="14">
        <v>215.0</v>
      </c>
      <c r="C750" s="15">
        <f t="shared" si="4"/>
        <v>13</v>
      </c>
      <c r="D750" s="14" t="s">
        <v>33</v>
      </c>
      <c r="E750" s="16">
        <f t="shared" ref="E750:G750" si="2247">ROUNDUP((XLOOKUP($D750,$T$3:$T$10,$U$3:$U$10)*XLOOKUP(E$2,$AA$3:$AA$5,$AB$3:$AB$5)-ABS(XLOOKUP($C750,$Q$3:$Q$16,$R$3:$R$16)))*$B750,-5)</f>
        <v>42300000</v>
      </c>
      <c r="F750" s="16">
        <f t="shared" si="2247"/>
        <v>78500000</v>
      </c>
      <c r="G750" s="16">
        <f t="shared" si="2247"/>
        <v>85900000</v>
      </c>
      <c r="H750" s="17">
        <f t="shared" ref="H750:J750" si="2248">roundup((XLOOKUP($D750,$T$3:$T$10,$U$3:$U$10)*XLOOKUP(H$2,$AA$3:$AA$5,$AC$3:$AC$5)-ABS(XLOOKUP($C750,$Q$3:$Q$16,$R$3:$R$16)))*$B750,-5)</f>
        <v>34100000</v>
      </c>
      <c r="I750" s="17">
        <f t="shared" si="2248"/>
        <v>98200000</v>
      </c>
      <c r="J750" s="17">
        <f t="shared" si="2248"/>
        <v>106900000</v>
      </c>
      <c r="K750" s="17">
        <f t="shared" ref="K750:M750" si="2249">roundup((XLOOKUP($D750,$T$3:$T$10,$U$3:$U$10)*XLOOKUP(K$2,$AA$3:$AA$5,$AD$3:$AD$5)-ABS(XLOOKUP($C750,$Q$3:$Q$16,$R$3:$R$16)))*$B750,-5)</f>
        <v>41200000</v>
      </c>
      <c r="L750" s="17">
        <f t="shared" si="2249"/>
        <v>111500000</v>
      </c>
      <c r="M750" s="17">
        <f t="shared" si="2249"/>
        <v>121100000</v>
      </c>
    </row>
    <row r="751">
      <c r="A751" s="14" t="s">
        <v>794</v>
      </c>
      <c r="B751" s="14">
        <v>161.0</v>
      </c>
      <c r="C751" s="15">
        <f t="shared" si="4"/>
        <v>12</v>
      </c>
      <c r="D751" s="14" t="s">
        <v>33</v>
      </c>
      <c r="E751" s="16">
        <f t="shared" ref="E751:G751" si="2250">ROUNDUP((XLOOKUP($D751,$T$3:$T$10,$U$3:$U$10)*XLOOKUP(E$2,$AA$3:$AA$5,$AB$3:$AB$5)-ABS(XLOOKUP($C751,$Q$3:$Q$16,$R$3:$R$16)))*$B751,-5)</f>
        <v>34100000</v>
      </c>
      <c r="F751" s="16">
        <f t="shared" si="2250"/>
        <v>61200000</v>
      </c>
      <c r="G751" s="16">
        <f t="shared" si="2250"/>
        <v>66800000</v>
      </c>
      <c r="H751" s="17">
        <f t="shared" ref="H751:J751" si="2251">roundup((XLOOKUP($D751,$T$3:$T$10,$U$3:$U$10)*XLOOKUP(H$2,$AA$3:$AA$5,$AC$3:$AC$5)-ABS(XLOOKUP($C751,$Q$3:$Q$16,$R$3:$R$16)))*$B751,-5)</f>
        <v>28000000</v>
      </c>
      <c r="I751" s="17">
        <f t="shared" si="2251"/>
        <v>75900000</v>
      </c>
      <c r="J751" s="17">
        <f t="shared" si="2251"/>
        <v>82500000</v>
      </c>
      <c r="K751" s="17">
        <f t="shared" ref="K751:M751" si="2252">roundup((XLOOKUP($D751,$T$3:$T$10,$U$3:$U$10)*XLOOKUP(K$2,$AA$3:$AA$5,$AD$3:$AD$5)-ABS(XLOOKUP($C751,$Q$3:$Q$16,$R$3:$R$16)))*$B751,-5)</f>
        <v>33300000</v>
      </c>
      <c r="L751" s="17">
        <f t="shared" si="2252"/>
        <v>85900000</v>
      </c>
      <c r="M751" s="17">
        <f t="shared" si="2252"/>
        <v>93100000</v>
      </c>
    </row>
    <row r="752">
      <c r="A752" s="14" t="s">
        <v>795</v>
      </c>
      <c r="B752" s="14">
        <v>208.0</v>
      </c>
      <c r="C752" s="15">
        <f t="shared" si="4"/>
        <v>13</v>
      </c>
      <c r="D752" s="14" t="s">
        <v>33</v>
      </c>
      <c r="E752" s="16">
        <f t="shared" ref="E752:G752" si="2253">ROUNDUP((XLOOKUP($D752,$T$3:$T$10,$U$3:$U$10)*XLOOKUP(E$2,$AA$3:$AA$5,$AB$3:$AB$5)-ABS(XLOOKUP($C752,$Q$3:$Q$16,$R$3:$R$16)))*$B752,-5)</f>
        <v>41000000</v>
      </c>
      <c r="F752" s="16">
        <f t="shared" si="2253"/>
        <v>75900000</v>
      </c>
      <c r="G752" s="16">
        <f t="shared" si="2253"/>
        <v>83100000</v>
      </c>
      <c r="H752" s="17">
        <f t="shared" ref="H752:J752" si="2254">roundup((XLOOKUP($D752,$T$3:$T$10,$U$3:$U$10)*XLOOKUP(H$2,$AA$3:$AA$5,$AC$3:$AC$5)-ABS(XLOOKUP($C752,$Q$3:$Q$16,$R$3:$R$16)))*$B752,-5)</f>
        <v>33000000</v>
      </c>
      <c r="I752" s="17">
        <f t="shared" si="2254"/>
        <v>95000000</v>
      </c>
      <c r="J752" s="17">
        <f t="shared" si="2254"/>
        <v>103400000</v>
      </c>
      <c r="K752" s="17">
        <f t="shared" ref="K752:M752" si="2255">roundup((XLOOKUP($D752,$T$3:$T$10,$U$3:$U$10)*XLOOKUP(K$2,$AA$3:$AA$5,$AD$3:$AD$5)-ABS(XLOOKUP($C752,$Q$3:$Q$16,$R$3:$R$16)))*$B752,-5)</f>
        <v>39900000</v>
      </c>
      <c r="L752" s="17">
        <f t="shared" si="2255"/>
        <v>107900000</v>
      </c>
      <c r="M752" s="17">
        <f t="shared" si="2255"/>
        <v>117100000</v>
      </c>
    </row>
    <row r="753">
      <c r="A753" s="14" t="s">
        <v>796</v>
      </c>
      <c r="B753" s="14">
        <v>274.0</v>
      </c>
      <c r="C753" s="15">
        <f t="shared" si="4"/>
        <v>14</v>
      </c>
      <c r="D753" s="14" t="s">
        <v>33</v>
      </c>
      <c r="E753" s="16">
        <f t="shared" ref="E753:G753" si="2256">ROUNDUP((XLOOKUP($D753,$T$3:$T$10,$U$3:$U$10)*XLOOKUP(E$2,$AA$3:$AA$5,$AB$3:$AB$5)-ABS(XLOOKUP($C753,$Q$3:$Q$16,$R$3:$R$16)))*$B753,-5)</f>
        <v>51500000</v>
      </c>
      <c r="F753" s="16">
        <f t="shared" si="2256"/>
        <v>97500000</v>
      </c>
      <c r="G753" s="16">
        <f t="shared" si="2256"/>
        <v>107000000</v>
      </c>
      <c r="H753" s="17">
        <f t="shared" ref="H753:J753" si="2257">roundup((XLOOKUP($D753,$T$3:$T$10,$U$3:$U$10)*XLOOKUP(H$2,$AA$3:$AA$5,$AC$3:$AC$5)-ABS(XLOOKUP($C753,$Q$3:$Q$16,$R$3:$R$16)))*$B753,-5)</f>
        <v>41000000</v>
      </c>
      <c r="I753" s="17">
        <f t="shared" si="2257"/>
        <v>122600000</v>
      </c>
      <c r="J753" s="17">
        <f t="shared" si="2257"/>
        <v>133700000</v>
      </c>
      <c r="K753" s="17">
        <f t="shared" ref="K753:M753" si="2258">roundup((XLOOKUP($D753,$T$3:$T$10,$U$3:$U$10)*XLOOKUP(K$2,$AA$3:$AA$5,$AD$3:$AD$5)-ABS(XLOOKUP($C753,$Q$3:$Q$16,$R$3:$R$16)))*$B753,-5)</f>
        <v>50000000</v>
      </c>
      <c r="L753" s="17">
        <f t="shared" si="2258"/>
        <v>139600000</v>
      </c>
      <c r="M753" s="17">
        <f t="shared" si="2258"/>
        <v>151800000</v>
      </c>
    </row>
    <row r="754">
      <c r="A754" s="14" t="s">
        <v>797</v>
      </c>
      <c r="B754" s="14">
        <v>192.0</v>
      </c>
      <c r="C754" s="15">
        <f t="shared" si="4"/>
        <v>13</v>
      </c>
      <c r="D754" s="14" t="s">
        <v>33</v>
      </c>
      <c r="E754" s="16">
        <f t="shared" ref="E754:G754" si="2259">ROUNDUP((XLOOKUP($D754,$T$3:$T$10,$U$3:$U$10)*XLOOKUP(E$2,$AA$3:$AA$5,$AB$3:$AB$5)-ABS(XLOOKUP($C754,$Q$3:$Q$16,$R$3:$R$16)))*$B754,-5)</f>
        <v>37800000</v>
      </c>
      <c r="F754" s="16">
        <f t="shared" si="2259"/>
        <v>70100000</v>
      </c>
      <c r="G754" s="16">
        <f t="shared" si="2259"/>
        <v>76800000</v>
      </c>
      <c r="H754" s="17">
        <f t="shared" ref="H754:J754" si="2260">roundup((XLOOKUP($D754,$T$3:$T$10,$U$3:$U$10)*XLOOKUP(H$2,$AA$3:$AA$5,$AC$3:$AC$5)-ABS(XLOOKUP($C754,$Q$3:$Q$16,$R$3:$R$16)))*$B754,-5)</f>
        <v>30500000</v>
      </c>
      <c r="I754" s="17">
        <f t="shared" si="2260"/>
        <v>87700000</v>
      </c>
      <c r="J754" s="17">
        <f t="shared" si="2260"/>
        <v>95400000</v>
      </c>
      <c r="K754" s="17">
        <f t="shared" ref="K754:M754" si="2261">roundup((XLOOKUP($D754,$T$3:$T$10,$U$3:$U$10)*XLOOKUP(K$2,$AA$3:$AA$5,$AD$3:$AD$5)-ABS(XLOOKUP($C754,$Q$3:$Q$16,$R$3:$R$16)))*$B754,-5)</f>
        <v>36800000</v>
      </c>
      <c r="L754" s="17">
        <f t="shared" si="2261"/>
        <v>99600000</v>
      </c>
      <c r="M754" s="17">
        <f t="shared" si="2261"/>
        <v>108100000</v>
      </c>
    </row>
    <row r="755">
      <c r="A755" s="14" t="s">
        <v>798</v>
      </c>
      <c r="B755" s="14">
        <v>191.0</v>
      </c>
      <c r="C755" s="15">
        <f t="shared" si="4"/>
        <v>13</v>
      </c>
      <c r="D755" s="14" t="s">
        <v>33</v>
      </c>
      <c r="E755" s="16">
        <f t="shared" ref="E755:G755" si="2262">ROUNDUP((XLOOKUP($D755,$T$3:$T$10,$U$3:$U$10)*XLOOKUP(E$2,$AA$3:$AA$5,$AB$3:$AB$5)-ABS(XLOOKUP($C755,$Q$3:$Q$16,$R$3:$R$16)))*$B755,-5)</f>
        <v>37600000</v>
      </c>
      <c r="F755" s="16">
        <f t="shared" si="2262"/>
        <v>69700000</v>
      </c>
      <c r="G755" s="16">
        <f t="shared" si="2262"/>
        <v>76400000</v>
      </c>
      <c r="H755" s="17">
        <f t="shared" ref="H755:J755" si="2263">roundup((XLOOKUP($D755,$T$3:$T$10,$U$3:$U$10)*XLOOKUP(H$2,$AA$3:$AA$5,$AC$3:$AC$5)-ABS(XLOOKUP($C755,$Q$3:$Q$16,$R$3:$R$16)))*$B755,-5)</f>
        <v>30300000</v>
      </c>
      <c r="I755" s="17">
        <f t="shared" si="2263"/>
        <v>87200000</v>
      </c>
      <c r="J755" s="17">
        <f t="shared" si="2263"/>
        <v>94900000</v>
      </c>
      <c r="K755" s="17">
        <f t="shared" ref="K755:M755" si="2264">roundup((XLOOKUP($D755,$T$3:$T$10,$U$3:$U$10)*XLOOKUP(K$2,$AA$3:$AA$5,$AD$3:$AD$5)-ABS(XLOOKUP($C755,$Q$3:$Q$16,$R$3:$R$16)))*$B755,-5)</f>
        <v>36600000</v>
      </c>
      <c r="L755" s="17">
        <f t="shared" si="2264"/>
        <v>99000000</v>
      </c>
      <c r="M755" s="17">
        <f t="shared" si="2264"/>
        <v>107600000</v>
      </c>
    </row>
    <row r="756">
      <c r="A756" s="14" t="s">
        <v>799</v>
      </c>
      <c r="B756" s="14">
        <v>136.0</v>
      </c>
      <c r="C756" s="15">
        <f t="shared" si="4"/>
        <v>11</v>
      </c>
      <c r="D756" s="14" t="s">
        <v>33</v>
      </c>
      <c r="E756" s="16">
        <f t="shared" ref="E756:G756" si="2265">ROUNDUP((XLOOKUP($D756,$T$3:$T$10,$U$3:$U$10)*XLOOKUP(E$2,$AA$3:$AA$5,$AB$3:$AB$5)-ABS(XLOOKUP($C756,$Q$3:$Q$16,$R$3:$R$16)))*$B756,-5)</f>
        <v>29500000</v>
      </c>
      <c r="F756" s="16">
        <f t="shared" si="2265"/>
        <v>52400000</v>
      </c>
      <c r="G756" s="16">
        <f t="shared" si="2265"/>
        <v>57100000</v>
      </c>
      <c r="H756" s="17">
        <f t="shared" ref="H756:J756" si="2266">roundup((XLOOKUP($D756,$T$3:$T$10,$U$3:$U$10)*XLOOKUP(H$2,$AA$3:$AA$5,$AC$3:$AC$5)-ABS(XLOOKUP($C756,$Q$3:$Q$16,$R$3:$R$16)))*$B756,-5)</f>
        <v>24300000</v>
      </c>
      <c r="I756" s="17">
        <f t="shared" si="2266"/>
        <v>64800000</v>
      </c>
      <c r="J756" s="17">
        <f t="shared" si="2266"/>
        <v>70300000</v>
      </c>
      <c r="K756" s="17">
        <f t="shared" ref="K756:M756" si="2267">roundup((XLOOKUP($D756,$T$3:$T$10,$U$3:$U$10)*XLOOKUP(K$2,$AA$3:$AA$5,$AD$3:$AD$5)-ABS(XLOOKUP($C756,$Q$3:$Q$16,$R$3:$R$16)))*$B756,-5)</f>
        <v>28800000</v>
      </c>
      <c r="L756" s="17">
        <f t="shared" si="2267"/>
        <v>73300000</v>
      </c>
      <c r="M756" s="17">
        <f t="shared" si="2267"/>
        <v>79300000</v>
      </c>
    </row>
    <row r="757">
      <c r="A757" s="14" t="s">
        <v>800</v>
      </c>
      <c r="B757" s="14">
        <v>156.0</v>
      </c>
      <c r="C757" s="15">
        <f t="shared" si="4"/>
        <v>11</v>
      </c>
      <c r="D757" s="14" t="s">
        <v>33</v>
      </c>
      <c r="E757" s="16">
        <f t="shared" ref="E757:G757" si="2268">ROUNDUP((XLOOKUP($D757,$T$3:$T$10,$U$3:$U$10)*XLOOKUP(E$2,$AA$3:$AA$5,$AB$3:$AB$5)-ABS(XLOOKUP($C757,$Q$3:$Q$16,$R$3:$R$16)))*$B757,-5)</f>
        <v>33900000</v>
      </c>
      <c r="F757" s="16">
        <f t="shared" si="2268"/>
        <v>60100000</v>
      </c>
      <c r="G757" s="16">
        <f t="shared" si="2268"/>
        <v>65500000</v>
      </c>
      <c r="H757" s="17">
        <f t="shared" ref="H757:J757" si="2269">roundup((XLOOKUP($D757,$T$3:$T$10,$U$3:$U$10)*XLOOKUP(H$2,$AA$3:$AA$5,$AC$3:$AC$5)-ABS(XLOOKUP($C757,$Q$3:$Q$16,$R$3:$R$16)))*$B757,-5)</f>
        <v>27900000</v>
      </c>
      <c r="I757" s="17">
        <f t="shared" si="2269"/>
        <v>74400000</v>
      </c>
      <c r="J757" s="17">
        <f t="shared" si="2269"/>
        <v>80700000</v>
      </c>
      <c r="K757" s="17">
        <f t="shared" ref="K757:M757" si="2270">roundup((XLOOKUP($D757,$T$3:$T$10,$U$3:$U$10)*XLOOKUP(K$2,$AA$3:$AA$5,$AD$3:$AD$5)-ABS(XLOOKUP($C757,$Q$3:$Q$16,$R$3:$R$16)))*$B757,-5)</f>
        <v>33000000</v>
      </c>
      <c r="L757" s="17">
        <f t="shared" si="2270"/>
        <v>84000000</v>
      </c>
      <c r="M757" s="17">
        <f t="shared" si="2270"/>
        <v>91000000</v>
      </c>
    </row>
    <row r="758">
      <c r="A758" s="14" t="s">
        <v>801</v>
      </c>
      <c r="B758" s="14">
        <v>182.0</v>
      </c>
      <c r="C758" s="15">
        <f t="shared" si="4"/>
        <v>13</v>
      </c>
      <c r="D758" s="14" t="s">
        <v>33</v>
      </c>
      <c r="E758" s="16">
        <f t="shared" ref="E758:G758" si="2271">ROUNDUP((XLOOKUP($D758,$T$3:$T$10,$U$3:$U$10)*XLOOKUP(E$2,$AA$3:$AA$5,$AB$3:$AB$5)-ABS(XLOOKUP($C758,$Q$3:$Q$16,$R$3:$R$16)))*$B758,-5)</f>
        <v>35800000</v>
      </c>
      <c r="F758" s="16">
        <f t="shared" si="2271"/>
        <v>66400000</v>
      </c>
      <c r="G758" s="16">
        <f t="shared" si="2271"/>
        <v>72800000</v>
      </c>
      <c r="H758" s="17">
        <f t="shared" ref="H758:J758" si="2272">roundup((XLOOKUP($D758,$T$3:$T$10,$U$3:$U$10)*XLOOKUP(H$2,$AA$3:$AA$5,$AC$3:$AC$5)-ABS(XLOOKUP($C758,$Q$3:$Q$16,$R$3:$R$16)))*$B758,-5)</f>
        <v>28900000</v>
      </c>
      <c r="I758" s="17">
        <f t="shared" si="2272"/>
        <v>83100000</v>
      </c>
      <c r="J758" s="17">
        <f t="shared" si="2272"/>
        <v>90500000</v>
      </c>
      <c r="K758" s="17">
        <f t="shared" ref="K758:M758" si="2273">roundup((XLOOKUP($D758,$T$3:$T$10,$U$3:$U$10)*XLOOKUP(K$2,$AA$3:$AA$5,$AD$3:$AD$5)-ABS(XLOOKUP($C758,$Q$3:$Q$16,$R$3:$R$16)))*$B758,-5)</f>
        <v>34900000</v>
      </c>
      <c r="L758" s="17">
        <f t="shared" si="2273"/>
        <v>94400000</v>
      </c>
      <c r="M758" s="17">
        <f t="shared" si="2273"/>
        <v>102500000</v>
      </c>
    </row>
    <row r="759">
      <c r="A759" s="14" t="s">
        <v>802</v>
      </c>
      <c r="B759" s="14">
        <v>117.0</v>
      </c>
      <c r="C759" s="15">
        <f t="shared" si="4"/>
        <v>11</v>
      </c>
      <c r="D759" s="14" t="s">
        <v>33</v>
      </c>
      <c r="E759" s="16">
        <f t="shared" ref="E759:G759" si="2274">ROUNDUP((XLOOKUP($D759,$T$3:$T$10,$U$3:$U$10)*XLOOKUP(E$2,$AA$3:$AA$5,$AB$3:$AB$5)-ABS(XLOOKUP($C759,$Q$3:$Q$16,$R$3:$R$16)))*$B759,-5)</f>
        <v>25400000</v>
      </c>
      <c r="F759" s="16">
        <f t="shared" si="2274"/>
        <v>45100000</v>
      </c>
      <c r="G759" s="16">
        <f t="shared" si="2274"/>
        <v>49100000</v>
      </c>
      <c r="H759" s="17">
        <f t="shared" ref="H759:J759" si="2275">roundup((XLOOKUP($D759,$T$3:$T$10,$U$3:$U$10)*XLOOKUP(H$2,$AA$3:$AA$5,$AC$3:$AC$5)-ABS(XLOOKUP($C759,$Q$3:$Q$16,$R$3:$R$16)))*$B759,-5)</f>
        <v>20900000</v>
      </c>
      <c r="I759" s="17">
        <f t="shared" si="2275"/>
        <v>55800000</v>
      </c>
      <c r="J759" s="17">
        <f t="shared" si="2275"/>
        <v>60500000</v>
      </c>
      <c r="K759" s="17">
        <f t="shared" ref="K759:M759" si="2276">roundup((XLOOKUP($D759,$T$3:$T$10,$U$3:$U$10)*XLOOKUP(K$2,$AA$3:$AA$5,$AD$3:$AD$5)-ABS(XLOOKUP($C759,$Q$3:$Q$16,$R$3:$R$16)))*$B759,-5)</f>
        <v>24800000</v>
      </c>
      <c r="L759" s="17">
        <f t="shared" si="2276"/>
        <v>63000000</v>
      </c>
      <c r="M759" s="17">
        <f t="shared" si="2276"/>
        <v>68300000</v>
      </c>
    </row>
    <row r="760">
      <c r="A760" s="14" t="s">
        <v>803</v>
      </c>
      <c r="B760" s="14">
        <v>153.0</v>
      </c>
      <c r="C760" s="15">
        <f t="shared" si="4"/>
        <v>11</v>
      </c>
      <c r="D760" s="14" t="s">
        <v>33</v>
      </c>
      <c r="E760" s="16">
        <f t="shared" ref="E760:G760" si="2277">ROUNDUP((XLOOKUP($D760,$T$3:$T$10,$U$3:$U$10)*XLOOKUP(E$2,$AA$3:$AA$5,$AB$3:$AB$5)-ABS(XLOOKUP($C760,$Q$3:$Q$16,$R$3:$R$16)))*$B760,-5)</f>
        <v>33200000</v>
      </c>
      <c r="F760" s="16">
        <f t="shared" si="2277"/>
        <v>58900000</v>
      </c>
      <c r="G760" s="16">
        <f t="shared" si="2277"/>
        <v>64200000</v>
      </c>
      <c r="H760" s="17">
        <f t="shared" ref="H760:J760" si="2278">roundup((XLOOKUP($D760,$T$3:$T$10,$U$3:$U$10)*XLOOKUP(H$2,$AA$3:$AA$5,$AC$3:$AC$5)-ABS(XLOOKUP($C760,$Q$3:$Q$16,$R$3:$R$16)))*$B760,-5)</f>
        <v>27300000</v>
      </c>
      <c r="I760" s="17">
        <f t="shared" si="2278"/>
        <v>72900000</v>
      </c>
      <c r="J760" s="17">
        <f t="shared" si="2278"/>
        <v>79100000</v>
      </c>
      <c r="K760" s="17">
        <f t="shared" ref="K760:M760" si="2279">roundup((XLOOKUP($D760,$T$3:$T$10,$U$3:$U$10)*XLOOKUP(K$2,$AA$3:$AA$5,$AD$3:$AD$5)-ABS(XLOOKUP($C760,$Q$3:$Q$16,$R$3:$R$16)))*$B760,-5)</f>
        <v>32400000</v>
      </c>
      <c r="L760" s="17">
        <f t="shared" si="2279"/>
        <v>82400000</v>
      </c>
      <c r="M760" s="17">
        <f t="shared" si="2279"/>
        <v>89200000</v>
      </c>
    </row>
    <row r="761">
      <c r="A761" s="14" t="s">
        <v>804</v>
      </c>
      <c r="B761" s="14">
        <v>118.0</v>
      </c>
      <c r="C761" s="15">
        <f t="shared" si="4"/>
        <v>11</v>
      </c>
      <c r="D761" s="14" t="s">
        <v>33</v>
      </c>
      <c r="E761" s="16">
        <f t="shared" ref="E761:G761" si="2280">ROUNDUP((XLOOKUP($D761,$T$3:$T$10,$U$3:$U$10)*XLOOKUP(E$2,$AA$3:$AA$5,$AB$3:$AB$5)-ABS(XLOOKUP($C761,$Q$3:$Q$16,$R$3:$R$16)))*$B761,-5)</f>
        <v>25600000</v>
      </c>
      <c r="F761" s="16">
        <f t="shared" si="2280"/>
        <v>45400000</v>
      </c>
      <c r="G761" s="16">
        <f t="shared" si="2280"/>
        <v>49600000</v>
      </c>
      <c r="H761" s="17">
        <f t="shared" ref="H761:J761" si="2281">roundup((XLOOKUP($D761,$T$3:$T$10,$U$3:$U$10)*XLOOKUP(H$2,$AA$3:$AA$5,$AC$3:$AC$5)-ABS(XLOOKUP($C761,$Q$3:$Q$16,$R$3:$R$16)))*$B761,-5)</f>
        <v>21100000</v>
      </c>
      <c r="I761" s="17">
        <f t="shared" si="2281"/>
        <v>56300000</v>
      </c>
      <c r="J761" s="17">
        <f t="shared" si="2281"/>
        <v>61000000</v>
      </c>
      <c r="K761" s="17">
        <f t="shared" ref="K761:M761" si="2282">roundup((XLOOKUP($D761,$T$3:$T$10,$U$3:$U$10)*XLOOKUP(K$2,$AA$3:$AA$5,$AD$3:$AD$5)-ABS(XLOOKUP($C761,$Q$3:$Q$16,$R$3:$R$16)))*$B761,-5)</f>
        <v>25000000</v>
      </c>
      <c r="L761" s="17">
        <f t="shared" si="2282"/>
        <v>63600000</v>
      </c>
      <c r="M761" s="17">
        <f t="shared" si="2282"/>
        <v>68800000</v>
      </c>
    </row>
    <row r="762">
      <c r="A762" s="14" t="s">
        <v>805</v>
      </c>
      <c r="B762" s="14">
        <v>152.0</v>
      </c>
      <c r="C762" s="15">
        <f t="shared" si="4"/>
        <v>11</v>
      </c>
      <c r="D762" s="14" t="s">
        <v>33</v>
      </c>
      <c r="E762" s="16">
        <f t="shared" ref="E762:G762" si="2283">ROUNDUP((XLOOKUP($D762,$T$3:$T$10,$U$3:$U$10)*XLOOKUP(E$2,$AA$3:$AA$5,$AB$3:$AB$5)-ABS(XLOOKUP($C762,$Q$3:$Q$16,$R$3:$R$16)))*$B762,-5)</f>
        <v>33000000</v>
      </c>
      <c r="F762" s="16">
        <f t="shared" si="2283"/>
        <v>58500000</v>
      </c>
      <c r="G762" s="16">
        <f t="shared" si="2283"/>
        <v>63800000</v>
      </c>
      <c r="H762" s="17">
        <f t="shared" ref="H762:J762" si="2284">roundup((XLOOKUP($D762,$T$3:$T$10,$U$3:$U$10)*XLOOKUP(H$2,$AA$3:$AA$5,$AC$3:$AC$5)-ABS(XLOOKUP($C762,$Q$3:$Q$16,$R$3:$R$16)))*$B762,-5)</f>
        <v>27200000</v>
      </c>
      <c r="I762" s="17">
        <f t="shared" si="2284"/>
        <v>72400000</v>
      </c>
      <c r="J762" s="17">
        <f t="shared" si="2284"/>
        <v>78600000</v>
      </c>
      <c r="K762" s="17">
        <f t="shared" ref="K762:M762" si="2285">roundup((XLOOKUP($D762,$T$3:$T$10,$U$3:$U$10)*XLOOKUP(K$2,$AA$3:$AA$5,$AD$3:$AD$5)-ABS(XLOOKUP($C762,$Q$3:$Q$16,$R$3:$R$16)))*$B762,-5)</f>
        <v>32200000</v>
      </c>
      <c r="L762" s="17">
        <f t="shared" si="2285"/>
        <v>81900000</v>
      </c>
      <c r="M762" s="17">
        <f t="shared" si="2285"/>
        <v>88700000</v>
      </c>
    </row>
    <row r="763">
      <c r="A763" s="14" t="s">
        <v>806</v>
      </c>
      <c r="B763" s="14">
        <v>127.0</v>
      </c>
      <c r="C763" s="15">
        <f t="shared" si="4"/>
        <v>11</v>
      </c>
      <c r="D763" s="14" t="s">
        <v>33</v>
      </c>
      <c r="E763" s="16">
        <f t="shared" ref="E763:G763" si="2286">ROUNDUP((XLOOKUP($D763,$T$3:$T$10,$U$3:$U$10)*XLOOKUP(E$2,$AA$3:$AA$5,$AB$3:$AB$5)-ABS(XLOOKUP($C763,$Q$3:$Q$16,$R$3:$R$16)))*$B763,-5)</f>
        <v>27600000</v>
      </c>
      <c r="F763" s="16">
        <f t="shared" si="2286"/>
        <v>48900000</v>
      </c>
      <c r="G763" s="16">
        <f t="shared" si="2286"/>
        <v>53300000</v>
      </c>
      <c r="H763" s="17">
        <f t="shared" ref="H763:J763" si="2287">roundup((XLOOKUP($D763,$T$3:$T$10,$U$3:$U$10)*XLOOKUP(H$2,$AA$3:$AA$5,$AC$3:$AC$5)-ABS(XLOOKUP($C763,$Q$3:$Q$16,$R$3:$R$16)))*$B763,-5)</f>
        <v>22700000</v>
      </c>
      <c r="I763" s="17">
        <f t="shared" si="2287"/>
        <v>60500000</v>
      </c>
      <c r="J763" s="17">
        <f t="shared" si="2287"/>
        <v>65700000</v>
      </c>
      <c r="K763" s="17">
        <f t="shared" ref="K763:M763" si="2288">roundup((XLOOKUP($D763,$T$3:$T$10,$U$3:$U$10)*XLOOKUP(K$2,$AA$3:$AA$5,$AD$3:$AD$5)-ABS(XLOOKUP($C763,$Q$3:$Q$16,$R$3:$R$16)))*$B763,-5)</f>
        <v>26900000</v>
      </c>
      <c r="L763" s="17">
        <f t="shared" si="2288"/>
        <v>68400000</v>
      </c>
      <c r="M763" s="17">
        <f t="shared" si="2288"/>
        <v>74100000</v>
      </c>
    </row>
    <row r="764">
      <c r="A764" s="14" t="s">
        <v>807</v>
      </c>
      <c r="B764" s="14">
        <v>152.0</v>
      </c>
      <c r="C764" s="15">
        <f t="shared" si="4"/>
        <v>11</v>
      </c>
      <c r="D764" s="14" t="s">
        <v>33</v>
      </c>
      <c r="E764" s="16">
        <f t="shared" ref="E764:G764" si="2289">ROUNDUP((XLOOKUP($D764,$T$3:$T$10,$U$3:$U$10)*XLOOKUP(E$2,$AA$3:$AA$5,$AB$3:$AB$5)-ABS(XLOOKUP($C764,$Q$3:$Q$16,$R$3:$R$16)))*$B764,-5)</f>
        <v>33000000</v>
      </c>
      <c r="F764" s="16">
        <f t="shared" si="2289"/>
        <v>58500000</v>
      </c>
      <c r="G764" s="16">
        <f t="shared" si="2289"/>
        <v>63800000</v>
      </c>
      <c r="H764" s="17">
        <f t="shared" ref="H764:J764" si="2290">roundup((XLOOKUP($D764,$T$3:$T$10,$U$3:$U$10)*XLOOKUP(H$2,$AA$3:$AA$5,$AC$3:$AC$5)-ABS(XLOOKUP($C764,$Q$3:$Q$16,$R$3:$R$16)))*$B764,-5)</f>
        <v>27200000</v>
      </c>
      <c r="I764" s="17">
        <f t="shared" si="2290"/>
        <v>72400000</v>
      </c>
      <c r="J764" s="17">
        <f t="shared" si="2290"/>
        <v>78600000</v>
      </c>
      <c r="K764" s="17">
        <f t="shared" ref="K764:M764" si="2291">roundup((XLOOKUP($D764,$T$3:$T$10,$U$3:$U$10)*XLOOKUP(K$2,$AA$3:$AA$5,$AD$3:$AD$5)-ABS(XLOOKUP($C764,$Q$3:$Q$16,$R$3:$R$16)))*$B764,-5)</f>
        <v>32200000</v>
      </c>
      <c r="L764" s="17">
        <f t="shared" si="2291"/>
        <v>81900000</v>
      </c>
      <c r="M764" s="17">
        <f t="shared" si="2291"/>
        <v>88700000</v>
      </c>
    </row>
    <row r="765">
      <c r="A765" s="14" t="s">
        <v>808</v>
      </c>
      <c r="B765" s="14">
        <v>211.0</v>
      </c>
      <c r="C765" s="15">
        <f t="shared" si="4"/>
        <v>13</v>
      </c>
      <c r="D765" s="14" t="s">
        <v>33</v>
      </c>
      <c r="E765" s="16">
        <f t="shared" ref="E765:G765" si="2292">ROUNDUP((XLOOKUP($D765,$T$3:$T$10,$U$3:$U$10)*XLOOKUP(E$2,$AA$3:$AA$5,$AB$3:$AB$5)-ABS(XLOOKUP($C765,$Q$3:$Q$16,$R$3:$R$16)))*$B765,-5)</f>
        <v>41500000</v>
      </c>
      <c r="F765" s="16">
        <f t="shared" si="2292"/>
        <v>77000000</v>
      </c>
      <c r="G765" s="16">
        <f t="shared" si="2292"/>
        <v>84300000</v>
      </c>
      <c r="H765" s="17">
        <f t="shared" ref="H765:J765" si="2293">roundup((XLOOKUP($D765,$T$3:$T$10,$U$3:$U$10)*XLOOKUP(H$2,$AA$3:$AA$5,$AC$3:$AC$5)-ABS(XLOOKUP($C765,$Q$3:$Q$16,$R$3:$R$16)))*$B765,-5)</f>
        <v>33500000</v>
      </c>
      <c r="I765" s="17">
        <f t="shared" si="2293"/>
        <v>96300000</v>
      </c>
      <c r="J765" s="17">
        <f t="shared" si="2293"/>
        <v>104900000</v>
      </c>
      <c r="K765" s="17">
        <f t="shared" ref="K765:M765" si="2294">roundup((XLOOKUP($D765,$T$3:$T$10,$U$3:$U$10)*XLOOKUP(K$2,$AA$3:$AA$5,$AD$3:$AD$5)-ABS(XLOOKUP($C765,$Q$3:$Q$16,$R$3:$R$16)))*$B765,-5)</f>
        <v>40400000</v>
      </c>
      <c r="L765" s="17">
        <f t="shared" si="2294"/>
        <v>109400000</v>
      </c>
      <c r="M765" s="17">
        <f t="shared" si="2294"/>
        <v>118800000</v>
      </c>
    </row>
    <row r="766">
      <c r="A766" s="14" t="s">
        <v>809</v>
      </c>
      <c r="B766" s="14">
        <v>150.0</v>
      </c>
      <c r="C766" s="15">
        <f t="shared" si="4"/>
        <v>11</v>
      </c>
      <c r="D766" s="14" t="s">
        <v>33</v>
      </c>
      <c r="E766" s="16">
        <f t="shared" ref="E766:G766" si="2295">ROUNDUP((XLOOKUP($D766,$T$3:$T$10,$U$3:$U$10)*XLOOKUP(E$2,$AA$3:$AA$5,$AB$3:$AB$5)-ABS(XLOOKUP($C766,$Q$3:$Q$16,$R$3:$R$16)))*$B766,-5)</f>
        <v>32600000</v>
      </c>
      <c r="F766" s="16">
        <f t="shared" si="2295"/>
        <v>57800000</v>
      </c>
      <c r="G766" s="16">
        <f t="shared" si="2295"/>
        <v>63000000</v>
      </c>
      <c r="H766" s="17">
        <f t="shared" ref="H766:J766" si="2296">roundup((XLOOKUP($D766,$T$3:$T$10,$U$3:$U$10)*XLOOKUP(H$2,$AA$3:$AA$5,$AC$3:$AC$5)-ABS(XLOOKUP($C766,$Q$3:$Q$16,$R$3:$R$16)))*$B766,-5)</f>
        <v>26800000</v>
      </c>
      <c r="I766" s="17">
        <f t="shared" si="2296"/>
        <v>71500000</v>
      </c>
      <c r="J766" s="17">
        <f t="shared" si="2296"/>
        <v>77600000</v>
      </c>
      <c r="K766" s="17">
        <f t="shared" ref="K766:M766" si="2297">roundup((XLOOKUP($D766,$T$3:$T$10,$U$3:$U$10)*XLOOKUP(K$2,$AA$3:$AA$5,$AD$3:$AD$5)-ABS(XLOOKUP($C766,$Q$3:$Q$16,$R$3:$R$16)))*$B766,-5)</f>
        <v>31800000</v>
      </c>
      <c r="L766" s="17">
        <f t="shared" si="2297"/>
        <v>80800000</v>
      </c>
      <c r="M766" s="17">
        <f t="shared" si="2297"/>
        <v>87500000</v>
      </c>
    </row>
    <row r="767">
      <c r="A767" s="14" t="s">
        <v>810</v>
      </c>
      <c r="B767" s="14">
        <v>134.0</v>
      </c>
      <c r="C767" s="15">
        <f t="shared" si="4"/>
        <v>11</v>
      </c>
      <c r="D767" s="14" t="s">
        <v>33</v>
      </c>
      <c r="E767" s="16">
        <f t="shared" ref="E767:G767" si="2298">ROUNDUP((XLOOKUP($D767,$T$3:$T$10,$U$3:$U$10)*XLOOKUP(E$2,$AA$3:$AA$5,$AB$3:$AB$5)-ABS(XLOOKUP($C767,$Q$3:$Q$16,$R$3:$R$16)))*$B767,-5)</f>
        <v>29100000</v>
      </c>
      <c r="F767" s="16">
        <f t="shared" si="2298"/>
        <v>51600000</v>
      </c>
      <c r="G767" s="16">
        <f t="shared" si="2298"/>
        <v>56300000</v>
      </c>
      <c r="H767" s="17">
        <f t="shared" ref="H767:J767" si="2299">roundup((XLOOKUP($D767,$T$3:$T$10,$U$3:$U$10)*XLOOKUP(H$2,$AA$3:$AA$5,$AC$3:$AC$5)-ABS(XLOOKUP($C767,$Q$3:$Q$16,$R$3:$R$16)))*$B767,-5)</f>
        <v>24000000</v>
      </c>
      <c r="I767" s="17">
        <f t="shared" si="2299"/>
        <v>63900000</v>
      </c>
      <c r="J767" s="17">
        <f t="shared" si="2299"/>
        <v>69300000</v>
      </c>
      <c r="K767" s="17">
        <f t="shared" ref="K767:M767" si="2300">roundup((XLOOKUP($D767,$T$3:$T$10,$U$3:$U$10)*XLOOKUP(K$2,$AA$3:$AA$5,$AD$3:$AD$5)-ABS(XLOOKUP($C767,$Q$3:$Q$16,$R$3:$R$16)))*$B767,-5)</f>
        <v>28400000</v>
      </c>
      <c r="L767" s="17">
        <f t="shared" si="2300"/>
        <v>72200000</v>
      </c>
      <c r="M767" s="17">
        <f t="shared" si="2300"/>
        <v>78200000</v>
      </c>
    </row>
    <row r="768">
      <c r="A768" s="14" t="s">
        <v>811</v>
      </c>
      <c r="B768" s="14">
        <v>133.0</v>
      </c>
      <c r="C768" s="15">
        <f t="shared" si="4"/>
        <v>11</v>
      </c>
      <c r="D768" s="14" t="s">
        <v>33</v>
      </c>
      <c r="E768" s="16">
        <f t="shared" ref="E768:G768" si="2301">ROUNDUP((XLOOKUP($D768,$T$3:$T$10,$U$3:$U$10)*XLOOKUP(E$2,$AA$3:$AA$5,$AB$3:$AB$5)-ABS(XLOOKUP($C768,$Q$3:$Q$16,$R$3:$R$16)))*$B768,-5)</f>
        <v>28900000</v>
      </c>
      <c r="F768" s="16">
        <f t="shared" si="2301"/>
        <v>51200000</v>
      </c>
      <c r="G768" s="16">
        <f t="shared" si="2301"/>
        <v>55800000</v>
      </c>
      <c r="H768" s="17">
        <f t="shared" ref="H768:J768" si="2302">roundup((XLOOKUP($D768,$T$3:$T$10,$U$3:$U$10)*XLOOKUP(H$2,$AA$3:$AA$5,$AC$3:$AC$5)-ABS(XLOOKUP($C768,$Q$3:$Q$16,$R$3:$R$16)))*$B768,-5)</f>
        <v>23800000</v>
      </c>
      <c r="I768" s="17">
        <f t="shared" si="2302"/>
        <v>63400000</v>
      </c>
      <c r="J768" s="17">
        <f t="shared" si="2302"/>
        <v>68800000</v>
      </c>
      <c r="K768" s="17">
        <f t="shared" ref="K768:M768" si="2303">roundup((XLOOKUP($D768,$T$3:$T$10,$U$3:$U$10)*XLOOKUP(K$2,$AA$3:$AA$5,$AD$3:$AD$5)-ABS(XLOOKUP($C768,$Q$3:$Q$16,$R$3:$R$16)))*$B768,-5)</f>
        <v>28200000</v>
      </c>
      <c r="L768" s="17">
        <f t="shared" si="2303"/>
        <v>71600000</v>
      </c>
      <c r="M768" s="17">
        <f t="shared" si="2303"/>
        <v>77600000</v>
      </c>
    </row>
    <row r="769">
      <c r="A769" s="14" t="s">
        <v>812</v>
      </c>
      <c r="B769" s="14">
        <v>126.0</v>
      </c>
      <c r="C769" s="15">
        <f t="shared" si="4"/>
        <v>11</v>
      </c>
      <c r="D769" s="14" t="s">
        <v>33</v>
      </c>
      <c r="E769" s="16">
        <f t="shared" ref="E769:G769" si="2304">ROUNDUP((XLOOKUP($D769,$T$3:$T$10,$U$3:$U$10)*XLOOKUP(E$2,$AA$3:$AA$5,$AB$3:$AB$5)-ABS(XLOOKUP($C769,$Q$3:$Q$16,$R$3:$R$16)))*$B769,-5)</f>
        <v>27400000</v>
      </c>
      <c r="F769" s="16">
        <f t="shared" si="2304"/>
        <v>48500000</v>
      </c>
      <c r="G769" s="16">
        <f t="shared" si="2304"/>
        <v>52900000</v>
      </c>
      <c r="H769" s="17">
        <f t="shared" ref="H769:J769" si="2305">roundup((XLOOKUP($D769,$T$3:$T$10,$U$3:$U$10)*XLOOKUP(H$2,$AA$3:$AA$5,$AC$3:$AC$5)-ABS(XLOOKUP($C769,$Q$3:$Q$16,$R$3:$R$16)))*$B769,-5)</f>
        <v>22500000</v>
      </c>
      <c r="I769" s="17">
        <f t="shared" si="2305"/>
        <v>60100000</v>
      </c>
      <c r="J769" s="17">
        <f t="shared" si="2305"/>
        <v>65200000</v>
      </c>
      <c r="K769" s="17">
        <f t="shared" ref="K769:M769" si="2306">roundup((XLOOKUP($D769,$T$3:$T$10,$U$3:$U$10)*XLOOKUP(K$2,$AA$3:$AA$5,$AD$3:$AD$5)-ABS(XLOOKUP($C769,$Q$3:$Q$16,$R$3:$R$16)))*$B769,-5)</f>
        <v>26700000</v>
      </c>
      <c r="L769" s="17">
        <f t="shared" si="2306"/>
        <v>67900000</v>
      </c>
      <c r="M769" s="17">
        <f t="shared" si="2306"/>
        <v>73500000</v>
      </c>
    </row>
    <row r="770">
      <c r="A770" s="14" t="s">
        <v>813</v>
      </c>
      <c r="B770" s="14">
        <v>144.0</v>
      </c>
      <c r="C770" s="15">
        <f t="shared" si="4"/>
        <v>11</v>
      </c>
      <c r="D770" s="14" t="s">
        <v>33</v>
      </c>
      <c r="E770" s="16">
        <f t="shared" ref="E770:G770" si="2307">ROUNDUP((XLOOKUP($D770,$T$3:$T$10,$U$3:$U$10)*XLOOKUP(E$2,$AA$3:$AA$5,$AB$3:$AB$5)-ABS(XLOOKUP($C770,$Q$3:$Q$16,$R$3:$R$16)))*$B770,-5)</f>
        <v>31300000</v>
      </c>
      <c r="F770" s="16">
        <f t="shared" si="2307"/>
        <v>55500000</v>
      </c>
      <c r="G770" s="16">
        <f t="shared" si="2307"/>
        <v>60500000</v>
      </c>
      <c r="H770" s="17">
        <f t="shared" ref="H770:J770" si="2308">roundup((XLOOKUP($D770,$T$3:$T$10,$U$3:$U$10)*XLOOKUP(H$2,$AA$3:$AA$5,$AC$3:$AC$5)-ABS(XLOOKUP($C770,$Q$3:$Q$16,$R$3:$R$16)))*$B770,-5)</f>
        <v>25700000</v>
      </c>
      <c r="I770" s="17">
        <f t="shared" si="2308"/>
        <v>68600000</v>
      </c>
      <c r="J770" s="17">
        <f t="shared" si="2308"/>
        <v>74500000</v>
      </c>
      <c r="K770" s="17">
        <f t="shared" ref="K770:M770" si="2309">roundup((XLOOKUP($D770,$T$3:$T$10,$U$3:$U$10)*XLOOKUP(K$2,$AA$3:$AA$5,$AD$3:$AD$5)-ABS(XLOOKUP($C770,$Q$3:$Q$16,$R$3:$R$16)))*$B770,-5)</f>
        <v>30500000</v>
      </c>
      <c r="L770" s="17">
        <f t="shared" si="2309"/>
        <v>77600000</v>
      </c>
      <c r="M770" s="17">
        <f t="shared" si="2309"/>
        <v>84000000</v>
      </c>
    </row>
    <row r="771">
      <c r="A771" s="14" t="s">
        <v>814</v>
      </c>
      <c r="B771" s="14">
        <v>120.0</v>
      </c>
      <c r="C771" s="15">
        <f t="shared" si="4"/>
        <v>11</v>
      </c>
      <c r="D771" s="14" t="s">
        <v>33</v>
      </c>
      <c r="E771" s="16">
        <f t="shared" ref="E771:G771" si="2310">ROUNDUP((XLOOKUP($D771,$T$3:$T$10,$U$3:$U$10)*XLOOKUP(E$2,$AA$3:$AA$5,$AB$3:$AB$5)-ABS(XLOOKUP($C771,$Q$3:$Q$16,$R$3:$R$16)))*$B771,-5)</f>
        <v>26100000</v>
      </c>
      <c r="F771" s="16">
        <f t="shared" si="2310"/>
        <v>46200000</v>
      </c>
      <c r="G771" s="16">
        <f t="shared" si="2310"/>
        <v>50400000</v>
      </c>
      <c r="H771" s="17">
        <f t="shared" ref="H771:J771" si="2311">roundup((XLOOKUP($D771,$T$3:$T$10,$U$3:$U$10)*XLOOKUP(H$2,$AA$3:$AA$5,$AC$3:$AC$5)-ABS(XLOOKUP($C771,$Q$3:$Q$16,$R$3:$R$16)))*$B771,-5)</f>
        <v>21500000</v>
      </c>
      <c r="I771" s="17">
        <f t="shared" si="2311"/>
        <v>57200000</v>
      </c>
      <c r="J771" s="17">
        <f t="shared" si="2311"/>
        <v>62100000</v>
      </c>
      <c r="K771" s="17">
        <f t="shared" ref="K771:M771" si="2312">roundup((XLOOKUP($D771,$T$3:$T$10,$U$3:$U$10)*XLOOKUP(K$2,$AA$3:$AA$5,$AD$3:$AD$5)-ABS(XLOOKUP($C771,$Q$3:$Q$16,$R$3:$R$16)))*$B771,-5)</f>
        <v>25400000</v>
      </c>
      <c r="L771" s="17">
        <f t="shared" si="2312"/>
        <v>64600000</v>
      </c>
      <c r="M771" s="17">
        <f t="shared" si="2312"/>
        <v>70000000</v>
      </c>
    </row>
    <row r="772">
      <c r="A772" s="14" t="s">
        <v>815</v>
      </c>
      <c r="B772" s="14">
        <v>140.0</v>
      </c>
      <c r="C772" s="15">
        <f t="shared" si="4"/>
        <v>11</v>
      </c>
      <c r="D772" s="14" t="s">
        <v>33</v>
      </c>
      <c r="E772" s="16">
        <f t="shared" ref="E772:G772" si="2313">ROUNDUP((XLOOKUP($D772,$T$3:$T$10,$U$3:$U$10)*XLOOKUP(E$2,$AA$3:$AA$5,$AB$3:$AB$5)-ABS(XLOOKUP($C772,$Q$3:$Q$16,$R$3:$R$16)))*$B772,-5)</f>
        <v>30400000</v>
      </c>
      <c r="F772" s="16">
        <f t="shared" si="2313"/>
        <v>53900000</v>
      </c>
      <c r="G772" s="16">
        <f t="shared" si="2313"/>
        <v>58800000</v>
      </c>
      <c r="H772" s="17">
        <f t="shared" ref="H772:J772" si="2314">roundup((XLOOKUP($D772,$T$3:$T$10,$U$3:$U$10)*XLOOKUP(H$2,$AA$3:$AA$5,$AC$3:$AC$5)-ABS(XLOOKUP($C772,$Q$3:$Q$16,$R$3:$R$16)))*$B772,-5)</f>
        <v>25000000</v>
      </c>
      <c r="I772" s="17">
        <f t="shared" si="2314"/>
        <v>66700000</v>
      </c>
      <c r="J772" s="17">
        <f t="shared" si="2314"/>
        <v>72400000</v>
      </c>
      <c r="K772" s="17">
        <f t="shared" ref="K772:M772" si="2315">roundup((XLOOKUP($D772,$T$3:$T$10,$U$3:$U$10)*XLOOKUP(K$2,$AA$3:$AA$5,$AD$3:$AD$5)-ABS(XLOOKUP($C772,$Q$3:$Q$16,$R$3:$R$16)))*$B772,-5)</f>
        <v>29700000</v>
      </c>
      <c r="L772" s="17">
        <f t="shared" si="2315"/>
        <v>75400000</v>
      </c>
      <c r="M772" s="17">
        <f t="shared" si="2315"/>
        <v>81700000</v>
      </c>
    </row>
    <row r="773">
      <c r="A773" s="14" t="s">
        <v>816</v>
      </c>
      <c r="B773" s="14">
        <v>140.0</v>
      </c>
      <c r="C773" s="15">
        <f t="shared" si="4"/>
        <v>11</v>
      </c>
      <c r="D773" s="14" t="s">
        <v>33</v>
      </c>
      <c r="E773" s="16">
        <f t="shared" ref="E773:G773" si="2316">ROUNDUP((XLOOKUP($D773,$T$3:$T$10,$U$3:$U$10)*XLOOKUP(E$2,$AA$3:$AA$5,$AB$3:$AB$5)-ABS(XLOOKUP($C773,$Q$3:$Q$16,$R$3:$R$16)))*$B773,-5)</f>
        <v>30400000</v>
      </c>
      <c r="F773" s="16">
        <f t="shared" si="2316"/>
        <v>53900000</v>
      </c>
      <c r="G773" s="16">
        <f t="shared" si="2316"/>
        <v>58800000</v>
      </c>
      <c r="H773" s="17">
        <f t="shared" ref="H773:J773" si="2317">roundup((XLOOKUP($D773,$T$3:$T$10,$U$3:$U$10)*XLOOKUP(H$2,$AA$3:$AA$5,$AC$3:$AC$5)-ABS(XLOOKUP($C773,$Q$3:$Q$16,$R$3:$R$16)))*$B773,-5)</f>
        <v>25000000</v>
      </c>
      <c r="I773" s="17">
        <f t="shared" si="2317"/>
        <v>66700000</v>
      </c>
      <c r="J773" s="17">
        <f t="shared" si="2317"/>
        <v>72400000</v>
      </c>
      <c r="K773" s="17">
        <f t="shared" ref="K773:M773" si="2318">roundup((XLOOKUP($D773,$T$3:$T$10,$U$3:$U$10)*XLOOKUP(K$2,$AA$3:$AA$5,$AD$3:$AD$5)-ABS(XLOOKUP($C773,$Q$3:$Q$16,$R$3:$R$16)))*$B773,-5)</f>
        <v>29700000</v>
      </c>
      <c r="L773" s="17">
        <f t="shared" si="2318"/>
        <v>75400000</v>
      </c>
      <c r="M773" s="17">
        <f t="shared" si="2318"/>
        <v>81700000</v>
      </c>
    </row>
    <row r="774">
      <c r="A774" s="14" t="s">
        <v>817</v>
      </c>
      <c r="B774" s="14">
        <v>114.0</v>
      </c>
      <c r="C774" s="15">
        <f t="shared" si="4"/>
        <v>11</v>
      </c>
      <c r="D774" s="14" t="s">
        <v>33</v>
      </c>
      <c r="E774" s="16">
        <f t="shared" ref="E774:G774" si="2319">ROUNDUP((XLOOKUP($D774,$T$3:$T$10,$U$3:$U$10)*XLOOKUP(E$2,$AA$3:$AA$5,$AB$3:$AB$5)-ABS(XLOOKUP($C774,$Q$3:$Q$16,$R$3:$R$16)))*$B774,-5)</f>
        <v>24800000</v>
      </c>
      <c r="F774" s="16">
        <f t="shared" si="2319"/>
        <v>43900000</v>
      </c>
      <c r="G774" s="16">
        <f t="shared" si="2319"/>
        <v>47900000</v>
      </c>
      <c r="H774" s="17">
        <f t="shared" ref="H774:J774" si="2320">roundup((XLOOKUP($D774,$T$3:$T$10,$U$3:$U$10)*XLOOKUP(H$2,$AA$3:$AA$5,$AC$3:$AC$5)-ABS(XLOOKUP($C774,$Q$3:$Q$16,$R$3:$R$16)))*$B774,-5)</f>
        <v>20400000</v>
      </c>
      <c r="I774" s="17">
        <f t="shared" si="2320"/>
        <v>54300000</v>
      </c>
      <c r="J774" s="17">
        <f t="shared" si="2320"/>
        <v>59000000</v>
      </c>
      <c r="K774" s="17">
        <f t="shared" ref="K774:M774" si="2321">roundup((XLOOKUP($D774,$T$3:$T$10,$U$3:$U$10)*XLOOKUP(K$2,$AA$3:$AA$5,$AD$3:$AD$5)-ABS(XLOOKUP($C774,$Q$3:$Q$16,$R$3:$R$16)))*$B774,-5)</f>
        <v>24200000</v>
      </c>
      <c r="L774" s="17">
        <f t="shared" si="2321"/>
        <v>61400000</v>
      </c>
      <c r="M774" s="17">
        <f t="shared" si="2321"/>
        <v>66500000</v>
      </c>
    </row>
    <row r="775">
      <c r="A775" s="14" t="s">
        <v>818</v>
      </c>
      <c r="B775" s="14">
        <v>136.0</v>
      </c>
      <c r="C775" s="15">
        <f t="shared" si="4"/>
        <v>11</v>
      </c>
      <c r="D775" s="14" t="s">
        <v>33</v>
      </c>
      <c r="E775" s="16">
        <f t="shared" ref="E775:G775" si="2322">ROUNDUP((XLOOKUP($D775,$T$3:$T$10,$U$3:$U$10)*XLOOKUP(E$2,$AA$3:$AA$5,$AB$3:$AB$5)-ABS(XLOOKUP($C775,$Q$3:$Q$16,$R$3:$R$16)))*$B775,-5)</f>
        <v>29500000</v>
      </c>
      <c r="F775" s="16">
        <f t="shared" si="2322"/>
        <v>52400000</v>
      </c>
      <c r="G775" s="16">
        <f t="shared" si="2322"/>
        <v>57100000</v>
      </c>
      <c r="H775" s="17">
        <f t="shared" ref="H775:J775" si="2323">roundup((XLOOKUP($D775,$T$3:$T$10,$U$3:$U$10)*XLOOKUP(H$2,$AA$3:$AA$5,$AC$3:$AC$5)-ABS(XLOOKUP($C775,$Q$3:$Q$16,$R$3:$R$16)))*$B775,-5)</f>
        <v>24300000</v>
      </c>
      <c r="I775" s="17">
        <f t="shared" si="2323"/>
        <v>64800000</v>
      </c>
      <c r="J775" s="17">
        <f t="shared" si="2323"/>
        <v>70300000</v>
      </c>
      <c r="K775" s="17">
        <f t="shared" ref="K775:M775" si="2324">roundup((XLOOKUP($D775,$T$3:$T$10,$U$3:$U$10)*XLOOKUP(K$2,$AA$3:$AA$5,$AD$3:$AD$5)-ABS(XLOOKUP($C775,$Q$3:$Q$16,$R$3:$R$16)))*$B775,-5)</f>
        <v>28800000</v>
      </c>
      <c r="L775" s="17">
        <f t="shared" si="2324"/>
        <v>73300000</v>
      </c>
      <c r="M775" s="17">
        <f t="shared" si="2324"/>
        <v>79300000</v>
      </c>
    </row>
    <row r="776">
      <c r="A776" s="14" t="s">
        <v>819</v>
      </c>
      <c r="B776" s="14">
        <v>137.0</v>
      </c>
      <c r="C776" s="15">
        <f t="shared" si="4"/>
        <v>11</v>
      </c>
      <c r="D776" s="14" t="s">
        <v>33</v>
      </c>
      <c r="E776" s="16">
        <f t="shared" ref="E776:G776" si="2325">ROUNDUP((XLOOKUP($D776,$T$3:$T$10,$U$3:$U$10)*XLOOKUP(E$2,$AA$3:$AA$5,$AB$3:$AB$5)-ABS(XLOOKUP($C776,$Q$3:$Q$16,$R$3:$R$16)))*$B776,-5)</f>
        <v>29700000</v>
      </c>
      <c r="F776" s="16">
        <f t="shared" si="2325"/>
        <v>52800000</v>
      </c>
      <c r="G776" s="16">
        <f t="shared" si="2325"/>
        <v>57500000</v>
      </c>
      <c r="H776" s="17">
        <f t="shared" ref="H776:J776" si="2326">roundup((XLOOKUP($D776,$T$3:$T$10,$U$3:$U$10)*XLOOKUP(H$2,$AA$3:$AA$5,$AC$3:$AC$5)-ABS(XLOOKUP($C776,$Q$3:$Q$16,$R$3:$R$16)))*$B776,-5)</f>
        <v>24500000</v>
      </c>
      <c r="I776" s="17">
        <f t="shared" si="2326"/>
        <v>65300000</v>
      </c>
      <c r="J776" s="17">
        <f t="shared" si="2326"/>
        <v>70900000</v>
      </c>
      <c r="K776" s="17">
        <f t="shared" ref="K776:M776" si="2327">roundup((XLOOKUP($D776,$T$3:$T$10,$U$3:$U$10)*XLOOKUP(K$2,$AA$3:$AA$5,$AD$3:$AD$5)-ABS(XLOOKUP($C776,$Q$3:$Q$16,$R$3:$R$16)))*$B776,-5)</f>
        <v>29000000</v>
      </c>
      <c r="L776" s="17">
        <f t="shared" si="2327"/>
        <v>73800000</v>
      </c>
      <c r="M776" s="17">
        <f t="shared" si="2327"/>
        <v>79900000</v>
      </c>
    </row>
    <row r="777">
      <c r="A777" s="14" t="s">
        <v>820</v>
      </c>
      <c r="B777" s="14">
        <v>137.0</v>
      </c>
      <c r="C777" s="15">
        <f t="shared" si="4"/>
        <v>11</v>
      </c>
      <c r="D777" s="14" t="s">
        <v>33</v>
      </c>
      <c r="E777" s="16">
        <f t="shared" ref="E777:G777" si="2328">ROUNDUP((XLOOKUP($D777,$T$3:$T$10,$U$3:$U$10)*XLOOKUP(E$2,$AA$3:$AA$5,$AB$3:$AB$5)-ABS(XLOOKUP($C777,$Q$3:$Q$16,$R$3:$R$16)))*$B777,-5)</f>
        <v>29700000</v>
      </c>
      <c r="F777" s="16">
        <f t="shared" si="2328"/>
        <v>52800000</v>
      </c>
      <c r="G777" s="16">
        <f t="shared" si="2328"/>
        <v>57500000</v>
      </c>
      <c r="H777" s="17">
        <f t="shared" ref="H777:J777" si="2329">roundup((XLOOKUP($D777,$T$3:$T$10,$U$3:$U$10)*XLOOKUP(H$2,$AA$3:$AA$5,$AC$3:$AC$5)-ABS(XLOOKUP($C777,$Q$3:$Q$16,$R$3:$R$16)))*$B777,-5)</f>
        <v>24500000</v>
      </c>
      <c r="I777" s="17">
        <f t="shared" si="2329"/>
        <v>65300000</v>
      </c>
      <c r="J777" s="17">
        <f t="shared" si="2329"/>
        <v>70900000</v>
      </c>
      <c r="K777" s="17">
        <f t="shared" ref="K777:M777" si="2330">roundup((XLOOKUP($D777,$T$3:$T$10,$U$3:$U$10)*XLOOKUP(K$2,$AA$3:$AA$5,$AD$3:$AD$5)-ABS(XLOOKUP($C777,$Q$3:$Q$16,$R$3:$R$16)))*$B777,-5)</f>
        <v>29000000</v>
      </c>
      <c r="L777" s="17">
        <f t="shared" si="2330"/>
        <v>73800000</v>
      </c>
      <c r="M777" s="17">
        <f t="shared" si="2330"/>
        <v>79900000</v>
      </c>
    </row>
    <row r="778">
      <c r="A778" s="14" t="s">
        <v>821</v>
      </c>
      <c r="B778" s="14">
        <v>138.0</v>
      </c>
      <c r="C778" s="15">
        <f t="shared" si="4"/>
        <v>11</v>
      </c>
      <c r="D778" s="14" t="s">
        <v>33</v>
      </c>
      <c r="E778" s="16">
        <f t="shared" ref="E778:G778" si="2331">ROUNDUP((XLOOKUP($D778,$T$3:$T$10,$U$3:$U$10)*XLOOKUP(E$2,$AA$3:$AA$5,$AB$3:$AB$5)-ABS(XLOOKUP($C778,$Q$3:$Q$16,$R$3:$R$16)))*$B778,-5)</f>
        <v>30000000</v>
      </c>
      <c r="F778" s="16">
        <f t="shared" si="2331"/>
        <v>53100000</v>
      </c>
      <c r="G778" s="16">
        <f t="shared" si="2331"/>
        <v>57900000</v>
      </c>
      <c r="H778" s="17">
        <f t="shared" ref="H778:J778" si="2332">roundup((XLOOKUP($D778,$T$3:$T$10,$U$3:$U$10)*XLOOKUP(H$2,$AA$3:$AA$5,$AC$3:$AC$5)-ABS(XLOOKUP($C778,$Q$3:$Q$16,$R$3:$R$16)))*$B778,-5)</f>
        <v>24700000</v>
      </c>
      <c r="I778" s="17">
        <f t="shared" si="2332"/>
        <v>65800000</v>
      </c>
      <c r="J778" s="17">
        <f t="shared" si="2332"/>
        <v>71400000</v>
      </c>
      <c r="K778" s="17">
        <f t="shared" ref="K778:M778" si="2333">roundup((XLOOKUP($D778,$T$3:$T$10,$U$3:$U$10)*XLOOKUP(K$2,$AA$3:$AA$5,$AD$3:$AD$5)-ABS(XLOOKUP($C778,$Q$3:$Q$16,$R$3:$R$16)))*$B778,-5)</f>
        <v>29200000</v>
      </c>
      <c r="L778" s="17">
        <f t="shared" si="2333"/>
        <v>74300000</v>
      </c>
      <c r="M778" s="17">
        <f t="shared" si="2333"/>
        <v>80500000</v>
      </c>
    </row>
    <row r="779">
      <c r="A779" s="14" t="s">
        <v>822</v>
      </c>
      <c r="B779" s="14">
        <v>132.0</v>
      </c>
      <c r="C779" s="15">
        <f t="shared" si="4"/>
        <v>11</v>
      </c>
      <c r="D779" s="14" t="s">
        <v>33</v>
      </c>
      <c r="E779" s="16">
        <f t="shared" ref="E779:G779" si="2334">ROUNDUP((XLOOKUP($D779,$T$3:$T$10,$U$3:$U$10)*XLOOKUP(E$2,$AA$3:$AA$5,$AB$3:$AB$5)-ABS(XLOOKUP($C779,$Q$3:$Q$16,$R$3:$R$16)))*$B779,-5)</f>
        <v>28700000</v>
      </c>
      <c r="F779" s="16">
        <f t="shared" si="2334"/>
        <v>50800000</v>
      </c>
      <c r="G779" s="16">
        <f t="shared" si="2334"/>
        <v>55400000</v>
      </c>
      <c r="H779" s="17">
        <f t="shared" ref="H779:J779" si="2335">roundup((XLOOKUP($D779,$T$3:$T$10,$U$3:$U$10)*XLOOKUP(H$2,$AA$3:$AA$5,$AC$3:$AC$5)-ABS(XLOOKUP($C779,$Q$3:$Q$16,$R$3:$R$16)))*$B779,-5)</f>
        <v>23600000</v>
      </c>
      <c r="I779" s="17">
        <f t="shared" si="2335"/>
        <v>62900000</v>
      </c>
      <c r="J779" s="17">
        <f t="shared" si="2335"/>
        <v>68300000</v>
      </c>
      <c r="K779" s="17">
        <f t="shared" ref="K779:M779" si="2336">roundup((XLOOKUP($D779,$T$3:$T$10,$U$3:$U$10)*XLOOKUP(K$2,$AA$3:$AA$5,$AD$3:$AD$5)-ABS(XLOOKUP($C779,$Q$3:$Q$16,$R$3:$R$16)))*$B779,-5)</f>
        <v>28000000</v>
      </c>
      <c r="L779" s="17">
        <f t="shared" si="2336"/>
        <v>71100000</v>
      </c>
      <c r="M779" s="17">
        <f t="shared" si="2336"/>
        <v>77000000</v>
      </c>
    </row>
    <row r="780">
      <c r="A780" s="14" t="s">
        <v>823</v>
      </c>
      <c r="B780" s="14">
        <v>123.0</v>
      </c>
      <c r="C780" s="15">
        <f t="shared" si="4"/>
        <v>11</v>
      </c>
      <c r="D780" s="14" t="s">
        <v>33</v>
      </c>
      <c r="E780" s="16">
        <f t="shared" ref="E780:G780" si="2337">ROUNDUP((XLOOKUP($D780,$T$3:$T$10,$U$3:$U$10)*XLOOKUP(E$2,$AA$3:$AA$5,$AB$3:$AB$5)-ABS(XLOOKUP($C780,$Q$3:$Q$16,$R$3:$R$16)))*$B780,-5)</f>
        <v>26700000</v>
      </c>
      <c r="F780" s="16">
        <f t="shared" si="2337"/>
        <v>47400000</v>
      </c>
      <c r="G780" s="16">
        <f t="shared" si="2337"/>
        <v>51600000</v>
      </c>
      <c r="H780" s="17">
        <f t="shared" ref="H780:J780" si="2338">roundup((XLOOKUP($D780,$T$3:$T$10,$U$3:$U$10)*XLOOKUP(H$2,$AA$3:$AA$5,$AC$3:$AC$5)-ABS(XLOOKUP($C780,$Q$3:$Q$16,$R$3:$R$16)))*$B780,-5)</f>
        <v>22000000</v>
      </c>
      <c r="I780" s="17">
        <f t="shared" si="2338"/>
        <v>58600000</v>
      </c>
      <c r="J780" s="17">
        <f t="shared" si="2338"/>
        <v>63600000</v>
      </c>
      <c r="K780" s="17">
        <f t="shared" ref="K780:M780" si="2339">roundup((XLOOKUP($D780,$T$3:$T$10,$U$3:$U$10)*XLOOKUP(K$2,$AA$3:$AA$5,$AD$3:$AD$5)-ABS(XLOOKUP($C780,$Q$3:$Q$16,$R$3:$R$16)))*$B780,-5)</f>
        <v>26100000</v>
      </c>
      <c r="L780" s="17">
        <f t="shared" si="2339"/>
        <v>66300000</v>
      </c>
      <c r="M780" s="17">
        <f t="shared" si="2339"/>
        <v>71700000</v>
      </c>
    </row>
    <row r="781">
      <c r="A781" s="14" t="s">
        <v>824</v>
      </c>
      <c r="B781" s="14">
        <v>275.0</v>
      </c>
      <c r="C781" s="15">
        <f t="shared" si="4"/>
        <v>14</v>
      </c>
      <c r="D781" s="14" t="s">
        <v>33</v>
      </c>
      <c r="E781" s="16">
        <f t="shared" ref="E781:G781" si="2340">ROUNDUP((XLOOKUP($D781,$T$3:$T$10,$U$3:$U$10)*XLOOKUP(E$2,$AA$3:$AA$5,$AB$3:$AB$5)-ABS(XLOOKUP($C781,$Q$3:$Q$16,$R$3:$R$16)))*$B781,-5)</f>
        <v>51700000</v>
      </c>
      <c r="F781" s="16">
        <f t="shared" si="2340"/>
        <v>97900000</v>
      </c>
      <c r="G781" s="16">
        <f t="shared" si="2340"/>
        <v>107400000</v>
      </c>
      <c r="H781" s="17">
        <f t="shared" ref="H781:J781" si="2341">roundup((XLOOKUP($D781,$T$3:$T$10,$U$3:$U$10)*XLOOKUP(H$2,$AA$3:$AA$5,$AC$3:$AC$5)-ABS(XLOOKUP($C781,$Q$3:$Q$16,$R$3:$R$16)))*$B781,-5)</f>
        <v>41100000</v>
      </c>
      <c r="I781" s="17">
        <f t="shared" si="2341"/>
        <v>123100000</v>
      </c>
      <c r="J781" s="17">
        <f t="shared" si="2341"/>
        <v>134200000</v>
      </c>
      <c r="K781" s="17">
        <f t="shared" ref="K781:M781" si="2342">roundup((XLOOKUP($D781,$T$3:$T$10,$U$3:$U$10)*XLOOKUP(K$2,$AA$3:$AA$5,$AD$3:$AD$5)-ABS(XLOOKUP($C781,$Q$3:$Q$16,$R$3:$R$16)))*$B781,-5)</f>
        <v>50200000</v>
      </c>
      <c r="L781" s="17">
        <f t="shared" si="2342"/>
        <v>140100000</v>
      </c>
      <c r="M781" s="17">
        <f t="shared" si="2342"/>
        <v>152400000</v>
      </c>
    </row>
    <row r="782">
      <c r="A782" s="14" t="s">
        <v>825</v>
      </c>
      <c r="B782" s="14">
        <v>233.0</v>
      </c>
      <c r="C782" s="15">
        <f t="shared" si="4"/>
        <v>14</v>
      </c>
      <c r="D782" s="14" t="s">
        <v>33</v>
      </c>
      <c r="E782" s="16">
        <f t="shared" ref="E782:G782" si="2343">ROUNDUP((XLOOKUP($D782,$T$3:$T$10,$U$3:$U$10)*XLOOKUP(E$2,$AA$3:$AA$5,$AB$3:$AB$5)-ABS(XLOOKUP($C782,$Q$3:$Q$16,$R$3:$R$16)))*$B782,-5)</f>
        <v>43800000</v>
      </c>
      <c r="F782" s="16">
        <f t="shared" si="2343"/>
        <v>82900000</v>
      </c>
      <c r="G782" s="16">
        <f t="shared" si="2343"/>
        <v>91000000</v>
      </c>
      <c r="H782" s="17">
        <f t="shared" ref="H782:J782" si="2344">roundup((XLOOKUP($D782,$T$3:$T$10,$U$3:$U$10)*XLOOKUP(H$2,$AA$3:$AA$5,$AC$3:$AC$5)-ABS(XLOOKUP($C782,$Q$3:$Q$16,$R$3:$R$16)))*$B782,-5)</f>
        <v>34900000</v>
      </c>
      <c r="I782" s="17">
        <f t="shared" si="2344"/>
        <v>104300000</v>
      </c>
      <c r="J782" s="17">
        <f t="shared" si="2344"/>
        <v>113700000</v>
      </c>
      <c r="K782" s="17">
        <f t="shared" ref="K782:M782" si="2345">roundup((XLOOKUP($D782,$T$3:$T$10,$U$3:$U$10)*XLOOKUP(K$2,$AA$3:$AA$5,$AD$3:$AD$5)-ABS(XLOOKUP($C782,$Q$3:$Q$16,$R$3:$R$16)))*$B782,-5)</f>
        <v>42600000</v>
      </c>
      <c r="L782" s="17">
        <f t="shared" si="2345"/>
        <v>118700000</v>
      </c>
      <c r="M782" s="17">
        <f t="shared" si="2345"/>
        <v>129100000</v>
      </c>
    </row>
    <row r="783">
      <c r="A783" s="14" t="s">
        <v>826</v>
      </c>
      <c r="B783" s="14">
        <v>132.0</v>
      </c>
      <c r="C783" s="15">
        <f t="shared" si="4"/>
        <v>11</v>
      </c>
      <c r="D783" s="14" t="s">
        <v>33</v>
      </c>
      <c r="E783" s="16">
        <f t="shared" ref="E783:G783" si="2346">ROUNDUP((XLOOKUP($D783,$T$3:$T$10,$U$3:$U$10)*XLOOKUP(E$2,$AA$3:$AA$5,$AB$3:$AB$5)-ABS(XLOOKUP($C783,$Q$3:$Q$16,$R$3:$R$16)))*$B783,-5)</f>
        <v>28700000</v>
      </c>
      <c r="F783" s="16">
        <f t="shared" si="2346"/>
        <v>50800000</v>
      </c>
      <c r="G783" s="16">
        <f t="shared" si="2346"/>
        <v>55400000</v>
      </c>
      <c r="H783" s="17">
        <f t="shared" ref="H783:J783" si="2347">roundup((XLOOKUP($D783,$T$3:$T$10,$U$3:$U$10)*XLOOKUP(H$2,$AA$3:$AA$5,$AC$3:$AC$5)-ABS(XLOOKUP($C783,$Q$3:$Q$16,$R$3:$R$16)))*$B783,-5)</f>
        <v>23600000</v>
      </c>
      <c r="I783" s="17">
        <f t="shared" si="2347"/>
        <v>62900000</v>
      </c>
      <c r="J783" s="17">
        <f t="shared" si="2347"/>
        <v>68300000</v>
      </c>
      <c r="K783" s="17">
        <f t="shared" ref="K783:M783" si="2348">roundup((XLOOKUP($D783,$T$3:$T$10,$U$3:$U$10)*XLOOKUP(K$2,$AA$3:$AA$5,$AD$3:$AD$5)-ABS(XLOOKUP($C783,$Q$3:$Q$16,$R$3:$R$16)))*$B783,-5)</f>
        <v>28000000</v>
      </c>
      <c r="L783" s="17">
        <f t="shared" si="2348"/>
        <v>71100000</v>
      </c>
      <c r="M783" s="17">
        <f t="shared" si="2348"/>
        <v>77000000</v>
      </c>
    </row>
    <row r="784">
      <c r="A784" s="14" t="s">
        <v>827</v>
      </c>
      <c r="B784" s="14">
        <v>140.0</v>
      </c>
      <c r="C784" s="15">
        <f t="shared" si="4"/>
        <v>11</v>
      </c>
      <c r="D784" s="14" t="s">
        <v>33</v>
      </c>
      <c r="E784" s="16">
        <f t="shared" ref="E784:G784" si="2349">ROUNDUP((XLOOKUP($D784,$T$3:$T$10,$U$3:$U$10)*XLOOKUP(E$2,$AA$3:$AA$5,$AB$3:$AB$5)-ABS(XLOOKUP($C784,$Q$3:$Q$16,$R$3:$R$16)))*$B784,-5)</f>
        <v>30400000</v>
      </c>
      <c r="F784" s="16">
        <f t="shared" si="2349"/>
        <v>53900000</v>
      </c>
      <c r="G784" s="16">
        <f t="shared" si="2349"/>
        <v>58800000</v>
      </c>
      <c r="H784" s="17">
        <f t="shared" ref="H784:J784" si="2350">roundup((XLOOKUP($D784,$T$3:$T$10,$U$3:$U$10)*XLOOKUP(H$2,$AA$3:$AA$5,$AC$3:$AC$5)-ABS(XLOOKUP($C784,$Q$3:$Q$16,$R$3:$R$16)))*$B784,-5)</f>
        <v>25000000</v>
      </c>
      <c r="I784" s="17">
        <f t="shared" si="2350"/>
        <v>66700000</v>
      </c>
      <c r="J784" s="17">
        <f t="shared" si="2350"/>
        <v>72400000</v>
      </c>
      <c r="K784" s="17">
        <f t="shared" ref="K784:M784" si="2351">roundup((XLOOKUP($D784,$T$3:$T$10,$U$3:$U$10)*XLOOKUP(K$2,$AA$3:$AA$5,$AD$3:$AD$5)-ABS(XLOOKUP($C784,$Q$3:$Q$16,$R$3:$R$16)))*$B784,-5)</f>
        <v>29700000</v>
      </c>
      <c r="L784" s="17">
        <f t="shared" si="2351"/>
        <v>75400000</v>
      </c>
      <c r="M784" s="17">
        <f t="shared" si="2351"/>
        <v>81700000</v>
      </c>
    </row>
    <row r="785">
      <c r="A785" s="14" t="s">
        <v>828</v>
      </c>
      <c r="B785" s="14">
        <v>164.0</v>
      </c>
      <c r="C785" s="15">
        <f t="shared" si="4"/>
        <v>12</v>
      </c>
      <c r="D785" s="14" t="s">
        <v>33</v>
      </c>
      <c r="E785" s="16">
        <f t="shared" ref="E785:G785" si="2352">ROUNDUP((XLOOKUP($D785,$T$3:$T$10,$U$3:$U$10)*XLOOKUP(E$2,$AA$3:$AA$5,$AB$3:$AB$5)-ABS(XLOOKUP($C785,$Q$3:$Q$16,$R$3:$R$16)))*$B785,-5)</f>
        <v>34800000</v>
      </c>
      <c r="F785" s="16">
        <f t="shared" si="2352"/>
        <v>62300000</v>
      </c>
      <c r="G785" s="16">
        <f t="shared" si="2352"/>
        <v>68000000</v>
      </c>
      <c r="H785" s="17">
        <f t="shared" ref="H785:J785" si="2353">roundup((XLOOKUP($D785,$T$3:$T$10,$U$3:$U$10)*XLOOKUP(H$2,$AA$3:$AA$5,$AC$3:$AC$5)-ABS(XLOOKUP($C785,$Q$3:$Q$16,$R$3:$R$16)))*$B785,-5)</f>
        <v>28500000</v>
      </c>
      <c r="I785" s="17">
        <f t="shared" si="2353"/>
        <v>77300000</v>
      </c>
      <c r="J785" s="17">
        <f t="shared" si="2353"/>
        <v>84000000</v>
      </c>
      <c r="K785" s="17">
        <f t="shared" ref="K785:M785" si="2354">roundup((XLOOKUP($D785,$T$3:$T$10,$U$3:$U$10)*XLOOKUP(K$2,$AA$3:$AA$5,$AD$3:$AD$5)-ABS(XLOOKUP($C785,$Q$3:$Q$16,$R$3:$R$16)))*$B785,-5)</f>
        <v>33900000</v>
      </c>
      <c r="L785" s="17">
        <f t="shared" si="2354"/>
        <v>87500000</v>
      </c>
      <c r="M785" s="17">
        <f t="shared" si="2354"/>
        <v>94800000</v>
      </c>
    </row>
    <row r="786">
      <c r="A786" s="14" t="s">
        <v>829</v>
      </c>
      <c r="B786" s="14">
        <v>125.0</v>
      </c>
      <c r="C786" s="15">
        <f t="shared" si="4"/>
        <v>11</v>
      </c>
      <c r="D786" s="14" t="s">
        <v>36</v>
      </c>
      <c r="E786" s="16">
        <f t="shared" ref="E786:G786" si="2355">ROUNDUP((XLOOKUP($D786,$T$3:$T$10,$U$3:$U$10)*XLOOKUP(E$2,$AA$3:$AA$5,$AB$3:$AB$5)-ABS(XLOOKUP($C786,$Q$3:$Q$16,$R$3:$R$16)))*$B786,-5)</f>
        <v>32800000</v>
      </c>
      <c r="F786" s="16">
        <f t="shared" si="2355"/>
        <v>56400000</v>
      </c>
      <c r="G786" s="16">
        <f t="shared" si="2355"/>
        <v>61200000</v>
      </c>
      <c r="H786" s="17">
        <f t="shared" ref="H786:J786" si="2356">roundup((XLOOKUP($D786,$T$3:$T$10,$U$3:$U$10)*XLOOKUP(H$2,$AA$3:$AA$5,$AC$3:$AC$5)-ABS(XLOOKUP($C786,$Q$3:$Q$16,$R$3:$R$16)))*$B786,-5)</f>
        <v>27500000</v>
      </c>
      <c r="I786" s="17">
        <f t="shared" si="2356"/>
        <v>69200000</v>
      </c>
      <c r="J786" s="17">
        <f t="shared" si="2356"/>
        <v>74900000</v>
      </c>
      <c r="K786" s="17">
        <f t="shared" ref="K786:M786" si="2357">roundup((XLOOKUP($D786,$T$3:$T$10,$U$3:$U$10)*XLOOKUP(K$2,$AA$3:$AA$5,$AD$3:$AD$5)-ABS(XLOOKUP($C786,$Q$3:$Q$16,$R$3:$R$16)))*$B786,-5)</f>
        <v>32100000</v>
      </c>
      <c r="L786" s="17">
        <f t="shared" si="2357"/>
        <v>77900000</v>
      </c>
      <c r="M786" s="17">
        <f t="shared" si="2357"/>
        <v>84100000</v>
      </c>
    </row>
    <row r="787">
      <c r="A787" s="14" t="s">
        <v>830</v>
      </c>
      <c r="B787" s="14">
        <v>140.0</v>
      </c>
      <c r="C787" s="15">
        <f t="shared" si="4"/>
        <v>11</v>
      </c>
      <c r="D787" s="14" t="s">
        <v>36</v>
      </c>
      <c r="E787" s="16">
        <f t="shared" ref="E787:G787" si="2358">ROUNDUP((XLOOKUP($D787,$T$3:$T$10,$U$3:$U$10)*XLOOKUP(E$2,$AA$3:$AA$5,$AB$3:$AB$5)-ABS(XLOOKUP($C787,$Q$3:$Q$16,$R$3:$R$16)))*$B787,-5)</f>
        <v>36800000</v>
      </c>
      <c r="F787" s="16">
        <f t="shared" si="2358"/>
        <v>63100000</v>
      </c>
      <c r="G787" s="16">
        <f t="shared" si="2358"/>
        <v>68600000</v>
      </c>
      <c r="H787" s="17">
        <f t="shared" ref="H787:J787" si="2359">roundup((XLOOKUP($D787,$T$3:$T$10,$U$3:$U$10)*XLOOKUP(H$2,$AA$3:$AA$5,$AC$3:$AC$5)-ABS(XLOOKUP($C787,$Q$3:$Q$16,$R$3:$R$16)))*$B787,-5)</f>
        <v>30800000</v>
      </c>
      <c r="I787" s="17">
        <f t="shared" si="2359"/>
        <v>77500000</v>
      </c>
      <c r="J787" s="17">
        <f t="shared" si="2359"/>
        <v>83900000</v>
      </c>
      <c r="K787" s="17">
        <f t="shared" ref="K787:M787" si="2360">roundup((XLOOKUP($D787,$T$3:$T$10,$U$3:$U$10)*XLOOKUP(K$2,$AA$3:$AA$5,$AD$3:$AD$5)-ABS(XLOOKUP($C787,$Q$3:$Q$16,$R$3:$R$16)))*$B787,-5)</f>
        <v>35900000</v>
      </c>
      <c r="L787" s="17">
        <f t="shared" si="2360"/>
        <v>87200000</v>
      </c>
      <c r="M787" s="17">
        <f t="shared" si="2360"/>
        <v>94200000</v>
      </c>
    </row>
    <row r="788">
      <c r="A788" s="14" t="s">
        <v>831</v>
      </c>
      <c r="B788" s="14">
        <v>58.0</v>
      </c>
      <c r="C788" s="15">
        <f t="shared" si="4"/>
        <v>8</v>
      </c>
      <c r="D788" s="14" t="s">
        <v>208</v>
      </c>
      <c r="E788" s="16">
        <f t="shared" ref="E788:G788" si="2361">ROUNDUP((XLOOKUP($D788,$T$3:$T$10,$U$3:$U$10)*XLOOKUP(E$2,$AA$3:$AA$5,$AB$3:$AB$5)-ABS(XLOOKUP($C788,$Q$3:$Q$16,$R$3:$R$16)))*$B788,-5)</f>
        <v>18900000</v>
      </c>
      <c r="F788" s="16">
        <f t="shared" si="2361"/>
        <v>29000000</v>
      </c>
      <c r="G788" s="16">
        <f t="shared" si="2361"/>
        <v>31100000</v>
      </c>
      <c r="H788" s="17">
        <f t="shared" ref="H788:J788" si="2362">roundup((XLOOKUP($D788,$T$3:$T$10,$U$3:$U$10)*XLOOKUP(H$2,$AA$3:$AA$5,$AC$3:$AC$5)-ABS(XLOOKUP($C788,$Q$3:$Q$16,$R$3:$R$16)))*$B788,-5)</f>
        <v>16600000</v>
      </c>
      <c r="I788" s="17">
        <f t="shared" si="2362"/>
        <v>34500000</v>
      </c>
      <c r="J788" s="17">
        <f t="shared" si="2362"/>
        <v>36900000</v>
      </c>
      <c r="K788" s="17">
        <f t="shared" ref="K788:M788" si="2363">roundup((XLOOKUP($D788,$T$3:$T$10,$U$3:$U$10)*XLOOKUP(K$2,$AA$3:$AA$5,$AD$3:$AD$5)-ABS(XLOOKUP($C788,$Q$3:$Q$16,$R$3:$R$16)))*$B788,-5)</f>
        <v>18600000</v>
      </c>
      <c r="L788" s="17">
        <f t="shared" si="2363"/>
        <v>38200000</v>
      </c>
      <c r="M788" s="17">
        <f t="shared" si="2363"/>
        <v>40900000</v>
      </c>
    </row>
    <row r="789">
      <c r="A789" s="14" t="s">
        <v>832</v>
      </c>
      <c r="B789" s="14">
        <v>58.0</v>
      </c>
      <c r="C789" s="15">
        <f t="shared" si="4"/>
        <v>8</v>
      </c>
      <c r="D789" s="14" t="s">
        <v>208</v>
      </c>
      <c r="E789" s="16">
        <f t="shared" ref="E789:G789" si="2364">ROUNDUP((XLOOKUP($D789,$T$3:$T$10,$U$3:$U$10)*XLOOKUP(E$2,$AA$3:$AA$5,$AB$3:$AB$5)-ABS(XLOOKUP($C789,$Q$3:$Q$16,$R$3:$R$16)))*$B789,-5)</f>
        <v>18900000</v>
      </c>
      <c r="F789" s="16">
        <f t="shared" si="2364"/>
        <v>29000000</v>
      </c>
      <c r="G789" s="16">
        <f t="shared" si="2364"/>
        <v>31100000</v>
      </c>
      <c r="H789" s="17">
        <f t="shared" ref="H789:J789" si="2365">roundup((XLOOKUP($D789,$T$3:$T$10,$U$3:$U$10)*XLOOKUP(H$2,$AA$3:$AA$5,$AC$3:$AC$5)-ABS(XLOOKUP($C789,$Q$3:$Q$16,$R$3:$R$16)))*$B789,-5)</f>
        <v>16600000</v>
      </c>
      <c r="I789" s="17">
        <f t="shared" si="2365"/>
        <v>34500000</v>
      </c>
      <c r="J789" s="17">
        <f t="shared" si="2365"/>
        <v>36900000</v>
      </c>
      <c r="K789" s="17">
        <f t="shared" ref="K789:M789" si="2366">roundup((XLOOKUP($D789,$T$3:$T$10,$U$3:$U$10)*XLOOKUP(K$2,$AA$3:$AA$5,$AD$3:$AD$5)-ABS(XLOOKUP($C789,$Q$3:$Q$16,$R$3:$R$16)))*$B789,-5)</f>
        <v>18600000</v>
      </c>
      <c r="L789" s="17">
        <f t="shared" si="2366"/>
        <v>38200000</v>
      </c>
      <c r="M789" s="17">
        <f t="shared" si="2366"/>
        <v>40900000</v>
      </c>
    </row>
    <row r="790">
      <c r="A790" s="14" t="s">
        <v>833</v>
      </c>
      <c r="B790" s="14">
        <v>58.0</v>
      </c>
      <c r="C790" s="15">
        <f t="shared" si="4"/>
        <v>8</v>
      </c>
      <c r="D790" s="14" t="s">
        <v>208</v>
      </c>
      <c r="E790" s="16">
        <f t="shared" ref="E790:G790" si="2367">ROUNDUP((XLOOKUP($D790,$T$3:$T$10,$U$3:$U$10)*XLOOKUP(E$2,$AA$3:$AA$5,$AB$3:$AB$5)-ABS(XLOOKUP($C790,$Q$3:$Q$16,$R$3:$R$16)))*$B790,-5)</f>
        <v>18900000</v>
      </c>
      <c r="F790" s="16">
        <f t="shared" si="2367"/>
        <v>29000000</v>
      </c>
      <c r="G790" s="16">
        <f t="shared" si="2367"/>
        <v>31100000</v>
      </c>
      <c r="H790" s="17">
        <f t="shared" ref="H790:J790" si="2368">roundup((XLOOKUP($D790,$T$3:$T$10,$U$3:$U$10)*XLOOKUP(H$2,$AA$3:$AA$5,$AC$3:$AC$5)-ABS(XLOOKUP($C790,$Q$3:$Q$16,$R$3:$R$16)))*$B790,-5)</f>
        <v>16600000</v>
      </c>
      <c r="I790" s="17">
        <f t="shared" si="2368"/>
        <v>34500000</v>
      </c>
      <c r="J790" s="17">
        <f t="shared" si="2368"/>
        <v>36900000</v>
      </c>
      <c r="K790" s="17">
        <f t="shared" ref="K790:M790" si="2369">roundup((XLOOKUP($D790,$T$3:$T$10,$U$3:$U$10)*XLOOKUP(K$2,$AA$3:$AA$5,$AD$3:$AD$5)-ABS(XLOOKUP($C790,$Q$3:$Q$16,$R$3:$R$16)))*$B790,-5)</f>
        <v>18600000</v>
      </c>
      <c r="L790" s="17">
        <f t="shared" si="2369"/>
        <v>38200000</v>
      </c>
      <c r="M790" s="17">
        <f t="shared" si="2369"/>
        <v>40900000</v>
      </c>
    </row>
    <row r="791">
      <c r="A791" s="14" t="s">
        <v>834</v>
      </c>
      <c r="B791" s="14">
        <v>102.0</v>
      </c>
      <c r="C791" s="15">
        <f t="shared" si="4"/>
        <v>11</v>
      </c>
      <c r="D791" s="14" t="s">
        <v>208</v>
      </c>
      <c r="E791" s="16">
        <f t="shared" ref="E791:G791" si="2370">ROUNDUP((XLOOKUP($D791,$T$3:$T$10,$U$3:$U$10)*XLOOKUP(E$2,$AA$3:$AA$5,$AB$3:$AB$5)-ABS(XLOOKUP($C791,$Q$3:$Q$16,$R$3:$R$16)))*$B791,-5)</f>
        <v>23500000</v>
      </c>
      <c r="F791" s="16">
        <f t="shared" si="2370"/>
        <v>41200000</v>
      </c>
      <c r="G791" s="16">
        <f t="shared" si="2370"/>
        <v>44900000</v>
      </c>
      <c r="H791" s="17">
        <f t="shared" ref="H791:J791" si="2371">roundup((XLOOKUP($D791,$T$3:$T$10,$U$3:$U$10)*XLOOKUP(H$2,$AA$3:$AA$5,$AC$3:$AC$5)-ABS(XLOOKUP($C791,$Q$3:$Q$16,$R$3:$R$16)))*$B791,-5)</f>
        <v>19400000</v>
      </c>
      <c r="I791" s="17">
        <f t="shared" si="2371"/>
        <v>50900000</v>
      </c>
      <c r="J791" s="17">
        <f t="shared" si="2371"/>
        <v>55200000</v>
      </c>
      <c r="K791" s="17">
        <f t="shared" ref="K791:M791" si="2372">roundup((XLOOKUP($D791,$T$3:$T$10,$U$3:$U$10)*XLOOKUP(K$2,$AA$3:$AA$5,$AD$3:$AD$5)-ABS(XLOOKUP($C791,$Q$3:$Q$16,$R$3:$R$16)))*$B791,-5)</f>
        <v>22900000</v>
      </c>
      <c r="L791" s="17">
        <f t="shared" si="2372"/>
        <v>57400000</v>
      </c>
      <c r="M791" s="17">
        <f t="shared" si="2372"/>
        <v>62100000</v>
      </c>
    </row>
    <row r="792">
      <c r="A792" s="14" t="s">
        <v>835</v>
      </c>
      <c r="B792" s="14">
        <v>87.0</v>
      </c>
      <c r="C792" s="15">
        <f t="shared" si="4"/>
        <v>11</v>
      </c>
      <c r="D792" s="14" t="s">
        <v>208</v>
      </c>
      <c r="E792" s="16">
        <f t="shared" ref="E792:G792" si="2373">ROUNDUP((XLOOKUP($D792,$T$3:$T$10,$U$3:$U$10)*XLOOKUP(E$2,$AA$3:$AA$5,$AB$3:$AB$5)-ABS(XLOOKUP($C792,$Q$3:$Q$16,$R$3:$R$16)))*$B792,-5)</f>
        <v>20000000</v>
      </c>
      <c r="F792" s="16">
        <f t="shared" si="2373"/>
        <v>35200000</v>
      </c>
      <c r="G792" s="16">
        <f t="shared" si="2373"/>
        <v>38300000</v>
      </c>
      <c r="H792" s="17">
        <f t="shared" ref="H792:J792" si="2374">roundup((XLOOKUP($D792,$T$3:$T$10,$U$3:$U$10)*XLOOKUP(H$2,$AA$3:$AA$5,$AC$3:$AC$5)-ABS(XLOOKUP($C792,$Q$3:$Q$16,$R$3:$R$16)))*$B792,-5)</f>
        <v>16600000</v>
      </c>
      <c r="I792" s="17">
        <f t="shared" si="2374"/>
        <v>43400000</v>
      </c>
      <c r="J792" s="17">
        <f t="shared" si="2374"/>
        <v>47000000</v>
      </c>
      <c r="K792" s="17">
        <f t="shared" ref="K792:M792" si="2375">roundup((XLOOKUP($D792,$T$3:$T$10,$U$3:$U$10)*XLOOKUP(K$2,$AA$3:$AA$5,$AD$3:$AD$5)-ABS(XLOOKUP($C792,$Q$3:$Q$16,$R$3:$R$16)))*$B792,-5)</f>
        <v>19600000</v>
      </c>
      <c r="L792" s="17">
        <f t="shared" si="2375"/>
        <v>49000000</v>
      </c>
      <c r="M792" s="17">
        <f t="shared" si="2375"/>
        <v>53000000</v>
      </c>
    </row>
    <row r="793">
      <c r="A793" s="14" t="s">
        <v>836</v>
      </c>
      <c r="B793" s="14">
        <v>44.0</v>
      </c>
      <c r="C793" s="15">
        <f t="shared" si="4"/>
        <v>5</v>
      </c>
      <c r="D793" s="14" t="s">
        <v>208</v>
      </c>
      <c r="E793" s="16">
        <f t="shared" ref="E793:G793" si="2376">ROUNDUP((XLOOKUP($D793,$T$3:$T$10,$U$3:$U$10)*XLOOKUP(E$2,$AA$3:$AA$5,$AB$3:$AB$5)-ABS(XLOOKUP($C793,$Q$3:$Q$16,$R$3:$R$16)))*$B793,-5)</f>
        <v>15500000</v>
      </c>
      <c r="F793" s="16">
        <f t="shared" si="2376"/>
        <v>23200000</v>
      </c>
      <c r="G793" s="16">
        <f t="shared" si="2376"/>
        <v>24800000</v>
      </c>
      <c r="H793" s="17">
        <f t="shared" ref="H793:J793" si="2377">roundup((XLOOKUP($D793,$T$3:$T$10,$U$3:$U$10)*XLOOKUP(H$2,$AA$3:$AA$5,$AC$3:$AC$5)-ABS(XLOOKUP($C793,$Q$3:$Q$16,$R$3:$R$16)))*$B793,-5)</f>
        <v>13800000</v>
      </c>
      <c r="I793" s="17">
        <f t="shared" si="2377"/>
        <v>27300000</v>
      </c>
      <c r="J793" s="17">
        <f t="shared" si="2377"/>
        <v>29200000</v>
      </c>
      <c r="K793" s="17">
        <f t="shared" ref="K793:M793" si="2378">roundup((XLOOKUP($D793,$T$3:$T$10,$U$3:$U$10)*XLOOKUP(K$2,$AA$3:$AA$5,$AD$3:$AD$5)-ABS(XLOOKUP($C793,$Q$3:$Q$16,$R$3:$R$16)))*$B793,-5)</f>
        <v>15300000</v>
      </c>
      <c r="L793" s="17">
        <f t="shared" si="2378"/>
        <v>30200000</v>
      </c>
      <c r="M793" s="17">
        <f t="shared" si="2378"/>
        <v>32200000</v>
      </c>
    </row>
    <row r="794">
      <c r="A794" s="14" t="s">
        <v>837</v>
      </c>
      <c r="B794" s="14">
        <v>102.0</v>
      </c>
      <c r="C794" s="15">
        <f t="shared" si="4"/>
        <v>11</v>
      </c>
      <c r="D794" s="14" t="s">
        <v>208</v>
      </c>
      <c r="E794" s="16">
        <f t="shared" ref="E794:G794" si="2379">ROUNDUP((XLOOKUP($D794,$T$3:$T$10,$U$3:$U$10)*XLOOKUP(E$2,$AA$3:$AA$5,$AB$3:$AB$5)-ABS(XLOOKUP($C794,$Q$3:$Q$16,$R$3:$R$16)))*$B794,-5)</f>
        <v>23500000</v>
      </c>
      <c r="F794" s="16">
        <f t="shared" si="2379"/>
        <v>41200000</v>
      </c>
      <c r="G794" s="16">
        <f t="shared" si="2379"/>
        <v>44900000</v>
      </c>
      <c r="H794" s="17">
        <f t="shared" ref="H794:J794" si="2380">roundup((XLOOKUP($D794,$T$3:$T$10,$U$3:$U$10)*XLOOKUP(H$2,$AA$3:$AA$5,$AC$3:$AC$5)-ABS(XLOOKUP($C794,$Q$3:$Q$16,$R$3:$R$16)))*$B794,-5)</f>
        <v>19400000</v>
      </c>
      <c r="I794" s="17">
        <f t="shared" si="2380"/>
        <v>50900000</v>
      </c>
      <c r="J794" s="17">
        <f t="shared" si="2380"/>
        <v>55200000</v>
      </c>
      <c r="K794" s="17">
        <f t="shared" ref="K794:M794" si="2381">roundup((XLOOKUP($D794,$T$3:$T$10,$U$3:$U$10)*XLOOKUP(K$2,$AA$3:$AA$5,$AD$3:$AD$5)-ABS(XLOOKUP($C794,$Q$3:$Q$16,$R$3:$R$16)))*$B794,-5)</f>
        <v>22900000</v>
      </c>
      <c r="L794" s="17">
        <f t="shared" si="2381"/>
        <v>57400000</v>
      </c>
      <c r="M794" s="17">
        <f t="shared" si="2381"/>
        <v>62100000</v>
      </c>
    </row>
    <row r="795">
      <c r="A795" s="14" t="s">
        <v>838</v>
      </c>
      <c r="B795" s="14">
        <v>196.0</v>
      </c>
      <c r="C795" s="15">
        <f t="shared" si="4"/>
        <v>13</v>
      </c>
      <c r="D795" s="14" t="s">
        <v>208</v>
      </c>
      <c r="E795" s="16">
        <f t="shared" ref="E795:G795" si="2382">ROUNDUP((XLOOKUP($D795,$T$3:$T$10,$U$3:$U$10)*XLOOKUP(E$2,$AA$3:$AA$5,$AB$3:$AB$5)-ABS(XLOOKUP($C795,$Q$3:$Q$16,$R$3:$R$16)))*$B795,-5)</f>
        <v>41100000</v>
      </c>
      <c r="F795" s="16">
        <f t="shared" si="2382"/>
        <v>75200000</v>
      </c>
      <c r="G795" s="16">
        <f t="shared" si="2382"/>
        <v>82300000</v>
      </c>
      <c r="H795" s="17">
        <f t="shared" ref="H795:J795" si="2383">roundup((XLOOKUP($D795,$T$3:$T$10,$U$3:$U$10)*XLOOKUP(H$2,$AA$3:$AA$5,$AC$3:$AC$5)-ABS(XLOOKUP($C795,$Q$3:$Q$16,$R$3:$R$16)))*$B795,-5)</f>
        <v>33400000</v>
      </c>
      <c r="I795" s="17">
        <f t="shared" si="2383"/>
        <v>93800000</v>
      </c>
      <c r="J795" s="17">
        <f t="shared" si="2383"/>
        <v>102000000</v>
      </c>
      <c r="K795" s="17">
        <f t="shared" ref="K795:M795" si="2384">roundup((XLOOKUP($D795,$T$3:$T$10,$U$3:$U$10)*XLOOKUP(K$2,$AA$3:$AA$5,$AD$3:$AD$5)-ABS(XLOOKUP($C795,$Q$3:$Q$16,$R$3:$R$16)))*$B795,-5)</f>
        <v>40100000</v>
      </c>
      <c r="L795" s="17">
        <f t="shared" si="2384"/>
        <v>106400000</v>
      </c>
      <c r="M795" s="17">
        <f t="shared" si="2384"/>
        <v>115400000</v>
      </c>
    </row>
    <row r="796">
      <c r="A796" s="14" t="s">
        <v>839</v>
      </c>
      <c r="B796" s="14">
        <v>36.0</v>
      </c>
      <c r="C796" s="15">
        <f t="shared" si="4"/>
        <v>3</v>
      </c>
      <c r="D796" s="14" t="s">
        <v>208</v>
      </c>
      <c r="E796" s="16">
        <f t="shared" ref="E796:G796" si="2385">ROUNDUP((XLOOKUP($D796,$T$3:$T$10,$U$3:$U$10)*XLOOKUP(E$2,$AA$3:$AA$5,$AB$3:$AB$5)-ABS(XLOOKUP($C796,$Q$3:$Q$16,$R$3:$R$16)))*$B796,-5)</f>
        <v>12900000</v>
      </c>
      <c r="F796" s="16">
        <f t="shared" si="2385"/>
        <v>19200000</v>
      </c>
      <c r="G796" s="16">
        <f t="shared" si="2385"/>
        <v>20500000</v>
      </c>
      <c r="H796" s="17">
        <f t="shared" ref="H796:J796" si="2386">roundup((XLOOKUP($D796,$T$3:$T$10,$U$3:$U$10)*XLOOKUP(H$2,$AA$3:$AA$5,$AC$3:$AC$5)-ABS(XLOOKUP($C796,$Q$3:$Q$16,$R$3:$R$16)))*$B796,-5)</f>
        <v>11500000</v>
      </c>
      <c r="I796" s="17">
        <f t="shared" si="2386"/>
        <v>22600000</v>
      </c>
      <c r="J796" s="17">
        <f t="shared" si="2386"/>
        <v>24100000</v>
      </c>
      <c r="K796" s="17">
        <f t="shared" ref="K796:M796" si="2387">roundup((XLOOKUP($D796,$T$3:$T$10,$U$3:$U$10)*XLOOKUP(K$2,$AA$3:$AA$5,$AD$3:$AD$5)-ABS(XLOOKUP($C796,$Q$3:$Q$16,$R$3:$R$16)))*$B796,-5)</f>
        <v>12700000</v>
      </c>
      <c r="L796" s="17">
        <f t="shared" si="2387"/>
        <v>24900000</v>
      </c>
      <c r="M796" s="17">
        <f t="shared" si="2387"/>
        <v>26600000</v>
      </c>
    </row>
    <row r="797">
      <c r="A797" s="14" t="s">
        <v>840</v>
      </c>
      <c r="B797" s="14">
        <v>80.0</v>
      </c>
      <c r="C797" s="15">
        <f t="shared" si="4"/>
        <v>10</v>
      </c>
      <c r="D797" s="14" t="s">
        <v>208</v>
      </c>
      <c r="E797" s="16">
        <f t="shared" ref="E797:G797" si="2388">ROUNDUP((XLOOKUP($D797,$T$3:$T$10,$U$3:$U$10)*XLOOKUP(E$2,$AA$3:$AA$5,$AB$3:$AB$5)-ABS(XLOOKUP($C797,$Q$3:$Q$16,$R$3:$R$16)))*$B797,-5)</f>
        <v>20800000</v>
      </c>
      <c r="F797" s="16">
        <f t="shared" si="2388"/>
        <v>34700000</v>
      </c>
      <c r="G797" s="16">
        <f t="shared" si="2388"/>
        <v>37600000</v>
      </c>
      <c r="H797" s="17">
        <f t="shared" ref="H797:J797" si="2389">roundup((XLOOKUP($D797,$T$3:$T$10,$U$3:$U$10)*XLOOKUP(H$2,$AA$3:$AA$5,$AC$3:$AC$5)-ABS(XLOOKUP($C797,$Q$3:$Q$16,$R$3:$R$16)))*$B797,-5)</f>
        <v>17700000</v>
      </c>
      <c r="I797" s="17">
        <f t="shared" si="2389"/>
        <v>42300000</v>
      </c>
      <c r="J797" s="17">
        <f t="shared" si="2389"/>
        <v>45700000</v>
      </c>
      <c r="K797" s="17">
        <f t="shared" ref="K797:M797" si="2390">roundup((XLOOKUP($D797,$T$3:$T$10,$U$3:$U$10)*XLOOKUP(K$2,$AA$3:$AA$5,$AD$3:$AD$5)-ABS(XLOOKUP($C797,$Q$3:$Q$16,$R$3:$R$16)))*$B797,-5)</f>
        <v>20400000</v>
      </c>
      <c r="L797" s="17">
        <f t="shared" si="2390"/>
        <v>47400000</v>
      </c>
      <c r="M797" s="17">
        <f t="shared" si="2390"/>
        <v>51100000</v>
      </c>
    </row>
    <row r="798">
      <c r="A798" s="14" t="s">
        <v>841</v>
      </c>
      <c r="B798" s="14">
        <v>189.0</v>
      </c>
      <c r="C798" s="15">
        <f t="shared" si="4"/>
        <v>13</v>
      </c>
      <c r="D798" s="14" t="s">
        <v>208</v>
      </c>
      <c r="E798" s="16">
        <f t="shared" ref="E798:G798" si="2391">ROUNDUP((XLOOKUP($D798,$T$3:$T$10,$U$3:$U$10)*XLOOKUP(E$2,$AA$3:$AA$5,$AB$3:$AB$5)-ABS(XLOOKUP($C798,$Q$3:$Q$16,$R$3:$R$16)))*$B798,-5)</f>
        <v>39700000</v>
      </c>
      <c r="F798" s="16">
        <f t="shared" si="2391"/>
        <v>72500000</v>
      </c>
      <c r="G798" s="16">
        <f t="shared" si="2391"/>
        <v>79300000</v>
      </c>
      <c r="H798" s="17">
        <f t="shared" ref="H798:J798" si="2392">roundup((XLOOKUP($D798,$T$3:$T$10,$U$3:$U$10)*XLOOKUP(H$2,$AA$3:$AA$5,$AC$3:$AC$5)-ABS(XLOOKUP($C798,$Q$3:$Q$16,$R$3:$R$16)))*$B798,-5)</f>
        <v>32200000</v>
      </c>
      <c r="I798" s="17">
        <f t="shared" si="2392"/>
        <v>90400000</v>
      </c>
      <c r="J798" s="17">
        <f t="shared" si="2392"/>
        <v>98400000</v>
      </c>
      <c r="K798" s="17">
        <f t="shared" ref="K798:M798" si="2393">roundup((XLOOKUP($D798,$T$3:$T$10,$U$3:$U$10)*XLOOKUP(K$2,$AA$3:$AA$5,$AD$3:$AD$5)-ABS(XLOOKUP($C798,$Q$3:$Q$16,$R$3:$R$16)))*$B798,-5)</f>
        <v>38700000</v>
      </c>
      <c r="L798" s="17">
        <f t="shared" si="2393"/>
        <v>102600000</v>
      </c>
      <c r="M798" s="17">
        <f t="shared" si="2393"/>
        <v>111300000</v>
      </c>
    </row>
    <row r="799">
      <c r="A799" s="14" t="s">
        <v>842</v>
      </c>
      <c r="B799" s="14">
        <v>44.0</v>
      </c>
      <c r="C799" s="15">
        <f t="shared" si="4"/>
        <v>5</v>
      </c>
      <c r="D799" s="14" t="s">
        <v>208</v>
      </c>
      <c r="E799" s="16">
        <f t="shared" ref="E799:G799" si="2394">ROUNDUP((XLOOKUP($D799,$T$3:$T$10,$U$3:$U$10)*XLOOKUP(E$2,$AA$3:$AA$5,$AB$3:$AB$5)-ABS(XLOOKUP($C799,$Q$3:$Q$16,$R$3:$R$16)))*$B799,-5)</f>
        <v>15500000</v>
      </c>
      <c r="F799" s="16">
        <f t="shared" si="2394"/>
        <v>23200000</v>
      </c>
      <c r="G799" s="16">
        <f t="shared" si="2394"/>
        <v>24800000</v>
      </c>
      <c r="H799" s="17">
        <f t="shared" ref="H799:J799" si="2395">roundup((XLOOKUP($D799,$T$3:$T$10,$U$3:$U$10)*XLOOKUP(H$2,$AA$3:$AA$5,$AC$3:$AC$5)-ABS(XLOOKUP($C799,$Q$3:$Q$16,$R$3:$R$16)))*$B799,-5)</f>
        <v>13800000</v>
      </c>
      <c r="I799" s="17">
        <f t="shared" si="2395"/>
        <v>27300000</v>
      </c>
      <c r="J799" s="17">
        <f t="shared" si="2395"/>
        <v>29200000</v>
      </c>
      <c r="K799" s="17">
        <f t="shared" ref="K799:M799" si="2396">roundup((XLOOKUP($D799,$T$3:$T$10,$U$3:$U$10)*XLOOKUP(K$2,$AA$3:$AA$5,$AD$3:$AD$5)-ABS(XLOOKUP($C799,$Q$3:$Q$16,$R$3:$R$16)))*$B799,-5)</f>
        <v>15300000</v>
      </c>
      <c r="L799" s="17">
        <f t="shared" si="2396"/>
        <v>30200000</v>
      </c>
      <c r="M799" s="17">
        <f t="shared" si="2396"/>
        <v>32200000</v>
      </c>
    </row>
    <row r="800">
      <c r="A800" s="14" t="s">
        <v>843</v>
      </c>
      <c r="B800" s="14">
        <v>165.0</v>
      </c>
      <c r="C800" s="15">
        <f t="shared" si="4"/>
        <v>12</v>
      </c>
      <c r="D800" s="14" t="s">
        <v>638</v>
      </c>
      <c r="E800" s="16">
        <f t="shared" ref="E800:G800" si="2397">ROUNDUP((XLOOKUP($D800,$T$3:$T$10,$U$3:$U$10)*XLOOKUP(E$2,$AA$3:$AA$5,$AB$3:$AB$5)-ABS(XLOOKUP($C800,$Q$3:$Q$16,$R$3:$R$16)))*$B800,-5)</f>
        <v>43000000</v>
      </c>
      <c r="F800" s="16">
        <f t="shared" si="2397"/>
        <v>74300000</v>
      </c>
      <c r="G800" s="16">
        <f t="shared" si="2397"/>
        <v>80700000</v>
      </c>
      <c r="H800" s="17">
        <f t="shared" ref="H800:J800" si="2398">roundup((XLOOKUP($D800,$T$3:$T$10,$U$3:$U$10)*XLOOKUP(H$2,$AA$3:$AA$5,$AC$3:$AC$5)-ABS(XLOOKUP($C800,$Q$3:$Q$16,$R$3:$R$16)))*$B800,-5)</f>
        <v>35800000</v>
      </c>
      <c r="I800" s="17">
        <f t="shared" si="2398"/>
        <v>91300000</v>
      </c>
      <c r="J800" s="17">
        <f t="shared" si="2398"/>
        <v>98900000</v>
      </c>
      <c r="K800" s="17">
        <f t="shared" ref="K800:M800" si="2399">roundup((XLOOKUP($D800,$T$3:$T$10,$U$3:$U$10)*XLOOKUP(K$2,$AA$3:$AA$5,$AD$3:$AD$5)-ABS(XLOOKUP($C800,$Q$3:$Q$16,$R$3:$R$16)))*$B800,-5)</f>
        <v>42000000</v>
      </c>
      <c r="L800" s="17">
        <f t="shared" si="2399"/>
        <v>102900000</v>
      </c>
      <c r="M800" s="17">
        <f t="shared" si="2399"/>
        <v>111200000</v>
      </c>
    </row>
    <row r="801">
      <c r="A801" s="14" t="s">
        <v>844</v>
      </c>
      <c r="B801" s="14">
        <v>151.0</v>
      </c>
      <c r="C801" s="15">
        <f t="shared" si="4"/>
        <v>11</v>
      </c>
      <c r="D801" s="14" t="s">
        <v>638</v>
      </c>
      <c r="E801" s="16">
        <f t="shared" ref="E801:G801" si="2400">ROUNDUP((XLOOKUP($D801,$T$3:$T$10,$U$3:$U$10)*XLOOKUP(E$2,$AA$3:$AA$5,$AB$3:$AB$5)-ABS(XLOOKUP($C801,$Q$3:$Q$16,$R$3:$R$16)))*$B801,-5)</f>
        <v>40100000</v>
      </c>
      <c r="F801" s="16">
        <f t="shared" si="2400"/>
        <v>68700000</v>
      </c>
      <c r="G801" s="16">
        <f t="shared" si="2400"/>
        <v>74600000</v>
      </c>
      <c r="H801" s="17">
        <f t="shared" ref="H801:J801" si="2401">roundup((XLOOKUP($D801,$T$3:$T$10,$U$3:$U$10)*XLOOKUP(H$2,$AA$3:$AA$5,$AC$3:$AC$5)-ABS(XLOOKUP($C801,$Q$3:$Q$16,$R$3:$R$16)))*$B801,-5)</f>
        <v>33600000</v>
      </c>
      <c r="I801" s="17">
        <f t="shared" si="2401"/>
        <v>84300000</v>
      </c>
      <c r="J801" s="17">
        <f t="shared" si="2401"/>
        <v>91200000</v>
      </c>
      <c r="K801" s="17">
        <f t="shared" ref="K801:M801" si="2402">roundup((XLOOKUP($D801,$T$3:$T$10,$U$3:$U$10)*XLOOKUP(K$2,$AA$3:$AA$5,$AD$3:$AD$5)-ABS(XLOOKUP($C801,$Q$3:$Q$16,$R$3:$R$16)))*$B801,-5)</f>
        <v>39200000</v>
      </c>
      <c r="L801" s="17">
        <f t="shared" si="2402"/>
        <v>94900000</v>
      </c>
      <c r="M801" s="17">
        <f t="shared" si="2402"/>
        <v>102500000</v>
      </c>
    </row>
    <row r="802">
      <c r="A802" s="14" t="s">
        <v>845</v>
      </c>
      <c r="B802" s="14">
        <v>137.0</v>
      </c>
      <c r="C802" s="15">
        <f t="shared" si="4"/>
        <v>11</v>
      </c>
      <c r="D802" s="14" t="s">
        <v>638</v>
      </c>
      <c r="E802" s="16">
        <f t="shared" ref="E802:G802" si="2403">ROUNDUP((XLOOKUP($D802,$T$3:$T$10,$U$3:$U$10)*XLOOKUP(E$2,$AA$3:$AA$5,$AB$3:$AB$5)-ABS(XLOOKUP($C802,$Q$3:$Q$16,$R$3:$R$16)))*$B802,-5)</f>
        <v>36400000</v>
      </c>
      <c r="F802" s="16">
        <f t="shared" si="2403"/>
        <v>62400000</v>
      </c>
      <c r="G802" s="16">
        <f t="shared" si="2403"/>
        <v>67700000</v>
      </c>
      <c r="H802" s="17">
        <f t="shared" ref="H802:J802" si="2404">roundup((XLOOKUP($D802,$T$3:$T$10,$U$3:$U$10)*XLOOKUP(H$2,$AA$3:$AA$5,$AC$3:$AC$5)-ABS(XLOOKUP($C802,$Q$3:$Q$16,$R$3:$R$16)))*$B802,-5)</f>
        <v>30500000</v>
      </c>
      <c r="I802" s="17">
        <f t="shared" si="2404"/>
        <v>76500000</v>
      </c>
      <c r="J802" s="17">
        <f t="shared" si="2404"/>
        <v>82800000</v>
      </c>
      <c r="K802" s="17">
        <f t="shared" ref="K802:M802" si="2405">roundup((XLOOKUP($D802,$T$3:$T$10,$U$3:$U$10)*XLOOKUP(K$2,$AA$3:$AA$5,$AD$3:$AD$5)-ABS(XLOOKUP($C802,$Q$3:$Q$16,$R$3:$R$16)))*$B802,-5)</f>
        <v>35600000</v>
      </c>
      <c r="L802" s="17">
        <f t="shared" si="2405"/>
        <v>86100000</v>
      </c>
      <c r="M802" s="17">
        <f t="shared" si="2405"/>
        <v>93000000</v>
      </c>
    </row>
    <row r="803">
      <c r="A803" s="14" t="s">
        <v>846</v>
      </c>
      <c r="B803" s="14">
        <v>158.0</v>
      </c>
      <c r="C803" s="15">
        <f t="shared" si="4"/>
        <v>11</v>
      </c>
      <c r="D803" s="14" t="s">
        <v>638</v>
      </c>
      <c r="E803" s="16">
        <f t="shared" ref="E803:G803" si="2406">ROUNDUP((XLOOKUP($D803,$T$3:$T$10,$U$3:$U$10)*XLOOKUP(E$2,$AA$3:$AA$5,$AB$3:$AB$5)-ABS(XLOOKUP($C803,$Q$3:$Q$16,$R$3:$R$16)))*$B803,-5)</f>
        <v>41900000</v>
      </c>
      <c r="F803" s="16">
        <f t="shared" si="2406"/>
        <v>71900000</v>
      </c>
      <c r="G803" s="16">
        <f t="shared" si="2406"/>
        <v>78100000</v>
      </c>
      <c r="H803" s="17">
        <f t="shared" ref="H803:J803" si="2407">roundup((XLOOKUP($D803,$T$3:$T$10,$U$3:$U$10)*XLOOKUP(H$2,$AA$3:$AA$5,$AC$3:$AC$5)-ABS(XLOOKUP($C803,$Q$3:$Q$16,$R$3:$R$16)))*$B803,-5)</f>
        <v>35100000</v>
      </c>
      <c r="I803" s="17">
        <f t="shared" si="2407"/>
        <v>88200000</v>
      </c>
      <c r="J803" s="17">
        <f t="shared" si="2407"/>
        <v>95500000</v>
      </c>
      <c r="K803" s="17">
        <f t="shared" ref="K803:M803" si="2408">roundup((XLOOKUP($D803,$T$3:$T$10,$U$3:$U$10)*XLOOKUP(K$2,$AA$3:$AA$5,$AD$3:$AD$5)-ABS(XLOOKUP($C803,$Q$3:$Q$16,$R$3:$R$16)))*$B803,-5)</f>
        <v>41000000</v>
      </c>
      <c r="L803" s="17">
        <f t="shared" si="2408"/>
        <v>99300000</v>
      </c>
      <c r="M803" s="17">
        <f t="shared" si="2408"/>
        <v>107200000</v>
      </c>
    </row>
    <row r="804">
      <c r="A804" s="14" t="s">
        <v>847</v>
      </c>
      <c r="B804" s="14">
        <v>149.0</v>
      </c>
      <c r="C804" s="15">
        <f t="shared" si="4"/>
        <v>11</v>
      </c>
      <c r="D804" s="14" t="s">
        <v>638</v>
      </c>
      <c r="E804" s="16">
        <f t="shared" ref="E804:G804" si="2409">ROUNDUP((XLOOKUP($D804,$T$3:$T$10,$U$3:$U$10)*XLOOKUP(E$2,$AA$3:$AA$5,$AB$3:$AB$5)-ABS(XLOOKUP($C804,$Q$3:$Q$16,$R$3:$R$16)))*$B804,-5)</f>
        <v>39500000</v>
      </c>
      <c r="F804" s="16">
        <f t="shared" si="2409"/>
        <v>67800000</v>
      </c>
      <c r="G804" s="16">
        <f t="shared" si="2409"/>
        <v>73700000</v>
      </c>
      <c r="H804" s="17">
        <f t="shared" ref="H804:J804" si="2410">roundup((XLOOKUP($D804,$T$3:$T$10,$U$3:$U$10)*XLOOKUP(H$2,$AA$3:$AA$5,$AC$3:$AC$5)-ABS(XLOOKUP($C804,$Q$3:$Q$16,$R$3:$R$16)))*$B804,-5)</f>
        <v>33100000</v>
      </c>
      <c r="I804" s="17">
        <f t="shared" si="2410"/>
        <v>83200000</v>
      </c>
      <c r="J804" s="17">
        <f t="shared" si="2410"/>
        <v>90000000</v>
      </c>
      <c r="K804" s="17">
        <f t="shared" ref="K804:M804" si="2411">roundup((XLOOKUP($D804,$T$3:$T$10,$U$3:$U$10)*XLOOKUP(K$2,$AA$3:$AA$5,$AD$3:$AD$5)-ABS(XLOOKUP($C804,$Q$3:$Q$16,$R$3:$R$16)))*$B804,-5)</f>
        <v>38700000</v>
      </c>
      <c r="L804" s="17">
        <f t="shared" si="2411"/>
        <v>93600000</v>
      </c>
      <c r="M804" s="17">
        <f t="shared" si="2411"/>
        <v>101100000</v>
      </c>
    </row>
    <row r="805">
      <c r="A805" s="14" t="s">
        <v>848</v>
      </c>
      <c r="B805" s="14">
        <v>163.0</v>
      </c>
      <c r="C805" s="15">
        <f t="shared" si="4"/>
        <v>12</v>
      </c>
      <c r="D805" s="14" t="s">
        <v>638</v>
      </c>
      <c r="E805" s="16">
        <f t="shared" ref="E805:G805" si="2412">ROUNDUP((XLOOKUP($D805,$T$3:$T$10,$U$3:$U$10)*XLOOKUP(E$2,$AA$3:$AA$5,$AB$3:$AB$5)-ABS(XLOOKUP($C805,$Q$3:$Q$16,$R$3:$R$16)))*$B805,-5)</f>
        <v>42400000</v>
      </c>
      <c r="F805" s="16">
        <f t="shared" si="2412"/>
        <v>73400000</v>
      </c>
      <c r="G805" s="16">
        <f t="shared" si="2412"/>
        <v>79800000</v>
      </c>
      <c r="H805" s="17">
        <f t="shared" ref="H805:J805" si="2413">roundup((XLOOKUP($D805,$T$3:$T$10,$U$3:$U$10)*XLOOKUP(H$2,$AA$3:$AA$5,$AC$3:$AC$5)-ABS(XLOOKUP($C805,$Q$3:$Q$16,$R$3:$R$16)))*$B805,-5)</f>
        <v>35400000</v>
      </c>
      <c r="I805" s="17">
        <f t="shared" si="2413"/>
        <v>90200000</v>
      </c>
      <c r="J805" s="17">
        <f t="shared" si="2413"/>
        <v>97700000</v>
      </c>
      <c r="K805" s="17">
        <f t="shared" ref="K805:M805" si="2414">roundup((XLOOKUP($D805,$T$3:$T$10,$U$3:$U$10)*XLOOKUP(K$2,$AA$3:$AA$5,$AD$3:$AD$5)-ABS(XLOOKUP($C805,$Q$3:$Q$16,$R$3:$R$16)))*$B805,-5)</f>
        <v>41500000</v>
      </c>
      <c r="L805" s="17">
        <f t="shared" si="2414"/>
        <v>101600000</v>
      </c>
      <c r="M805" s="17">
        <f t="shared" si="2414"/>
        <v>109800000</v>
      </c>
    </row>
    <row r="806">
      <c r="A806" s="14" t="s">
        <v>849</v>
      </c>
      <c r="B806" s="14">
        <v>151.0</v>
      </c>
      <c r="C806" s="15">
        <f t="shared" si="4"/>
        <v>11</v>
      </c>
      <c r="D806" s="14" t="s">
        <v>36</v>
      </c>
      <c r="E806" s="16">
        <f t="shared" ref="E806:G806" si="2415">ROUNDUP((XLOOKUP($D806,$T$3:$T$10,$U$3:$U$10)*XLOOKUP(E$2,$AA$3:$AA$5,$AB$3:$AB$5)-ABS(XLOOKUP($C806,$Q$3:$Q$16,$R$3:$R$16)))*$B806,-5)</f>
        <v>39600000</v>
      </c>
      <c r="F806" s="16">
        <f t="shared" si="2415"/>
        <v>68100000</v>
      </c>
      <c r="G806" s="16">
        <f t="shared" si="2415"/>
        <v>74000000</v>
      </c>
      <c r="H806" s="17">
        <f t="shared" ref="H806:J806" si="2416">roundup((XLOOKUP($D806,$T$3:$T$10,$U$3:$U$10)*XLOOKUP(H$2,$AA$3:$AA$5,$AC$3:$AC$5)-ABS(XLOOKUP($C806,$Q$3:$Q$16,$R$3:$R$16)))*$B806,-5)</f>
        <v>33200000</v>
      </c>
      <c r="I806" s="17">
        <f t="shared" si="2416"/>
        <v>83600000</v>
      </c>
      <c r="J806" s="17">
        <f t="shared" si="2416"/>
        <v>90400000</v>
      </c>
      <c r="K806" s="17">
        <f t="shared" ref="K806:M806" si="2417">roundup((XLOOKUP($D806,$T$3:$T$10,$U$3:$U$10)*XLOOKUP(K$2,$AA$3:$AA$5,$AD$3:$AD$5)-ABS(XLOOKUP($C806,$Q$3:$Q$16,$R$3:$R$16)))*$B806,-5)</f>
        <v>38800000</v>
      </c>
      <c r="L806" s="17">
        <f t="shared" si="2417"/>
        <v>94100000</v>
      </c>
      <c r="M806" s="17">
        <f t="shared" si="2417"/>
        <v>101600000</v>
      </c>
    </row>
    <row r="807">
      <c r="A807" s="14" t="s">
        <v>850</v>
      </c>
      <c r="B807" s="14">
        <v>307.0</v>
      </c>
      <c r="C807" s="15">
        <f t="shared" si="4"/>
        <v>14</v>
      </c>
      <c r="D807" s="14" t="s">
        <v>36</v>
      </c>
      <c r="E807" s="16">
        <f t="shared" ref="E807:G807" si="2418">ROUNDUP((XLOOKUP($D807,$T$3:$T$10,$U$3:$U$10)*XLOOKUP(E$2,$AA$3:$AA$5,$AB$3:$AB$5)-ABS(XLOOKUP($C807,$Q$3:$Q$16,$R$3:$R$16)))*$B807,-5)</f>
        <v>71600000</v>
      </c>
      <c r="F807" s="16">
        <f t="shared" si="2418"/>
        <v>129500000</v>
      </c>
      <c r="G807" s="16">
        <f t="shared" si="2418"/>
        <v>141400000</v>
      </c>
      <c r="H807" s="17">
        <f t="shared" ref="H807:J807" si="2419">roundup((XLOOKUP($D807,$T$3:$T$10,$U$3:$U$10)*XLOOKUP(H$2,$AA$3:$AA$5,$AC$3:$AC$5)-ABS(XLOOKUP($C807,$Q$3:$Q$16,$R$3:$R$16)))*$B807,-5)</f>
        <v>58500000</v>
      </c>
      <c r="I807" s="17">
        <f t="shared" si="2419"/>
        <v>161000000</v>
      </c>
      <c r="J807" s="17">
        <f t="shared" si="2419"/>
        <v>174900000</v>
      </c>
      <c r="K807" s="17">
        <f t="shared" ref="K807:M807" si="2420">roundup((XLOOKUP($D807,$T$3:$T$10,$U$3:$U$10)*XLOOKUP(K$2,$AA$3:$AA$5,$AD$3:$AD$5)-ABS(XLOOKUP($C807,$Q$3:$Q$16,$R$3:$R$16)))*$B807,-5)</f>
        <v>69800000</v>
      </c>
      <c r="L807" s="17">
        <f t="shared" si="2420"/>
        <v>182300000</v>
      </c>
      <c r="M807" s="17">
        <f t="shared" si="2420"/>
        <v>197700000</v>
      </c>
    </row>
    <row r="808">
      <c r="A808" s="14" t="s">
        <v>851</v>
      </c>
      <c r="B808" s="14">
        <v>182.0</v>
      </c>
      <c r="C808" s="15">
        <f t="shared" si="4"/>
        <v>13</v>
      </c>
      <c r="D808" s="14" t="s">
        <v>36</v>
      </c>
      <c r="E808" s="16">
        <f t="shared" ref="E808:G808" si="2421">ROUNDUP((XLOOKUP($D808,$T$3:$T$10,$U$3:$U$10)*XLOOKUP(E$2,$AA$3:$AA$5,$AB$3:$AB$5)-ABS(XLOOKUP($C808,$Q$3:$Q$16,$R$3:$R$16)))*$B808,-5)</f>
        <v>44100000</v>
      </c>
      <c r="F808" s="16">
        <f t="shared" si="2421"/>
        <v>78400000</v>
      </c>
      <c r="G808" s="16">
        <f t="shared" si="2421"/>
        <v>85500000</v>
      </c>
      <c r="H808" s="17">
        <f t="shared" ref="H808:J808" si="2422">roundup((XLOOKUP($D808,$T$3:$T$10,$U$3:$U$10)*XLOOKUP(H$2,$AA$3:$AA$5,$AC$3:$AC$5)-ABS(XLOOKUP($C808,$Q$3:$Q$16,$R$3:$R$16)))*$B808,-5)</f>
        <v>36300000</v>
      </c>
      <c r="I808" s="17">
        <f t="shared" si="2422"/>
        <v>97100000</v>
      </c>
      <c r="J808" s="17">
        <f t="shared" si="2422"/>
        <v>105400000</v>
      </c>
      <c r="K808" s="17">
        <f t="shared" ref="K808:M808" si="2423">roundup((XLOOKUP($D808,$T$3:$T$10,$U$3:$U$10)*XLOOKUP(K$2,$AA$3:$AA$5,$AD$3:$AD$5)-ABS(XLOOKUP($C808,$Q$3:$Q$16,$R$3:$R$16)))*$B808,-5)</f>
        <v>43100000</v>
      </c>
      <c r="L808" s="17">
        <f t="shared" si="2423"/>
        <v>109700000</v>
      </c>
      <c r="M808" s="17">
        <f t="shared" si="2423"/>
        <v>118800000</v>
      </c>
    </row>
    <row r="809">
      <c r="A809" s="14" t="s">
        <v>852</v>
      </c>
      <c r="B809" s="14">
        <v>746.0</v>
      </c>
      <c r="C809" s="15">
        <f t="shared" si="4"/>
        <v>14</v>
      </c>
      <c r="D809" s="14" t="s">
        <v>36</v>
      </c>
      <c r="E809" s="16">
        <f t="shared" ref="E809:G809" si="2424">ROUNDUP((XLOOKUP($D809,$T$3:$T$10,$U$3:$U$10)*XLOOKUP(E$2,$AA$3:$AA$5,$AB$3:$AB$5)-ABS(XLOOKUP($C809,$Q$3:$Q$16,$R$3:$R$16)))*$B809,-5)</f>
        <v>174000000</v>
      </c>
      <c r="F809" s="16">
        <f t="shared" si="2424"/>
        <v>314500000</v>
      </c>
      <c r="G809" s="16">
        <f t="shared" si="2424"/>
        <v>343600000</v>
      </c>
      <c r="H809" s="17">
        <f t="shared" ref="H809:J809" si="2425">roundup((XLOOKUP($D809,$T$3:$T$10,$U$3:$U$10)*XLOOKUP(H$2,$AA$3:$AA$5,$AC$3:$AC$5)-ABS(XLOOKUP($C809,$Q$3:$Q$16,$R$3:$R$16)))*$B809,-5)</f>
        <v>142000000</v>
      </c>
      <c r="I809" s="17">
        <f t="shared" si="2425"/>
        <v>391100000</v>
      </c>
      <c r="J809" s="17">
        <f t="shared" si="2425"/>
        <v>425000000</v>
      </c>
      <c r="K809" s="17">
        <f t="shared" ref="K809:M809" si="2426">roundup((XLOOKUP($D809,$T$3:$T$10,$U$3:$U$10)*XLOOKUP(K$2,$AA$3:$AA$5,$AD$3:$AD$5)-ABS(XLOOKUP($C809,$Q$3:$Q$16,$R$3:$R$16)))*$B809,-5)</f>
        <v>169600000</v>
      </c>
      <c r="L809" s="17">
        <f t="shared" si="2426"/>
        <v>442900000</v>
      </c>
      <c r="M809" s="17">
        <f t="shared" si="2426"/>
        <v>480200000</v>
      </c>
    </row>
    <row r="810">
      <c r="A810" s="14" t="s">
        <v>853</v>
      </c>
      <c r="B810" s="14">
        <v>109.0</v>
      </c>
      <c r="C810" s="15">
        <f t="shared" si="4"/>
        <v>11</v>
      </c>
      <c r="D810" s="14" t="s">
        <v>36</v>
      </c>
      <c r="E810" s="16">
        <f t="shared" ref="E810:G810" si="2427">ROUNDUP((XLOOKUP($D810,$T$3:$T$10,$U$3:$U$10)*XLOOKUP(E$2,$AA$3:$AA$5,$AB$3:$AB$5)-ABS(XLOOKUP($C810,$Q$3:$Q$16,$R$3:$R$16)))*$B810,-5)</f>
        <v>28600000</v>
      </c>
      <c r="F810" s="16">
        <f t="shared" si="2427"/>
        <v>49200000</v>
      </c>
      <c r="G810" s="16">
        <f t="shared" si="2427"/>
        <v>53400000</v>
      </c>
      <c r="H810" s="17">
        <f t="shared" ref="H810:J810" si="2428">roundup((XLOOKUP($D810,$T$3:$T$10,$U$3:$U$10)*XLOOKUP(H$2,$AA$3:$AA$5,$AC$3:$AC$5)-ABS(XLOOKUP($C810,$Q$3:$Q$16,$R$3:$R$16)))*$B810,-5)</f>
        <v>24000000</v>
      </c>
      <c r="I810" s="17">
        <f t="shared" si="2428"/>
        <v>60300000</v>
      </c>
      <c r="J810" s="17">
        <f t="shared" si="2428"/>
        <v>65300000</v>
      </c>
      <c r="K810" s="17">
        <f t="shared" ref="K810:M810" si="2429">roundup((XLOOKUP($D810,$T$3:$T$10,$U$3:$U$10)*XLOOKUP(K$2,$AA$3:$AA$5,$AD$3:$AD$5)-ABS(XLOOKUP($C810,$Q$3:$Q$16,$R$3:$R$16)))*$B810,-5)</f>
        <v>28000000</v>
      </c>
      <c r="L810" s="17">
        <f t="shared" si="2429"/>
        <v>67900000</v>
      </c>
      <c r="M810" s="17">
        <f t="shared" si="2429"/>
        <v>73400000</v>
      </c>
    </row>
    <row r="811">
      <c r="A811" s="14" t="s">
        <v>854</v>
      </c>
      <c r="B811" s="14">
        <v>99.0</v>
      </c>
      <c r="C811" s="15">
        <f t="shared" si="4"/>
        <v>11</v>
      </c>
      <c r="D811" s="14" t="s">
        <v>36</v>
      </c>
      <c r="E811" s="16">
        <f t="shared" ref="E811:G811" si="2430">ROUNDUP((XLOOKUP($D811,$T$3:$T$10,$U$3:$U$10)*XLOOKUP(E$2,$AA$3:$AA$5,$AB$3:$AB$5)-ABS(XLOOKUP($C811,$Q$3:$Q$16,$R$3:$R$16)))*$B811,-5)</f>
        <v>26000000</v>
      </c>
      <c r="F811" s="16">
        <f t="shared" si="2430"/>
        <v>44700000</v>
      </c>
      <c r="G811" s="16">
        <f t="shared" si="2430"/>
        <v>48500000</v>
      </c>
      <c r="H811" s="17">
        <f t="shared" ref="H811:J811" si="2431">roundup((XLOOKUP($D811,$T$3:$T$10,$U$3:$U$10)*XLOOKUP(H$2,$AA$3:$AA$5,$AC$3:$AC$5)-ABS(XLOOKUP($C811,$Q$3:$Q$16,$R$3:$R$16)))*$B811,-5)</f>
        <v>21800000</v>
      </c>
      <c r="I811" s="17">
        <f t="shared" si="2431"/>
        <v>54800000</v>
      </c>
      <c r="J811" s="17">
        <f t="shared" si="2431"/>
        <v>59300000</v>
      </c>
      <c r="K811" s="17">
        <f t="shared" ref="K811:M811" si="2432">roundup((XLOOKUP($D811,$T$3:$T$10,$U$3:$U$10)*XLOOKUP(K$2,$AA$3:$AA$5,$AD$3:$AD$5)-ABS(XLOOKUP($C811,$Q$3:$Q$16,$R$3:$R$16)))*$B811,-5)</f>
        <v>25400000</v>
      </c>
      <c r="L811" s="17">
        <f t="shared" si="2432"/>
        <v>61700000</v>
      </c>
      <c r="M811" s="17">
        <f t="shared" si="2432"/>
        <v>66600000</v>
      </c>
    </row>
    <row r="812">
      <c r="A812" s="14" t="s">
        <v>855</v>
      </c>
      <c r="B812" s="14">
        <v>106.0</v>
      </c>
      <c r="C812" s="15">
        <f t="shared" si="4"/>
        <v>11</v>
      </c>
      <c r="D812" s="14" t="s">
        <v>33</v>
      </c>
      <c r="E812" s="16">
        <f t="shared" ref="E812:G812" si="2433">ROUNDUP((XLOOKUP($D812,$T$3:$T$10,$U$3:$U$10)*XLOOKUP(E$2,$AA$3:$AA$5,$AB$3:$AB$5)-ABS(XLOOKUP($C812,$Q$3:$Q$16,$R$3:$R$16)))*$B812,-5)</f>
        <v>23000000</v>
      </c>
      <c r="F812" s="16">
        <f t="shared" si="2433"/>
        <v>40800000</v>
      </c>
      <c r="G812" s="16">
        <f t="shared" si="2433"/>
        <v>44500000</v>
      </c>
      <c r="H812" s="17">
        <f t="shared" ref="H812:J812" si="2434">roundup((XLOOKUP($D812,$T$3:$T$10,$U$3:$U$10)*XLOOKUP(H$2,$AA$3:$AA$5,$AC$3:$AC$5)-ABS(XLOOKUP($C812,$Q$3:$Q$16,$R$3:$R$16)))*$B812,-5)</f>
        <v>19000000</v>
      </c>
      <c r="I812" s="17">
        <f t="shared" si="2434"/>
        <v>50500000</v>
      </c>
      <c r="J812" s="17">
        <f t="shared" si="2434"/>
        <v>54800000</v>
      </c>
      <c r="K812" s="17">
        <f t="shared" ref="K812:M812" si="2435">roundup((XLOOKUP($D812,$T$3:$T$10,$U$3:$U$10)*XLOOKUP(K$2,$AA$3:$AA$5,$AD$3:$AD$5)-ABS(XLOOKUP($C812,$Q$3:$Q$16,$R$3:$R$16)))*$B812,-5)</f>
        <v>22500000</v>
      </c>
      <c r="L812" s="17">
        <f t="shared" si="2435"/>
        <v>57100000</v>
      </c>
      <c r="M812" s="17">
        <f t="shared" si="2435"/>
        <v>61800000</v>
      </c>
    </row>
    <row r="813">
      <c r="A813" s="14" t="s">
        <v>856</v>
      </c>
      <c r="B813" s="14">
        <v>128.0</v>
      </c>
      <c r="C813" s="15">
        <f t="shared" si="4"/>
        <v>11</v>
      </c>
      <c r="D813" s="14" t="s">
        <v>36</v>
      </c>
      <c r="E813" s="16">
        <f t="shared" ref="E813:G813" si="2436">ROUNDUP((XLOOKUP($D813,$T$3:$T$10,$U$3:$U$10)*XLOOKUP(E$2,$AA$3:$AA$5,$AB$3:$AB$5)-ABS(XLOOKUP($C813,$Q$3:$Q$16,$R$3:$R$16)))*$B813,-5)</f>
        <v>33600000</v>
      </c>
      <c r="F813" s="16">
        <f t="shared" si="2436"/>
        <v>57700000</v>
      </c>
      <c r="G813" s="16">
        <f t="shared" si="2436"/>
        <v>62700000</v>
      </c>
      <c r="H813" s="17">
        <f t="shared" ref="H813:J813" si="2437">roundup((XLOOKUP($D813,$T$3:$T$10,$U$3:$U$10)*XLOOKUP(H$2,$AA$3:$AA$5,$AC$3:$AC$5)-ABS(XLOOKUP($C813,$Q$3:$Q$16,$R$3:$R$16)))*$B813,-5)</f>
        <v>28100000</v>
      </c>
      <c r="I813" s="17">
        <f t="shared" si="2437"/>
        <v>70900000</v>
      </c>
      <c r="J813" s="17">
        <f t="shared" si="2437"/>
        <v>76700000</v>
      </c>
      <c r="K813" s="17">
        <f t="shared" ref="K813:M813" si="2438">roundup((XLOOKUP($D813,$T$3:$T$10,$U$3:$U$10)*XLOOKUP(K$2,$AA$3:$AA$5,$AD$3:$AD$5)-ABS(XLOOKUP($C813,$Q$3:$Q$16,$R$3:$R$16)))*$B813,-5)</f>
        <v>32900000</v>
      </c>
      <c r="L813" s="17">
        <f t="shared" si="2438"/>
        <v>79700000</v>
      </c>
      <c r="M813" s="17">
        <f t="shared" si="2438"/>
        <v>86200000</v>
      </c>
    </row>
    <row r="814">
      <c r="A814" s="14" t="s">
        <v>857</v>
      </c>
      <c r="B814" s="14">
        <v>153.0</v>
      </c>
      <c r="C814" s="15">
        <f t="shared" si="4"/>
        <v>11</v>
      </c>
      <c r="D814" s="14" t="s">
        <v>36</v>
      </c>
      <c r="E814" s="16">
        <f t="shared" ref="E814:G814" si="2439">ROUNDUP((XLOOKUP($D814,$T$3:$T$10,$U$3:$U$10)*XLOOKUP(E$2,$AA$3:$AA$5,$AB$3:$AB$5)-ABS(XLOOKUP($C814,$Q$3:$Q$16,$R$3:$R$16)))*$B814,-5)</f>
        <v>40200000</v>
      </c>
      <c r="F814" s="16">
        <f t="shared" si="2439"/>
        <v>69000000</v>
      </c>
      <c r="G814" s="16">
        <f t="shared" si="2439"/>
        <v>74900000</v>
      </c>
      <c r="H814" s="17">
        <f t="shared" ref="H814:J814" si="2440">roundup((XLOOKUP($D814,$T$3:$T$10,$U$3:$U$10)*XLOOKUP(H$2,$AA$3:$AA$5,$AC$3:$AC$5)-ABS(XLOOKUP($C814,$Q$3:$Q$16,$R$3:$R$16)))*$B814,-5)</f>
        <v>33600000</v>
      </c>
      <c r="I814" s="17">
        <f t="shared" si="2440"/>
        <v>84700000</v>
      </c>
      <c r="J814" s="17">
        <f t="shared" si="2440"/>
        <v>91600000</v>
      </c>
      <c r="K814" s="17">
        <f t="shared" ref="K814:M814" si="2441">roundup((XLOOKUP($D814,$T$3:$T$10,$U$3:$U$10)*XLOOKUP(K$2,$AA$3:$AA$5,$AD$3:$AD$5)-ABS(XLOOKUP($C814,$Q$3:$Q$16,$R$3:$R$16)))*$B814,-5)</f>
        <v>39300000</v>
      </c>
      <c r="L814" s="17">
        <f t="shared" si="2441"/>
        <v>95300000</v>
      </c>
      <c r="M814" s="17">
        <f t="shared" si="2441"/>
        <v>103000000</v>
      </c>
    </row>
    <row r="815">
      <c r="A815" s="14" t="s">
        <v>858</v>
      </c>
      <c r="B815" s="14">
        <v>80.0</v>
      </c>
      <c r="C815" s="15">
        <f t="shared" si="4"/>
        <v>10</v>
      </c>
      <c r="D815" s="14" t="s">
        <v>36</v>
      </c>
      <c r="E815" s="16">
        <f t="shared" ref="E815:G815" si="2442">ROUNDUP((XLOOKUP($D815,$T$3:$T$10,$U$3:$U$10)*XLOOKUP(E$2,$AA$3:$AA$5,$AB$3:$AB$5)-ABS(XLOOKUP($C815,$Q$3:$Q$16,$R$3:$R$16)))*$B815,-5)</f>
        <v>23400000</v>
      </c>
      <c r="F815" s="16">
        <f t="shared" si="2442"/>
        <v>38500000</v>
      </c>
      <c r="G815" s="16">
        <f t="shared" si="2442"/>
        <v>41600000</v>
      </c>
      <c r="H815" s="17">
        <f t="shared" ref="H815:J815" si="2443">roundup((XLOOKUP($D815,$T$3:$T$10,$U$3:$U$10)*XLOOKUP(H$2,$AA$3:$AA$5,$AC$3:$AC$5)-ABS(XLOOKUP($C815,$Q$3:$Q$16,$R$3:$R$16)))*$B815,-5)</f>
        <v>20000000</v>
      </c>
      <c r="I815" s="17">
        <f t="shared" si="2443"/>
        <v>46700000</v>
      </c>
      <c r="J815" s="17">
        <f t="shared" si="2443"/>
        <v>50300000</v>
      </c>
      <c r="K815" s="17">
        <f t="shared" ref="K815:M815" si="2444">roundup((XLOOKUP($D815,$T$3:$T$10,$U$3:$U$10)*XLOOKUP(K$2,$AA$3:$AA$5,$AD$3:$AD$5)-ABS(XLOOKUP($C815,$Q$3:$Q$16,$R$3:$R$16)))*$B815,-5)</f>
        <v>23000000</v>
      </c>
      <c r="L815" s="17">
        <f t="shared" si="2444"/>
        <v>52300000</v>
      </c>
      <c r="M815" s="17">
        <f t="shared" si="2444"/>
        <v>56300000</v>
      </c>
    </row>
    <row r="816">
      <c r="A816" s="14" t="s">
        <v>859</v>
      </c>
      <c r="B816" s="14">
        <v>71.0</v>
      </c>
      <c r="C816" s="15">
        <f t="shared" si="4"/>
        <v>9</v>
      </c>
      <c r="D816" s="14" t="s">
        <v>33</v>
      </c>
      <c r="E816" s="16">
        <f t="shared" ref="E816:G816" si="2445">ROUNDUP((XLOOKUP($D816,$T$3:$T$10,$U$3:$U$10)*XLOOKUP(E$2,$AA$3:$AA$5,$AB$3:$AB$5)-ABS(XLOOKUP($C816,$Q$3:$Q$16,$R$3:$R$16)))*$B816,-5)</f>
        <v>21900000</v>
      </c>
      <c r="F816" s="16">
        <f t="shared" si="2445"/>
        <v>33800000</v>
      </c>
      <c r="G816" s="16">
        <f t="shared" si="2445"/>
        <v>36300000</v>
      </c>
      <c r="H816" s="17">
        <f t="shared" ref="H816:J816" si="2446">roundup((XLOOKUP($D816,$T$3:$T$10,$U$3:$U$10)*XLOOKUP(H$2,$AA$3:$AA$5,$AC$3:$AC$5)-ABS(XLOOKUP($C816,$Q$3:$Q$16,$R$3:$R$16)))*$B816,-5)</f>
        <v>19200000</v>
      </c>
      <c r="I816" s="17">
        <f t="shared" si="2446"/>
        <v>40300000</v>
      </c>
      <c r="J816" s="17">
        <f t="shared" si="2446"/>
        <v>43200000</v>
      </c>
      <c r="K816" s="17">
        <f t="shared" ref="K816:M816" si="2447">roundup((XLOOKUP($D816,$T$3:$T$10,$U$3:$U$10)*XLOOKUP(K$2,$AA$3:$AA$5,$AD$3:$AD$5)-ABS(XLOOKUP($C816,$Q$3:$Q$16,$R$3:$R$16)))*$B816,-5)</f>
        <v>21500000</v>
      </c>
      <c r="L816" s="17">
        <f t="shared" si="2447"/>
        <v>44700000</v>
      </c>
      <c r="M816" s="17">
        <f t="shared" si="2447"/>
        <v>47900000</v>
      </c>
    </row>
    <row r="817">
      <c r="A817" s="14" t="s">
        <v>860</v>
      </c>
      <c r="B817" s="14">
        <v>119.0</v>
      </c>
      <c r="C817" s="15">
        <f t="shared" si="4"/>
        <v>11</v>
      </c>
      <c r="D817" s="14" t="s">
        <v>33</v>
      </c>
      <c r="E817" s="16">
        <f t="shared" ref="E817:G817" si="2448">ROUNDUP((XLOOKUP($D817,$T$3:$T$10,$U$3:$U$10)*XLOOKUP(E$2,$AA$3:$AA$5,$AB$3:$AB$5)-ABS(XLOOKUP($C817,$Q$3:$Q$16,$R$3:$R$16)))*$B817,-5)</f>
        <v>25800000</v>
      </c>
      <c r="F817" s="16">
        <f t="shared" si="2448"/>
        <v>45800000</v>
      </c>
      <c r="G817" s="16">
        <f t="shared" si="2448"/>
        <v>50000000</v>
      </c>
      <c r="H817" s="17">
        <f t="shared" ref="H817:J817" si="2449">roundup((XLOOKUP($D817,$T$3:$T$10,$U$3:$U$10)*XLOOKUP(H$2,$AA$3:$AA$5,$AC$3:$AC$5)-ABS(XLOOKUP($C817,$Q$3:$Q$16,$R$3:$R$16)))*$B817,-5)</f>
        <v>21300000</v>
      </c>
      <c r="I817" s="17">
        <f t="shared" si="2449"/>
        <v>56700000</v>
      </c>
      <c r="J817" s="17">
        <f t="shared" si="2449"/>
        <v>61600000</v>
      </c>
      <c r="K817" s="17">
        <f t="shared" ref="K817:M817" si="2450">roundup((XLOOKUP($D817,$T$3:$T$10,$U$3:$U$10)*XLOOKUP(K$2,$AA$3:$AA$5,$AD$3:$AD$5)-ABS(XLOOKUP($C817,$Q$3:$Q$16,$R$3:$R$16)))*$B817,-5)</f>
        <v>25200000</v>
      </c>
      <c r="L817" s="17">
        <f t="shared" si="2450"/>
        <v>64100000</v>
      </c>
      <c r="M817" s="17">
        <f t="shared" si="2450"/>
        <v>69400000</v>
      </c>
    </row>
    <row r="818">
      <c r="A818" s="14" t="s">
        <v>861</v>
      </c>
      <c r="B818" s="14">
        <v>102.0</v>
      </c>
      <c r="C818" s="15">
        <f t="shared" si="4"/>
        <v>11</v>
      </c>
      <c r="D818" s="14" t="s">
        <v>36</v>
      </c>
      <c r="E818" s="16">
        <f t="shared" ref="E818:G818" si="2451">ROUNDUP((XLOOKUP($D818,$T$3:$T$10,$U$3:$U$10)*XLOOKUP(E$2,$AA$3:$AA$5,$AB$3:$AB$5)-ABS(XLOOKUP($C818,$Q$3:$Q$16,$R$3:$R$16)))*$B818,-5)</f>
        <v>26800000</v>
      </c>
      <c r="F818" s="16">
        <f t="shared" si="2451"/>
        <v>46000000</v>
      </c>
      <c r="G818" s="16">
        <f t="shared" si="2451"/>
        <v>50000000</v>
      </c>
      <c r="H818" s="17">
        <f t="shared" ref="H818:J818" si="2452">roundup((XLOOKUP($D818,$T$3:$T$10,$U$3:$U$10)*XLOOKUP(H$2,$AA$3:$AA$5,$AC$3:$AC$5)-ABS(XLOOKUP($C818,$Q$3:$Q$16,$R$3:$R$16)))*$B818,-5)</f>
        <v>22400000</v>
      </c>
      <c r="I818" s="17">
        <f t="shared" si="2452"/>
        <v>56500000</v>
      </c>
      <c r="J818" s="17">
        <f t="shared" si="2452"/>
        <v>61100000</v>
      </c>
      <c r="K818" s="17">
        <f t="shared" ref="K818:M818" si="2453">roundup((XLOOKUP($D818,$T$3:$T$10,$U$3:$U$10)*XLOOKUP(K$2,$AA$3:$AA$5,$AD$3:$AD$5)-ABS(XLOOKUP($C818,$Q$3:$Q$16,$R$3:$R$16)))*$B818,-5)</f>
        <v>26200000</v>
      </c>
      <c r="L818" s="17">
        <f t="shared" si="2453"/>
        <v>63600000</v>
      </c>
      <c r="M818" s="17">
        <f t="shared" si="2453"/>
        <v>68700000</v>
      </c>
    </row>
    <row r="819">
      <c r="A819" s="14" t="s">
        <v>862</v>
      </c>
      <c r="B819" s="14">
        <v>89.0</v>
      </c>
      <c r="C819" s="15">
        <f t="shared" si="4"/>
        <v>11</v>
      </c>
      <c r="D819" s="14" t="s">
        <v>33</v>
      </c>
      <c r="E819" s="16">
        <f t="shared" ref="E819:G819" si="2454">ROUNDUP((XLOOKUP($D819,$T$3:$T$10,$U$3:$U$10)*XLOOKUP(E$2,$AA$3:$AA$5,$AB$3:$AB$5)-ABS(XLOOKUP($C819,$Q$3:$Q$16,$R$3:$R$16)))*$B819,-5)</f>
        <v>19300000</v>
      </c>
      <c r="F819" s="16">
        <f t="shared" si="2454"/>
        <v>34300000</v>
      </c>
      <c r="G819" s="16">
        <f t="shared" si="2454"/>
        <v>37400000</v>
      </c>
      <c r="H819" s="17">
        <f t="shared" ref="H819:J819" si="2455">roundup((XLOOKUP($D819,$T$3:$T$10,$U$3:$U$10)*XLOOKUP(H$2,$AA$3:$AA$5,$AC$3:$AC$5)-ABS(XLOOKUP($C819,$Q$3:$Q$16,$R$3:$R$16)))*$B819,-5)</f>
        <v>15900000</v>
      </c>
      <c r="I819" s="17">
        <f t="shared" si="2455"/>
        <v>42400000</v>
      </c>
      <c r="J819" s="17">
        <f t="shared" si="2455"/>
        <v>46100000</v>
      </c>
      <c r="K819" s="17">
        <f t="shared" ref="K819:M819" si="2456">roundup((XLOOKUP($D819,$T$3:$T$10,$U$3:$U$10)*XLOOKUP(K$2,$AA$3:$AA$5,$AD$3:$AD$5)-ABS(XLOOKUP($C819,$Q$3:$Q$16,$R$3:$R$16)))*$B819,-5)</f>
        <v>18900000</v>
      </c>
      <c r="L819" s="17">
        <f t="shared" si="2456"/>
        <v>48000000</v>
      </c>
      <c r="M819" s="17">
        <f t="shared" si="2456"/>
        <v>51900000</v>
      </c>
    </row>
    <row r="820">
      <c r="A820" s="14" t="s">
        <v>863</v>
      </c>
      <c r="B820" s="14">
        <v>87.0</v>
      </c>
      <c r="C820" s="15">
        <f t="shared" si="4"/>
        <v>11</v>
      </c>
      <c r="D820" s="14" t="s">
        <v>36</v>
      </c>
      <c r="E820" s="16">
        <f t="shared" ref="E820:G820" si="2457">ROUNDUP((XLOOKUP($D820,$T$3:$T$10,$U$3:$U$10)*XLOOKUP(E$2,$AA$3:$AA$5,$AB$3:$AB$5)-ABS(XLOOKUP($C820,$Q$3:$Q$16,$R$3:$R$16)))*$B820,-5)</f>
        <v>22900000</v>
      </c>
      <c r="F820" s="16">
        <f t="shared" si="2457"/>
        <v>39200000</v>
      </c>
      <c r="G820" s="16">
        <f t="shared" si="2457"/>
        <v>42600000</v>
      </c>
      <c r="H820" s="17">
        <f t="shared" ref="H820:J820" si="2458">roundup((XLOOKUP($D820,$T$3:$T$10,$U$3:$U$10)*XLOOKUP(H$2,$AA$3:$AA$5,$AC$3:$AC$5)-ABS(XLOOKUP($C820,$Q$3:$Q$16,$R$3:$R$16)))*$B820,-5)</f>
        <v>19100000</v>
      </c>
      <c r="I820" s="17">
        <f t="shared" si="2458"/>
        <v>48200000</v>
      </c>
      <c r="J820" s="17">
        <f t="shared" si="2458"/>
        <v>52100000</v>
      </c>
      <c r="K820" s="17">
        <f t="shared" ref="K820:M820" si="2459">roundup((XLOOKUP($D820,$T$3:$T$10,$U$3:$U$10)*XLOOKUP(K$2,$AA$3:$AA$5,$AD$3:$AD$5)-ABS(XLOOKUP($C820,$Q$3:$Q$16,$R$3:$R$16)))*$B820,-5)</f>
        <v>22400000</v>
      </c>
      <c r="L820" s="17">
        <f t="shared" si="2459"/>
        <v>54200000</v>
      </c>
      <c r="M820" s="17">
        <f t="shared" si="2459"/>
        <v>58600000</v>
      </c>
    </row>
    <row r="821">
      <c r="A821" s="14" t="s">
        <v>864</v>
      </c>
      <c r="B821" s="14">
        <v>122.0</v>
      </c>
      <c r="C821" s="15">
        <f t="shared" si="4"/>
        <v>11</v>
      </c>
      <c r="D821" s="14" t="s">
        <v>36</v>
      </c>
      <c r="E821" s="16">
        <f t="shared" ref="E821:G821" si="2460">ROUNDUP((XLOOKUP($D821,$T$3:$T$10,$U$3:$U$10)*XLOOKUP(E$2,$AA$3:$AA$5,$AB$3:$AB$5)-ABS(XLOOKUP($C821,$Q$3:$Q$16,$R$3:$R$16)))*$B821,-5)</f>
        <v>32000000</v>
      </c>
      <c r="F821" s="16">
        <f t="shared" si="2460"/>
        <v>55000000</v>
      </c>
      <c r="G821" s="16">
        <f t="shared" si="2460"/>
        <v>59800000</v>
      </c>
      <c r="H821" s="17">
        <f t="shared" ref="H821:J821" si="2461">roundup((XLOOKUP($D821,$T$3:$T$10,$U$3:$U$10)*XLOOKUP(H$2,$AA$3:$AA$5,$AC$3:$AC$5)-ABS(XLOOKUP($C821,$Q$3:$Q$16,$R$3:$R$16)))*$B821,-5)</f>
        <v>26800000</v>
      </c>
      <c r="I821" s="17">
        <f t="shared" si="2461"/>
        <v>67500000</v>
      </c>
      <c r="J821" s="17">
        <f t="shared" si="2461"/>
        <v>73100000</v>
      </c>
      <c r="K821" s="17">
        <f t="shared" ref="K821:M821" si="2462">roundup((XLOOKUP($D821,$T$3:$T$10,$U$3:$U$10)*XLOOKUP(K$2,$AA$3:$AA$5,$AD$3:$AD$5)-ABS(XLOOKUP($C821,$Q$3:$Q$16,$R$3:$R$16)))*$B821,-5)</f>
        <v>31300000</v>
      </c>
      <c r="L821" s="17">
        <f t="shared" si="2462"/>
        <v>76000000</v>
      </c>
      <c r="M821" s="17">
        <f t="shared" si="2462"/>
        <v>82100000</v>
      </c>
    </row>
    <row r="822">
      <c r="A822" s="14" t="s">
        <v>865</v>
      </c>
      <c r="B822" s="14">
        <v>145.0</v>
      </c>
      <c r="C822" s="15">
        <f t="shared" si="4"/>
        <v>11</v>
      </c>
      <c r="D822" s="14" t="s">
        <v>36</v>
      </c>
      <c r="E822" s="16">
        <f t="shared" ref="E822:G822" si="2463">ROUNDUP((XLOOKUP($D822,$T$3:$T$10,$U$3:$U$10)*XLOOKUP(E$2,$AA$3:$AA$5,$AB$3:$AB$5)-ABS(XLOOKUP($C822,$Q$3:$Q$16,$R$3:$R$16)))*$B822,-5)</f>
        <v>38100000</v>
      </c>
      <c r="F822" s="16">
        <f t="shared" si="2463"/>
        <v>65400000</v>
      </c>
      <c r="G822" s="16">
        <f t="shared" si="2463"/>
        <v>71000000</v>
      </c>
      <c r="H822" s="17">
        <f t="shared" ref="H822:J822" si="2464">roundup((XLOOKUP($D822,$T$3:$T$10,$U$3:$U$10)*XLOOKUP(H$2,$AA$3:$AA$5,$AC$3:$AC$5)-ABS(XLOOKUP($C822,$Q$3:$Q$16,$R$3:$R$16)))*$B822,-5)</f>
        <v>31800000</v>
      </c>
      <c r="I822" s="17">
        <f t="shared" si="2464"/>
        <v>80300000</v>
      </c>
      <c r="J822" s="17">
        <f t="shared" si="2464"/>
        <v>86800000</v>
      </c>
      <c r="K822" s="17">
        <f t="shared" ref="K822:M822" si="2465">roundup((XLOOKUP($D822,$T$3:$T$10,$U$3:$U$10)*XLOOKUP(K$2,$AA$3:$AA$5,$AD$3:$AD$5)-ABS(XLOOKUP($C822,$Q$3:$Q$16,$R$3:$R$16)))*$B822,-5)</f>
        <v>37200000</v>
      </c>
      <c r="L822" s="17">
        <f t="shared" si="2465"/>
        <v>90300000</v>
      </c>
      <c r="M822" s="17">
        <f t="shared" si="2465"/>
        <v>97600000</v>
      </c>
    </row>
    <row r="823">
      <c r="A823" s="14" t="s">
        <v>866</v>
      </c>
      <c r="B823" s="14">
        <v>149.0</v>
      </c>
      <c r="C823" s="15">
        <f t="shared" si="4"/>
        <v>11</v>
      </c>
      <c r="D823" s="14" t="s">
        <v>36</v>
      </c>
      <c r="E823" s="16">
        <f t="shared" ref="E823:G823" si="2466">ROUNDUP((XLOOKUP($D823,$T$3:$T$10,$U$3:$U$10)*XLOOKUP(E$2,$AA$3:$AA$5,$AB$3:$AB$5)-ABS(XLOOKUP($C823,$Q$3:$Q$16,$R$3:$R$16)))*$B823,-5)</f>
        <v>39100000</v>
      </c>
      <c r="F823" s="16">
        <f t="shared" si="2466"/>
        <v>67200000</v>
      </c>
      <c r="G823" s="16">
        <f t="shared" si="2466"/>
        <v>73000000</v>
      </c>
      <c r="H823" s="17">
        <f t="shared" ref="H823:J823" si="2467">roundup((XLOOKUP($D823,$T$3:$T$10,$U$3:$U$10)*XLOOKUP(H$2,$AA$3:$AA$5,$AC$3:$AC$5)-ABS(XLOOKUP($C823,$Q$3:$Q$16,$R$3:$R$16)))*$B823,-5)</f>
        <v>32700000</v>
      </c>
      <c r="I823" s="17">
        <f t="shared" si="2467"/>
        <v>82500000</v>
      </c>
      <c r="J823" s="17">
        <f t="shared" si="2467"/>
        <v>89200000</v>
      </c>
      <c r="K823" s="17">
        <f t="shared" ref="K823:M823" si="2468">roundup((XLOOKUP($D823,$T$3:$T$10,$U$3:$U$10)*XLOOKUP(K$2,$AA$3:$AA$5,$AD$3:$AD$5)-ABS(XLOOKUP($C823,$Q$3:$Q$16,$R$3:$R$16)))*$B823,-5)</f>
        <v>38200000</v>
      </c>
      <c r="L823" s="17">
        <f t="shared" si="2468"/>
        <v>92800000</v>
      </c>
      <c r="M823" s="17">
        <f t="shared" si="2468"/>
        <v>100300000</v>
      </c>
    </row>
    <row r="824">
      <c r="A824" s="14" t="s">
        <v>867</v>
      </c>
      <c r="B824" s="14">
        <v>68.0</v>
      </c>
      <c r="C824" s="15">
        <f t="shared" si="4"/>
        <v>9</v>
      </c>
      <c r="D824" s="14" t="s">
        <v>33</v>
      </c>
      <c r="E824" s="16">
        <f t="shared" ref="E824:G824" si="2469">ROUNDUP((XLOOKUP($D824,$T$3:$T$10,$U$3:$U$10)*XLOOKUP(E$2,$AA$3:$AA$5,$AB$3:$AB$5)-ABS(XLOOKUP($C824,$Q$3:$Q$16,$R$3:$R$16)))*$B824,-5)</f>
        <v>21000000</v>
      </c>
      <c r="F824" s="16">
        <f t="shared" si="2469"/>
        <v>32400000</v>
      </c>
      <c r="G824" s="16">
        <f t="shared" si="2469"/>
        <v>34800000</v>
      </c>
      <c r="H824" s="17">
        <f t="shared" ref="H824:J824" si="2470">roundup((XLOOKUP($D824,$T$3:$T$10,$U$3:$U$10)*XLOOKUP(H$2,$AA$3:$AA$5,$AC$3:$AC$5)-ABS(XLOOKUP($C824,$Q$3:$Q$16,$R$3:$R$16)))*$B824,-5)</f>
        <v>18400000</v>
      </c>
      <c r="I824" s="17">
        <f t="shared" si="2470"/>
        <v>38600000</v>
      </c>
      <c r="J824" s="17">
        <f t="shared" si="2470"/>
        <v>41400000</v>
      </c>
      <c r="K824" s="17">
        <f t="shared" ref="K824:M824" si="2471">roundup((XLOOKUP($D824,$T$3:$T$10,$U$3:$U$10)*XLOOKUP(K$2,$AA$3:$AA$5,$AD$3:$AD$5)-ABS(XLOOKUP($C824,$Q$3:$Q$16,$R$3:$R$16)))*$B824,-5)</f>
        <v>20600000</v>
      </c>
      <c r="L824" s="17">
        <f t="shared" si="2471"/>
        <v>42800000</v>
      </c>
      <c r="M824" s="17">
        <f t="shared" si="2471"/>
        <v>45900000</v>
      </c>
    </row>
    <row r="825">
      <c r="A825" s="14" t="s">
        <v>868</v>
      </c>
      <c r="B825" s="14">
        <v>86.0</v>
      </c>
      <c r="C825" s="15">
        <f t="shared" si="4"/>
        <v>11</v>
      </c>
      <c r="D825" s="14" t="s">
        <v>33</v>
      </c>
      <c r="E825" s="16">
        <f t="shared" ref="E825:G825" si="2472">ROUNDUP((XLOOKUP($D825,$T$3:$T$10,$U$3:$U$10)*XLOOKUP(E$2,$AA$3:$AA$5,$AB$3:$AB$5)-ABS(XLOOKUP($C825,$Q$3:$Q$16,$R$3:$R$16)))*$B825,-5)</f>
        <v>18700000</v>
      </c>
      <c r="F825" s="16">
        <f t="shared" si="2472"/>
        <v>33100000</v>
      </c>
      <c r="G825" s="16">
        <f t="shared" si="2472"/>
        <v>36100000</v>
      </c>
      <c r="H825" s="17">
        <f t="shared" ref="H825:J825" si="2473">roundup((XLOOKUP($D825,$T$3:$T$10,$U$3:$U$10)*XLOOKUP(H$2,$AA$3:$AA$5,$AC$3:$AC$5)-ABS(XLOOKUP($C825,$Q$3:$Q$16,$R$3:$R$16)))*$B825,-5)</f>
        <v>15400000</v>
      </c>
      <c r="I825" s="17">
        <f t="shared" si="2473"/>
        <v>41000000</v>
      </c>
      <c r="J825" s="17">
        <f t="shared" si="2473"/>
        <v>44500000</v>
      </c>
      <c r="K825" s="17">
        <f t="shared" ref="K825:M825" si="2474">roundup((XLOOKUP($D825,$T$3:$T$10,$U$3:$U$10)*XLOOKUP(K$2,$AA$3:$AA$5,$AD$3:$AD$5)-ABS(XLOOKUP($C825,$Q$3:$Q$16,$R$3:$R$16)))*$B825,-5)</f>
        <v>18200000</v>
      </c>
      <c r="L825" s="17">
        <f t="shared" si="2474"/>
        <v>46300000</v>
      </c>
      <c r="M825" s="17">
        <f t="shared" si="2474"/>
        <v>50200000</v>
      </c>
    </row>
    <row r="826">
      <c r="A826" s="14" t="s">
        <v>869</v>
      </c>
      <c r="B826" s="14">
        <v>143.0</v>
      </c>
      <c r="C826" s="15">
        <f t="shared" si="4"/>
        <v>11</v>
      </c>
      <c r="D826" s="14" t="s">
        <v>36</v>
      </c>
      <c r="E826" s="16">
        <f t="shared" ref="E826:G826" si="2475">ROUNDUP((XLOOKUP($D826,$T$3:$T$10,$U$3:$U$10)*XLOOKUP(E$2,$AA$3:$AA$5,$AB$3:$AB$5)-ABS(XLOOKUP($C826,$Q$3:$Q$16,$R$3:$R$16)))*$B826,-5)</f>
        <v>37500000</v>
      </c>
      <c r="F826" s="16">
        <f t="shared" si="2475"/>
        <v>64500000</v>
      </c>
      <c r="G826" s="16">
        <f t="shared" si="2475"/>
        <v>70000000</v>
      </c>
      <c r="H826" s="17">
        <f t="shared" ref="H826:J826" si="2476">roundup((XLOOKUP($D826,$T$3:$T$10,$U$3:$U$10)*XLOOKUP(H$2,$AA$3:$AA$5,$AC$3:$AC$5)-ABS(XLOOKUP($C826,$Q$3:$Q$16,$R$3:$R$16)))*$B826,-5)</f>
        <v>31400000</v>
      </c>
      <c r="I826" s="17">
        <f t="shared" si="2476"/>
        <v>79200000</v>
      </c>
      <c r="J826" s="17">
        <f t="shared" si="2476"/>
        <v>85700000</v>
      </c>
      <c r="K826" s="17">
        <f t="shared" ref="K826:M826" si="2477">roundup((XLOOKUP($D826,$T$3:$T$10,$U$3:$U$10)*XLOOKUP(K$2,$AA$3:$AA$5,$AD$3:$AD$5)-ABS(XLOOKUP($C826,$Q$3:$Q$16,$R$3:$R$16)))*$B826,-5)</f>
        <v>36700000</v>
      </c>
      <c r="L826" s="17">
        <f t="shared" si="2477"/>
        <v>89100000</v>
      </c>
      <c r="M826" s="17">
        <f t="shared" si="2477"/>
        <v>96200000</v>
      </c>
    </row>
    <row r="827">
      <c r="A827" s="14" t="s">
        <v>870</v>
      </c>
      <c r="B827" s="14">
        <v>136.0</v>
      </c>
      <c r="C827" s="15">
        <f t="shared" si="4"/>
        <v>11</v>
      </c>
      <c r="D827" s="14" t="s">
        <v>33</v>
      </c>
      <c r="E827" s="16">
        <f t="shared" ref="E827:G827" si="2478">ROUNDUP((XLOOKUP($D827,$T$3:$T$10,$U$3:$U$10)*XLOOKUP(E$2,$AA$3:$AA$5,$AB$3:$AB$5)-ABS(XLOOKUP($C827,$Q$3:$Q$16,$R$3:$R$16)))*$B827,-5)</f>
        <v>29500000</v>
      </c>
      <c r="F827" s="16">
        <f t="shared" si="2478"/>
        <v>52400000</v>
      </c>
      <c r="G827" s="16">
        <f t="shared" si="2478"/>
        <v>57100000</v>
      </c>
      <c r="H827" s="17">
        <f t="shared" ref="H827:J827" si="2479">roundup((XLOOKUP($D827,$T$3:$T$10,$U$3:$U$10)*XLOOKUP(H$2,$AA$3:$AA$5,$AC$3:$AC$5)-ABS(XLOOKUP($C827,$Q$3:$Q$16,$R$3:$R$16)))*$B827,-5)</f>
        <v>24300000</v>
      </c>
      <c r="I827" s="17">
        <f t="shared" si="2479"/>
        <v>64800000</v>
      </c>
      <c r="J827" s="17">
        <f t="shared" si="2479"/>
        <v>70300000</v>
      </c>
      <c r="K827" s="17">
        <f t="shared" ref="K827:M827" si="2480">roundup((XLOOKUP($D827,$T$3:$T$10,$U$3:$U$10)*XLOOKUP(K$2,$AA$3:$AA$5,$AD$3:$AD$5)-ABS(XLOOKUP($C827,$Q$3:$Q$16,$R$3:$R$16)))*$B827,-5)</f>
        <v>28800000</v>
      </c>
      <c r="L827" s="17">
        <f t="shared" si="2480"/>
        <v>73300000</v>
      </c>
      <c r="M827" s="17">
        <f t="shared" si="2480"/>
        <v>79300000</v>
      </c>
    </row>
    <row r="828">
      <c r="A828" s="14" t="s">
        <v>871</v>
      </c>
      <c r="B828" s="14">
        <v>112.0</v>
      </c>
      <c r="C828" s="15">
        <f t="shared" si="4"/>
        <v>11</v>
      </c>
      <c r="D828" s="14" t="s">
        <v>33</v>
      </c>
      <c r="E828" s="16">
        <f t="shared" ref="E828:G828" si="2481">ROUNDUP((XLOOKUP($D828,$T$3:$T$10,$U$3:$U$10)*XLOOKUP(E$2,$AA$3:$AA$5,$AB$3:$AB$5)-ABS(XLOOKUP($C828,$Q$3:$Q$16,$R$3:$R$16)))*$B828,-5)</f>
        <v>24300000</v>
      </c>
      <c r="F828" s="16">
        <f t="shared" si="2481"/>
        <v>43100000</v>
      </c>
      <c r="G828" s="16">
        <f t="shared" si="2481"/>
        <v>47000000</v>
      </c>
      <c r="H828" s="17">
        <f t="shared" ref="H828:J828" si="2482">roundup((XLOOKUP($D828,$T$3:$T$10,$U$3:$U$10)*XLOOKUP(H$2,$AA$3:$AA$5,$AC$3:$AC$5)-ABS(XLOOKUP($C828,$Q$3:$Q$16,$R$3:$R$16)))*$B828,-5)</f>
        <v>20000000</v>
      </c>
      <c r="I828" s="17">
        <f t="shared" si="2482"/>
        <v>53400000</v>
      </c>
      <c r="J828" s="17">
        <f t="shared" si="2482"/>
        <v>57900000</v>
      </c>
      <c r="K828" s="17">
        <f t="shared" ref="K828:M828" si="2483">roundup((XLOOKUP($D828,$T$3:$T$10,$U$3:$U$10)*XLOOKUP(K$2,$AA$3:$AA$5,$AD$3:$AD$5)-ABS(XLOOKUP($C828,$Q$3:$Q$16,$R$3:$R$16)))*$B828,-5)</f>
        <v>23700000</v>
      </c>
      <c r="L828" s="17">
        <f t="shared" si="2483"/>
        <v>60300000</v>
      </c>
      <c r="M828" s="17">
        <f t="shared" si="2483"/>
        <v>65300000</v>
      </c>
    </row>
    <row r="829">
      <c r="A829" s="14" t="s">
        <v>872</v>
      </c>
      <c r="B829" s="14">
        <v>139.0</v>
      </c>
      <c r="C829" s="15">
        <f t="shared" si="4"/>
        <v>11</v>
      </c>
      <c r="D829" s="14" t="s">
        <v>33</v>
      </c>
      <c r="E829" s="16">
        <f t="shared" ref="E829:G829" si="2484">ROUNDUP((XLOOKUP($D829,$T$3:$T$10,$U$3:$U$10)*XLOOKUP(E$2,$AA$3:$AA$5,$AB$3:$AB$5)-ABS(XLOOKUP($C829,$Q$3:$Q$16,$R$3:$R$16)))*$B829,-5)</f>
        <v>30200000</v>
      </c>
      <c r="F829" s="16">
        <f t="shared" si="2484"/>
        <v>53500000</v>
      </c>
      <c r="G829" s="16">
        <f t="shared" si="2484"/>
        <v>58400000</v>
      </c>
      <c r="H829" s="17">
        <f t="shared" ref="H829:J829" si="2485">roundup((XLOOKUP($D829,$T$3:$T$10,$U$3:$U$10)*XLOOKUP(H$2,$AA$3:$AA$5,$AC$3:$AC$5)-ABS(XLOOKUP($C829,$Q$3:$Q$16,$R$3:$R$16)))*$B829,-5)</f>
        <v>24900000</v>
      </c>
      <c r="I829" s="17">
        <f t="shared" si="2485"/>
        <v>66300000</v>
      </c>
      <c r="J829" s="17">
        <f t="shared" si="2485"/>
        <v>71900000</v>
      </c>
      <c r="K829" s="17">
        <f t="shared" ref="K829:M829" si="2486">roundup((XLOOKUP($D829,$T$3:$T$10,$U$3:$U$10)*XLOOKUP(K$2,$AA$3:$AA$5,$AD$3:$AD$5)-ABS(XLOOKUP($C829,$Q$3:$Q$16,$R$3:$R$16)))*$B829,-5)</f>
        <v>29400000</v>
      </c>
      <c r="L829" s="17">
        <f t="shared" si="2486"/>
        <v>74900000</v>
      </c>
      <c r="M829" s="17">
        <f t="shared" si="2486"/>
        <v>81100000</v>
      </c>
    </row>
    <row r="830">
      <c r="A830" s="14" t="s">
        <v>873</v>
      </c>
      <c r="B830" s="14">
        <v>218.0</v>
      </c>
      <c r="C830" s="15">
        <f t="shared" si="4"/>
        <v>13</v>
      </c>
      <c r="D830" s="14" t="s">
        <v>33</v>
      </c>
      <c r="E830" s="16">
        <f t="shared" ref="E830:G830" si="2487">ROUNDUP((XLOOKUP($D830,$T$3:$T$10,$U$3:$U$10)*XLOOKUP(E$2,$AA$3:$AA$5,$AB$3:$AB$5)-ABS(XLOOKUP($C830,$Q$3:$Q$16,$R$3:$R$16)))*$B830,-5)</f>
        <v>42900000</v>
      </c>
      <c r="F830" s="16">
        <f t="shared" si="2487"/>
        <v>79600000</v>
      </c>
      <c r="G830" s="16">
        <f t="shared" si="2487"/>
        <v>87100000</v>
      </c>
      <c r="H830" s="17">
        <f t="shared" ref="H830:J830" si="2488">roundup((XLOOKUP($D830,$T$3:$T$10,$U$3:$U$10)*XLOOKUP(H$2,$AA$3:$AA$5,$AC$3:$AC$5)-ABS(XLOOKUP($C830,$Q$3:$Q$16,$R$3:$R$16)))*$B830,-5)</f>
        <v>34600000</v>
      </c>
      <c r="I830" s="17">
        <f t="shared" si="2488"/>
        <v>99500000</v>
      </c>
      <c r="J830" s="17">
        <f t="shared" si="2488"/>
        <v>108400000</v>
      </c>
      <c r="K830" s="17">
        <f t="shared" ref="K830:M830" si="2489">roundup((XLOOKUP($D830,$T$3:$T$10,$U$3:$U$10)*XLOOKUP(K$2,$AA$3:$AA$5,$AD$3:$AD$5)-ABS(XLOOKUP($C830,$Q$3:$Q$16,$R$3:$R$16)))*$B830,-5)</f>
        <v>41800000</v>
      </c>
      <c r="L830" s="17">
        <f t="shared" si="2489"/>
        <v>113000000</v>
      </c>
      <c r="M830" s="17">
        <f t="shared" si="2489"/>
        <v>122800000</v>
      </c>
    </row>
    <row r="831">
      <c r="A831" s="14" t="s">
        <v>874</v>
      </c>
      <c r="B831" s="14">
        <v>201.0</v>
      </c>
      <c r="C831" s="15">
        <f t="shared" si="4"/>
        <v>13</v>
      </c>
      <c r="D831" s="14" t="s">
        <v>33</v>
      </c>
      <c r="E831" s="16">
        <f t="shared" ref="E831:G831" si="2490">ROUNDUP((XLOOKUP($D831,$T$3:$T$10,$U$3:$U$10)*XLOOKUP(E$2,$AA$3:$AA$5,$AB$3:$AB$5)-ABS(XLOOKUP($C831,$Q$3:$Q$16,$R$3:$R$16)))*$B831,-5)</f>
        <v>39600000</v>
      </c>
      <c r="F831" s="16">
        <f t="shared" si="2490"/>
        <v>73400000</v>
      </c>
      <c r="G831" s="16">
        <f t="shared" si="2490"/>
        <v>80300000</v>
      </c>
      <c r="H831" s="17">
        <f t="shared" ref="H831:J831" si="2491">roundup((XLOOKUP($D831,$T$3:$T$10,$U$3:$U$10)*XLOOKUP(H$2,$AA$3:$AA$5,$AC$3:$AC$5)-ABS(XLOOKUP($C831,$Q$3:$Q$16,$R$3:$R$16)))*$B831,-5)</f>
        <v>31900000</v>
      </c>
      <c r="I831" s="17">
        <f t="shared" si="2491"/>
        <v>91800000</v>
      </c>
      <c r="J831" s="17">
        <f t="shared" si="2491"/>
        <v>99900000</v>
      </c>
      <c r="K831" s="17">
        <f t="shared" ref="K831:M831" si="2492">roundup((XLOOKUP($D831,$T$3:$T$10,$U$3:$U$10)*XLOOKUP(K$2,$AA$3:$AA$5,$AD$3:$AD$5)-ABS(XLOOKUP($C831,$Q$3:$Q$16,$R$3:$R$16)))*$B831,-5)</f>
        <v>38500000</v>
      </c>
      <c r="L831" s="17">
        <f t="shared" si="2492"/>
        <v>104200000</v>
      </c>
      <c r="M831" s="17">
        <f t="shared" si="2492"/>
        <v>113200000</v>
      </c>
    </row>
    <row r="832">
      <c r="A832" s="14" t="s">
        <v>875</v>
      </c>
      <c r="B832" s="14">
        <v>118.0</v>
      </c>
      <c r="C832" s="15">
        <f t="shared" si="4"/>
        <v>11</v>
      </c>
      <c r="D832" s="14" t="s">
        <v>33</v>
      </c>
      <c r="E832" s="16">
        <f t="shared" ref="E832:G832" si="2493">ROUNDUP((XLOOKUP($D832,$T$3:$T$10,$U$3:$U$10)*XLOOKUP(E$2,$AA$3:$AA$5,$AB$3:$AB$5)-ABS(XLOOKUP($C832,$Q$3:$Q$16,$R$3:$R$16)))*$B832,-5)</f>
        <v>25600000</v>
      </c>
      <c r="F832" s="16">
        <f t="shared" si="2493"/>
        <v>45400000</v>
      </c>
      <c r="G832" s="16">
        <f t="shared" si="2493"/>
        <v>49600000</v>
      </c>
      <c r="H832" s="17">
        <f t="shared" ref="H832:J832" si="2494">roundup((XLOOKUP($D832,$T$3:$T$10,$U$3:$U$10)*XLOOKUP(H$2,$AA$3:$AA$5,$AC$3:$AC$5)-ABS(XLOOKUP($C832,$Q$3:$Q$16,$R$3:$R$16)))*$B832,-5)</f>
        <v>21100000</v>
      </c>
      <c r="I832" s="17">
        <f t="shared" si="2494"/>
        <v>56300000</v>
      </c>
      <c r="J832" s="17">
        <f t="shared" si="2494"/>
        <v>61000000</v>
      </c>
      <c r="K832" s="17">
        <f t="shared" ref="K832:M832" si="2495">roundup((XLOOKUP($D832,$T$3:$T$10,$U$3:$U$10)*XLOOKUP(K$2,$AA$3:$AA$5,$AD$3:$AD$5)-ABS(XLOOKUP($C832,$Q$3:$Q$16,$R$3:$R$16)))*$B832,-5)</f>
        <v>25000000</v>
      </c>
      <c r="L832" s="17">
        <f t="shared" si="2495"/>
        <v>63600000</v>
      </c>
      <c r="M832" s="17">
        <f t="shared" si="2495"/>
        <v>68800000</v>
      </c>
    </row>
    <row r="833">
      <c r="A833" s="14" t="s">
        <v>876</v>
      </c>
      <c r="B833" s="14">
        <v>116.0</v>
      </c>
      <c r="C833" s="15">
        <f t="shared" si="4"/>
        <v>11</v>
      </c>
      <c r="D833" s="14" t="s">
        <v>33</v>
      </c>
      <c r="E833" s="16">
        <f t="shared" ref="E833:G833" si="2496">ROUNDUP((XLOOKUP($D833,$T$3:$T$10,$U$3:$U$10)*XLOOKUP(E$2,$AA$3:$AA$5,$AB$3:$AB$5)-ABS(XLOOKUP($C833,$Q$3:$Q$16,$R$3:$R$16)))*$B833,-5)</f>
        <v>25200000</v>
      </c>
      <c r="F833" s="16">
        <f t="shared" si="2496"/>
        <v>44700000</v>
      </c>
      <c r="G833" s="16">
        <f t="shared" si="2496"/>
        <v>48700000</v>
      </c>
      <c r="H833" s="17">
        <f t="shared" ref="H833:J833" si="2497">roundup((XLOOKUP($D833,$T$3:$T$10,$U$3:$U$10)*XLOOKUP(H$2,$AA$3:$AA$5,$AC$3:$AC$5)-ABS(XLOOKUP($C833,$Q$3:$Q$16,$R$3:$R$16)))*$B833,-5)</f>
        <v>20700000</v>
      </c>
      <c r="I833" s="17">
        <f t="shared" si="2497"/>
        <v>55300000</v>
      </c>
      <c r="J833" s="17">
        <f t="shared" si="2497"/>
        <v>60000000</v>
      </c>
      <c r="K833" s="17">
        <f t="shared" ref="K833:M833" si="2498">roundup((XLOOKUP($D833,$T$3:$T$10,$U$3:$U$10)*XLOOKUP(K$2,$AA$3:$AA$5,$AD$3:$AD$5)-ABS(XLOOKUP($C833,$Q$3:$Q$16,$R$3:$R$16)))*$B833,-5)</f>
        <v>24600000</v>
      </c>
      <c r="L833" s="17">
        <f t="shared" si="2498"/>
        <v>62500000</v>
      </c>
      <c r="M833" s="17">
        <f t="shared" si="2498"/>
        <v>67700000</v>
      </c>
    </row>
    <row r="834">
      <c r="A834" s="14" t="s">
        <v>877</v>
      </c>
      <c r="B834" s="14">
        <v>102.0</v>
      </c>
      <c r="C834" s="15">
        <f t="shared" si="4"/>
        <v>11</v>
      </c>
      <c r="D834" s="14" t="s">
        <v>33</v>
      </c>
      <c r="E834" s="16">
        <f t="shared" ref="E834:G834" si="2499">ROUNDUP((XLOOKUP($D834,$T$3:$T$10,$U$3:$U$10)*XLOOKUP(E$2,$AA$3:$AA$5,$AB$3:$AB$5)-ABS(XLOOKUP($C834,$Q$3:$Q$16,$R$3:$R$16)))*$B834,-5)</f>
        <v>22200000</v>
      </c>
      <c r="F834" s="16">
        <f t="shared" si="2499"/>
        <v>39300000</v>
      </c>
      <c r="G834" s="16">
        <f t="shared" si="2499"/>
        <v>42800000</v>
      </c>
      <c r="H834" s="17">
        <f t="shared" ref="H834:J834" si="2500">roundup((XLOOKUP($D834,$T$3:$T$10,$U$3:$U$10)*XLOOKUP(H$2,$AA$3:$AA$5,$AC$3:$AC$5)-ABS(XLOOKUP($C834,$Q$3:$Q$16,$R$3:$R$16)))*$B834,-5)</f>
        <v>18200000</v>
      </c>
      <c r="I834" s="17">
        <f t="shared" si="2500"/>
        <v>48600000</v>
      </c>
      <c r="J834" s="17">
        <f t="shared" si="2500"/>
        <v>52800000</v>
      </c>
      <c r="K834" s="17">
        <f t="shared" ref="K834:M834" si="2501">roundup((XLOOKUP($D834,$T$3:$T$10,$U$3:$U$10)*XLOOKUP(K$2,$AA$3:$AA$5,$AD$3:$AD$5)-ABS(XLOOKUP($C834,$Q$3:$Q$16,$R$3:$R$16)))*$B834,-5)</f>
        <v>21600000</v>
      </c>
      <c r="L834" s="17">
        <f t="shared" si="2501"/>
        <v>55000000</v>
      </c>
      <c r="M834" s="17">
        <f t="shared" si="2501"/>
        <v>59500000</v>
      </c>
    </row>
    <row r="835">
      <c r="A835" s="14" t="s">
        <v>878</v>
      </c>
      <c r="B835" s="14">
        <v>112.0</v>
      </c>
      <c r="C835" s="15">
        <f t="shared" si="4"/>
        <v>11</v>
      </c>
      <c r="D835" s="14" t="s">
        <v>33</v>
      </c>
      <c r="E835" s="16">
        <f t="shared" ref="E835:G835" si="2502">ROUNDUP((XLOOKUP($D835,$T$3:$T$10,$U$3:$U$10)*XLOOKUP(E$2,$AA$3:$AA$5,$AB$3:$AB$5)-ABS(XLOOKUP($C835,$Q$3:$Q$16,$R$3:$R$16)))*$B835,-5)</f>
        <v>24300000</v>
      </c>
      <c r="F835" s="16">
        <f t="shared" si="2502"/>
        <v>43100000</v>
      </c>
      <c r="G835" s="16">
        <f t="shared" si="2502"/>
        <v>47000000</v>
      </c>
      <c r="H835" s="17">
        <f t="shared" ref="H835:J835" si="2503">roundup((XLOOKUP($D835,$T$3:$T$10,$U$3:$U$10)*XLOOKUP(H$2,$AA$3:$AA$5,$AC$3:$AC$5)-ABS(XLOOKUP($C835,$Q$3:$Q$16,$R$3:$R$16)))*$B835,-5)</f>
        <v>20000000</v>
      </c>
      <c r="I835" s="17">
        <f t="shared" si="2503"/>
        <v>53400000</v>
      </c>
      <c r="J835" s="17">
        <f t="shared" si="2503"/>
        <v>57900000</v>
      </c>
      <c r="K835" s="17">
        <f t="shared" ref="K835:M835" si="2504">roundup((XLOOKUP($D835,$T$3:$T$10,$U$3:$U$10)*XLOOKUP(K$2,$AA$3:$AA$5,$AD$3:$AD$5)-ABS(XLOOKUP($C835,$Q$3:$Q$16,$R$3:$R$16)))*$B835,-5)</f>
        <v>23700000</v>
      </c>
      <c r="L835" s="17">
        <f t="shared" si="2504"/>
        <v>60300000</v>
      </c>
      <c r="M835" s="17">
        <f t="shared" si="2504"/>
        <v>65300000</v>
      </c>
    </row>
    <row r="836">
      <c r="A836" s="14" t="s">
        <v>879</v>
      </c>
      <c r="B836" s="14">
        <v>125.0</v>
      </c>
      <c r="C836" s="15">
        <f t="shared" si="4"/>
        <v>11</v>
      </c>
      <c r="D836" s="14" t="s">
        <v>33</v>
      </c>
      <c r="E836" s="16">
        <f t="shared" ref="E836:G836" si="2505">ROUNDUP((XLOOKUP($D836,$T$3:$T$10,$U$3:$U$10)*XLOOKUP(E$2,$AA$3:$AA$5,$AB$3:$AB$5)-ABS(XLOOKUP($C836,$Q$3:$Q$16,$R$3:$R$16)))*$B836,-5)</f>
        <v>27100000</v>
      </c>
      <c r="F836" s="16">
        <f t="shared" si="2505"/>
        <v>48100000</v>
      </c>
      <c r="G836" s="16">
        <f t="shared" si="2505"/>
        <v>52500000</v>
      </c>
      <c r="H836" s="17">
        <f t="shared" ref="H836:J836" si="2506">roundup((XLOOKUP($D836,$T$3:$T$10,$U$3:$U$10)*XLOOKUP(H$2,$AA$3:$AA$5,$AC$3:$AC$5)-ABS(XLOOKUP($C836,$Q$3:$Q$16,$R$3:$R$16)))*$B836,-5)</f>
        <v>22400000</v>
      </c>
      <c r="I836" s="17">
        <f t="shared" si="2506"/>
        <v>59600000</v>
      </c>
      <c r="J836" s="17">
        <f t="shared" si="2506"/>
        <v>64700000</v>
      </c>
      <c r="K836" s="17">
        <f t="shared" ref="K836:M836" si="2507">roundup((XLOOKUP($D836,$T$3:$T$10,$U$3:$U$10)*XLOOKUP(K$2,$AA$3:$AA$5,$AD$3:$AD$5)-ABS(XLOOKUP($C836,$Q$3:$Q$16,$R$3:$R$16)))*$B836,-5)</f>
        <v>26500000</v>
      </c>
      <c r="L836" s="17">
        <f t="shared" si="2507"/>
        <v>67300000</v>
      </c>
      <c r="M836" s="17">
        <f t="shared" si="2507"/>
        <v>72900000</v>
      </c>
    </row>
    <row r="837">
      <c r="A837" s="14" t="s">
        <v>880</v>
      </c>
      <c r="B837" s="14">
        <v>159.0</v>
      </c>
      <c r="C837" s="15">
        <f t="shared" si="4"/>
        <v>11</v>
      </c>
      <c r="D837" s="14" t="s">
        <v>33</v>
      </c>
      <c r="E837" s="16">
        <f t="shared" ref="E837:G837" si="2508">ROUNDUP((XLOOKUP($D837,$T$3:$T$10,$U$3:$U$10)*XLOOKUP(E$2,$AA$3:$AA$5,$AB$3:$AB$5)-ABS(XLOOKUP($C837,$Q$3:$Q$16,$R$3:$R$16)))*$B837,-5)</f>
        <v>34500000</v>
      </c>
      <c r="F837" s="16">
        <f t="shared" si="2508"/>
        <v>61200000</v>
      </c>
      <c r="G837" s="16">
        <f t="shared" si="2508"/>
        <v>66800000</v>
      </c>
      <c r="H837" s="17">
        <f t="shared" ref="H837:J837" si="2509">roundup((XLOOKUP($D837,$T$3:$T$10,$U$3:$U$10)*XLOOKUP(H$2,$AA$3:$AA$5,$AC$3:$AC$5)-ABS(XLOOKUP($C837,$Q$3:$Q$16,$R$3:$R$16)))*$B837,-5)</f>
        <v>28400000</v>
      </c>
      <c r="I837" s="17">
        <f t="shared" si="2509"/>
        <v>75800000</v>
      </c>
      <c r="J837" s="17">
        <f t="shared" si="2509"/>
        <v>82200000</v>
      </c>
      <c r="K837" s="17">
        <f t="shared" ref="K837:M837" si="2510">roundup((XLOOKUP($D837,$T$3:$T$10,$U$3:$U$10)*XLOOKUP(K$2,$AA$3:$AA$5,$AD$3:$AD$5)-ABS(XLOOKUP($C837,$Q$3:$Q$16,$R$3:$R$16)))*$B837,-5)</f>
        <v>33700000</v>
      </c>
      <c r="L837" s="17">
        <f t="shared" si="2510"/>
        <v>85600000</v>
      </c>
      <c r="M837" s="17">
        <f t="shared" si="2510"/>
        <v>92700000</v>
      </c>
    </row>
    <row r="838">
      <c r="A838" s="14" t="s">
        <v>881</v>
      </c>
      <c r="B838" s="14">
        <v>108.0</v>
      </c>
      <c r="C838" s="15">
        <f t="shared" si="4"/>
        <v>11</v>
      </c>
      <c r="D838" s="14" t="s">
        <v>33</v>
      </c>
      <c r="E838" s="16">
        <f t="shared" ref="E838:G838" si="2511">ROUNDUP((XLOOKUP($D838,$T$3:$T$10,$U$3:$U$10)*XLOOKUP(E$2,$AA$3:$AA$5,$AB$3:$AB$5)-ABS(XLOOKUP($C838,$Q$3:$Q$16,$R$3:$R$16)))*$B838,-5)</f>
        <v>23500000</v>
      </c>
      <c r="F838" s="16">
        <f t="shared" si="2511"/>
        <v>41600000</v>
      </c>
      <c r="G838" s="16">
        <f t="shared" si="2511"/>
        <v>45400000</v>
      </c>
      <c r="H838" s="17">
        <f t="shared" ref="H838:J838" si="2512">roundup((XLOOKUP($D838,$T$3:$T$10,$U$3:$U$10)*XLOOKUP(H$2,$AA$3:$AA$5,$AC$3:$AC$5)-ABS(XLOOKUP($C838,$Q$3:$Q$16,$R$3:$R$16)))*$B838,-5)</f>
        <v>19300000</v>
      </c>
      <c r="I838" s="17">
        <f t="shared" si="2512"/>
        <v>51500000</v>
      </c>
      <c r="J838" s="17">
        <f t="shared" si="2512"/>
        <v>55900000</v>
      </c>
      <c r="K838" s="17">
        <f t="shared" ref="K838:M838" si="2513">roundup((XLOOKUP($D838,$T$3:$T$10,$U$3:$U$10)*XLOOKUP(K$2,$AA$3:$AA$5,$AD$3:$AD$5)-ABS(XLOOKUP($C838,$Q$3:$Q$16,$R$3:$R$16)))*$B838,-5)</f>
        <v>22900000</v>
      </c>
      <c r="L838" s="17">
        <f t="shared" si="2513"/>
        <v>58200000</v>
      </c>
      <c r="M838" s="17">
        <f t="shared" si="2513"/>
        <v>63000000</v>
      </c>
    </row>
    <row r="839">
      <c r="A839" s="14" t="s">
        <v>882</v>
      </c>
      <c r="B839" s="14">
        <v>85.0</v>
      </c>
      <c r="C839" s="15">
        <f t="shared" si="4"/>
        <v>11</v>
      </c>
      <c r="D839" s="14" t="s">
        <v>33</v>
      </c>
      <c r="E839" s="16">
        <f t="shared" ref="E839:G839" si="2514">ROUNDUP((XLOOKUP($D839,$T$3:$T$10,$U$3:$U$10)*XLOOKUP(E$2,$AA$3:$AA$5,$AB$3:$AB$5)-ABS(XLOOKUP($C839,$Q$3:$Q$16,$R$3:$R$16)))*$B839,-5)</f>
        <v>18500000</v>
      </c>
      <c r="F839" s="16">
        <f t="shared" si="2514"/>
        <v>32800000</v>
      </c>
      <c r="G839" s="16">
        <f t="shared" si="2514"/>
        <v>35700000</v>
      </c>
      <c r="H839" s="17">
        <f t="shared" ref="H839:J839" si="2515">roundup((XLOOKUP($D839,$T$3:$T$10,$U$3:$U$10)*XLOOKUP(H$2,$AA$3:$AA$5,$AC$3:$AC$5)-ABS(XLOOKUP($C839,$Q$3:$Q$16,$R$3:$R$16)))*$B839,-5)</f>
        <v>15200000</v>
      </c>
      <c r="I839" s="17">
        <f t="shared" si="2515"/>
        <v>40500000</v>
      </c>
      <c r="J839" s="17">
        <f t="shared" si="2515"/>
        <v>44000000</v>
      </c>
      <c r="K839" s="17">
        <f t="shared" ref="K839:M839" si="2516">roundup((XLOOKUP($D839,$T$3:$T$10,$U$3:$U$10)*XLOOKUP(K$2,$AA$3:$AA$5,$AD$3:$AD$5)-ABS(XLOOKUP($C839,$Q$3:$Q$16,$R$3:$R$16)))*$B839,-5)</f>
        <v>18000000</v>
      </c>
      <c r="L839" s="17">
        <f t="shared" si="2516"/>
        <v>45800000</v>
      </c>
      <c r="M839" s="17">
        <f t="shared" si="2516"/>
        <v>49600000</v>
      </c>
    </row>
    <row r="840">
      <c r="A840" s="14" t="s">
        <v>883</v>
      </c>
      <c r="B840" s="14">
        <v>125.0</v>
      </c>
      <c r="C840" s="15">
        <f t="shared" si="4"/>
        <v>11</v>
      </c>
      <c r="D840" s="14" t="s">
        <v>33</v>
      </c>
      <c r="E840" s="16">
        <f t="shared" ref="E840:G840" si="2517">ROUNDUP((XLOOKUP($D840,$T$3:$T$10,$U$3:$U$10)*XLOOKUP(E$2,$AA$3:$AA$5,$AB$3:$AB$5)-ABS(XLOOKUP($C840,$Q$3:$Q$16,$R$3:$R$16)))*$B840,-5)</f>
        <v>27100000</v>
      </c>
      <c r="F840" s="16">
        <f t="shared" si="2517"/>
        <v>48100000</v>
      </c>
      <c r="G840" s="16">
        <f t="shared" si="2517"/>
        <v>52500000</v>
      </c>
      <c r="H840" s="17">
        <f t="shared" ref="H840:J840" si="2518">roundup((XLOOKUP($D840,$T$3:$T$10,$U$3:$U$10)*XLOOKUP(H$2,$AA$3:$AA$5,$AC$3:$AC$5)-ABS(XLOOKUP($C840,$Q$3:$Q$16,$R$3:$R$16)))*$B840,-5)</f>
        <v>22400000</v>
      </c>
      <c r="I840" s="17">
        <f t="shared" si="2518"/>
        <v>59600000</v>
      </c>
      <c r="J840" s="17">
        <f t="shared" si="2518"/>
        <v>64700000</v>
      </c>
      <c r="K840" s="17">
        <f t="shared" ref="K840:M840" si="2519">roundup((XLOOKUP($D840,$T$3:$T$10,$U$3:$U$10)*XLOOKUP(K$2,$AA$3:$AA$5,$AD$3:$AD$5)-ABS(XLOOKUP($C840,$Q$3:$Q$16,$R$3:$R$16)))*$B840,-5)</f>
        <v>26500000</v>
      </c>
      <c r="L840" s="17">
        <f t="shared" si="2519"/>
        <v>67300000</v>
      </c>
      <c r="M840" s="17">
        <f t="shared" si="2519"/>
        <v>72900000</v>
      </c>
    </row>
    <row r="841">
      <c r="A841" s="14" t="s">
        <v>884</v>
      </c>
      <c r="B841" s="14">
        <v>135.0</v>
      </c>
      <c r="C841" s="15">
        <f t="shared" si="4"/>
        <v>11</v>
      </c>
      <c r="D841" s="14" t="s">
        <v>33</v>
      </c>
      <c r="E841" s="16">
        <f t="shared" ref="E841:G841" si="2520">ROUNDUP((XLOOKUP($D841,$T$3:$T$10,$U$3:$U$10)*XLOOKUP(E$2,$AA$3:$AA$5,$AB$3:$AB$5)-ABS(XLOOKUP($C841,$Q$3:$Q$16,$R$3:$R$16)))*$B841,-5)</f>
        <v>29300000</v>
      </c>
      <c r="F841" s="16">
        <f t="shared" si="2520"/>
        <v>52000000</v>
      </c>
      <c r="G841" s="16">
        <f t="shared" si="2520"/>
        <v>56700000</v>
      </c>
      <c r="H841" s="17">
        <f t="shared" ref="H841:J841" si="2521">roundup((XLOOKUP($D841,$T$3:$T$10,$U$3:$U$10)*XLOOKUP(H$2,$AA$3:$AA$5,$AC$3:$AC$5)-ABS(XLOOKUP($C841,$Q$3:$Q$16,$R$3:$R$16)))*$B841,-5)</f>
        <v>24100000</v>
      </c>
      <c r="I841" s="17">
        <f t="shared" si="2521"/>
        <v>64300000</v>
      </c>
      <c r="J841" s="17">
        <f t="shared" si="2521"/>
        <v>69800000</v>
      </c>
      <c r="K841" s="17">
        <f t="shared" ref="K841:M841" si="2522">roundup((XLOOKUP($D841,$T$3:$T$10,$U$3:$U$10)*XLOOKUP(K$2,$AA$3:$AA$5,$AD$3:$AD$5)-ABS(XLOOKUP($C841,$Q$3:$Q$16,$R$3:$R$16)))*$B841,-5)</f>
        <v>28600000</v>
      </c>
      <c r="L841" s="17">
        <f t="shared" si="2522"/>
        <v>72700000</v>
      </c>
      <c r="M841" s="17">
        <f t="shared" si="2522"/>
        <v>78700000</v>
      </c>
    </row>
    <row r="842">
      <c r="A842" s="14" t="s">
        <v>885</v>
      </c>
      <c r="B842" s="14">
        <v>106.0</v>
      </c>
      <c r="C842" s="15">
        <f t="shared" si="4"/>
        <v>11</v>
      </c>
      <c r="D842" s="14" t="s">
        <v>36</v>
      </c>
      <c r="E842" s="16">
        <f t="shared" ref="E842:G842" si="2523">ROUNDUP((XLOOKUP($D842,$T$3:$T$10,$U$3:$U$10)*XLOOKUP(E$2,$AA$3:$AA$5,$AB$3:$AB$5)-ABS(XLOOKUP($C842,$Q$3:$Q$16,$R$3:$R$16)))*$B842,-5)</f>
        <v>27800000</v>
      </c>
      <c r="F842" s="16">
        <f t="shared" si="2523"/>
        <v>47800000</v>
      </c>
      <c r="G842" s="16">
        <f t="shared" si="2523"/>
        <v>51900000</v>
      </c>
      <c r="H842" s="17">
        <f t="shared" ref="H842:J842" si="2524">roundup((XLOOKUP($D842,$T$3:$T$10,$U$3:$U$10)*XLOOKUP(H$2,$AA$3:$AA$5,$AC$3:$AC$5)-ABS(XLOOKUP($C842,$Q$3:$Q$16,$R$3:$R$16)))*$B842,-5)</f>
        <v>23300000</v>
      </c>
      <c r="I842" s="17">
        <f t="shared" si="2524"/>
        <v>58700000</v>
      </c>
      <c r="J842" s="17">
        <f t="shared" si="2524"/>
        <v>63500000</v>
      </c>
      <c r="K842" s="17">
        <f t="shared" ref="K842:M842" si="2525">roundup((XLOOKUP($D842,$T$3:$T$10,$U$3:$U$10)*XLOOKUP(K$2,$AA$3:$AA$5,$AD$3:$AD$5)-ABS(XLOOKUP($C842,$Q$3:$Q$16,$R$3:$R$16)))*$B842,-5)</f>
        <v>27200000</v>
      </c>
      <c r="L842" s="17">
        <f t="shared" si="2525"/>
        <v>66100000</v>
      </c>
      <c r="M842" s="17">
        <f t="shared" si="2525"/>
        <v>71400000</v>
      </c>
    </row>
    <row r="843">
      <c r="A843" s="14" t="s">
        <v>886</v>
      </c>
      <c r="B843" s="14">
        <v>134.0</v>
      </c>
      <c r="C843" s="15">
        <f t="shared" si="4"/>
        <v>11</v>
      </c>
      <c r="D843" s="14" t="s">
        <v>33</v>
      </c>
      <c r="E843" s="16">
        <f t="shared" ref="E843:G843" si="2526">ROUNDUP((XLOOKUP($D843,$T$3:$T$10,$U$3:$U$10)*XLOOKUP(E$2,$AA$3:$AA$5,$AB$3:$AB$5)-ABS(XLOOKUP($C843,$Q$3:$Q$16,$R$3:$R$16)))*$B843,-5)</f>
        <v>29100000</v>
      </c>
      <c r="F843" s="16">
        <f t="shared" si="2526"/>
        <v>51600000</v>
      </c>
      <c r="G843" s="16">
        <f t="shared" si="2526"/>
        <v>56300000</v>
      </c>
      <c r="H843" s="17">
        <f t="shared" ref="H843:J843" si="2527">roundup((XLOOKUP($D843,$T$3:$T$10,$U$3:$U$10)*XLOOKUP(H$2,$AA$3:$AA$5,$AC$3:$AC$5)-ABS(XLOOKUP($C843,$Q$3:$Q$16,$R$3:$R$16)))*$B843,-5)</f>
        <v>24000000</v>
      </c>
      <c r="I843" s="17">
        <f t="shared" si="2527"/>
        <v>63900000</v>
      </c>
      <c r="J843" s="17">
        <f t="shared" si="2527"/>
        <v>69300000</v>
      </c>
      <c r="K843" s="17">
        <f t="shared" ref="K843:M843" si="2528">roundup((XLOOKUP($D843,$T$3:$T$10,$U$3:$U$10)*XLOOKUP(K$2,$AA$3:$AA$5,$AD$3:$AD$5)-ABS(XLOOKUP($C843,$Q$3:$Q$16,$R$3:$R$16)))*$B843,-5)</f>
        <v>28400000</v>
      </c>
      <c r="L843" s="17">
        <f t="shared" si="2528"/>
        <v>72200000</v>
      </c>
      <c r="M843" s="17">
        <f t="shared" si="2528"/>
        <v>78200000</v>
      </c>
    </row>
    <row r="844">
      <c r="A844" s="14" t="s">
        <v>887</v>
      </c>
      <c r="B844" s="14">
        <v>140.0</v>
      </c>
      <c r="C844" s="15">
        <f t="shared" si="4"/>
        <v>11</v>
      </c>
      <c r="D844" s="14" t="s">
        <v>36</v>
      </c>
      <c r="E844" s="16">
        <f t="shared" ref="E844:G844" si="2529">ROUNDUP((XLOOKUP($D844,$T$3:$T$10,$U$3:$U$10)*XLOOKUP(E$2,$AA$3:$AA$5,$AB$3:$AB$5)-ABS(XLOOKUP($C844,$Q$3:$Q$16,$R$3:$R$16)))*$B844,-5)</f>
        <v>36800000</v>
      </c>
      <c r="F844" s="16">
        <f t="shared" si="2529"/>
        <v>63100000</v>
      </c>
      <c r="G844" s="16">
        <f t="shared" si="2529"/>
        <v>68600000</v>
      </c>
      <c r="H844" s="17">
        <f t="shared" ref="H844:J844" si="2530">roundup((XLOOKUP($D844,$T$3:$T$10,$U$3:$U$10)*XLOOKUP(H$2,$AA$3:$AA$5,$AC$3:$AC$5)-ABS(XLOOKUP($C844,$Q$3:$Q$16,$R$3:$R$16)))*$B844,-5)</f>
        <v>30800000</v>
      </c>
      <c r="I844" s="17">
        <f t="shared" si="2530"/>
        <v>77500000</v>
      </c>
      <c r="J844" s="17">
        <f t="shared" si="2530"/>
        <v>83900000</v>
      </c>
      <c r="K844" s="17">
        <f t="shared" ref="K844:M844" si="2531">roundup((XLOOKUP($D844,$T$3:$T$10,$U$3:$U$10)*XLOOKUP(K$2,$AA$3:$AA$5,$AD$3:$AD$5)-ABS(XLOOKUP($C844,$Q$3:$Q$16,$R$3:$R$16)))*$B844,-5)</f>
        <v>35900000</v>
      </c>
      <c r="L844" s="17">
        <f t="shared" si="2531"/>
        <v>87200000</v>
      </c>
      <c r="M844" s="17">
        <f t="shared" si="2531"/>
        <v>94200000</v>
      </c>
    </row>
    <row r="845">
      <c r="A845" s="14" t="s">
        <v>888</v>
      </c>
      <c r="B845" s="14">
        <v>119.0</v>
      </c>
      <c r="C845" s="15">
        <f t="shared" si="4"/>
        <v>11</v>
      </c>
      <c r="D845" s="14" t="s">
        <v>36</v>
      </c>
      <c r="E845" s="16">
        <f t="shared" ref="E845:G845" si="2532">ROUNDUP((XLOOKUP($D845,$T$3:$T$10,$U$3:$U$10)*XLOOKUP(E$2,$AA$3:$AA$5,$AB$3:$AB$5)-ABS(XLOOKUP($C845,$Q$3:$Q$16,$R$3:$R$16)))*$B845,-5)</f>
        <v>31200000</v>
      </c>
      <c r="F845" s="16">
        <f t="shared" si="2532"/>
        <v>53700000</v>
      </c>
      <c r="G845" s="16">
        <f t="shared" si="2532"/>
        <v>58300000</v>
      </c>
      <c r="H845" s="17">
        <f t="shared" ref="H845:J845" si="2533">roundup((XLOOKUP($D845,$T$3:$T$10,$U$3:$U$10)*XLOOKUP(H$2,$AA$3:$AA$5,$AC$3:$AC$5)-ABS(XLOOKUP($C845,$Q$3:$Q$16,$R$3:$R$16)))*$B845,-5)</f>
        <v>26100000</v>
      </c>
      <c r="I845" s="17">
        <f t="shared" si="2533"/>
        <v>65900000</v>
      </c>
      <c r="J845" s="17">
        <f t="shared" si="2533"/>
        <v>71300000</v>
      </c>
      <c r="K845" s="17">
        <f t="shared" ref="K845:M845" si="2534">roundup((XLOOKUP($D845,$T$3:$T$10,$U$3:$U$10)*XLOOKUP(K$2,$AA$3:$AA$5,$AD$3:$AD$5)-ABS(XLOOKUP($C845,$Q$3:$Q$16,$R$3:$R$16)))*$B845,-5)</f>
        <v>30600000</v>
      </c>
      <c r="L845" s="17">
        <f t="shared" si="2534"/>
        <v>74100000</v>
      </c>
      <c r="M845" s="17">
        <f t="shared" si="2534"/>
        <v>80100000</v>
      </c>
    </row>
    <row r="846">
      <c r="A846" s="14" t="s">
        <v>889</v>
      </c>
      <c r="B846" s="14">
        <v>218.0</v>
      </c>
      <c r="C846" s="15">
        <f t="shared" si="4"/>
        <v>13</v>
      </c>
      <c r="D846" s="14" t="s">
        <v>36</v>
      </c>
      <c r="E846" s="16">
        <f t="shared" ref="E846:G846" si="2535">ROUNDUP((XLOOKUP($D846,$T$3:$T$10,$U$3:$U$10)*XLOOKUP(E$2,$AA$3:$AA$5,$AB$3:$AB$5)-ABS(XLOOKUP($C846,$Q$3:$Q$16,$R$3:$R$16)))*$B846,-5)</f>
        <v>52800000</v>
      </c>
      <c r="F846" s="16">
        <f t="shared" si="2535"/>
        <v>93900000</v>
      </c>
      <c r="G846" s="16">
        <f t="shared" si="2535"/>
        <v>102400000</v>
      </c>
      <c r="H846" s="17">
        <f t="shared" ref="H846:J846" si="2536">roundup((XLOOKUP($D846,$T$3:$T$10,$U$3:$U$10)*XLOOKUP(H$2,$AA$3:$AA$5,$AC$3:$AC$5)-ABS(XLOOKUP($C846,$Q$3:$Q$16,$R$3:$R$16)))*$B846,-5)</f>
        <v>43500000</v>
      </c>
      <c r="I846" s="17">
        <f t="shared" si="2536"/>
        <v>116300000</v>
      </c>
      <c r="J846" s="17">
        <f t="shared" si="2536"/>
        <v>126200000</v>
      </c>
      <c r="K846" s="17">
        <f t="shared" ref="K846:M846" si="2537">roundup((XLOOKUP($D846,$T$3:$T$10,$U$3:$U$10)*XLOOKUP(K$2,$AA$3:$AA$5,$AD$3:$AD$5)-ABS(XLOOKUP($C846,$Q$3:$Q$16,$R$3:$R$16)))*$B846,-5)</f>
        <v>51600000</v>
      </c>
      <c r="L846" s="17">
        <f t="shared" si="2537"/>
        <v>131400000</v>
      </c>
      <c r="M846" s="17">
        <f t="shared" si="2537"/>
        <v>142300000</v>
      </c>
    </row>
    <row r="847">
      <c r="A847" s="14" t="s">
        <v>890</v>
      </c>
      <c r="B847" s="14">
        <v>152.0</v>
      </c>
      <c r="C847" s="15">
        <f t="shared" si="4"/>
        <v>11</v>
      </c>
      <c r="D847" s="14" t="s">
        <v>36</v>
      </c>
      <c r="E847" s="16">
        <f t="shared" ref="E847:G847" si="2538">ROUNDUP((XLOOKUP($D847,$T$3:$T$10,$U$3:$U$10)*XLOOKUP(E$2,$AA$3:$AA$5,$AB$3:$AB$5)-ABS(XLOOKUP($C847,$Q$3:$Q$16,$R$3:$R$16)))*$B847,-5)</f>
        <v>39900000</v>
      </c>
      <c r="F847" s="16">
        <f t="shared" si="2538"/>
        <v>68500000</v>
      </c>
      <c r="G847" s="16">
        <f t="shared" si="2538"/>
        <v>74500000</v>
      </c>
      <c r="H847" s="17">
        <f t="shared" ref="H847:J847" si="2539">roundup((XLOOKUP($D847,$T$3:$T$10,$U$3:$U$10)*XLOOKUP(H$2,$AA$3:$AA$5,$AC$3:$AC$5)-ABS(XLOOKUP($C847,$Q$3:$Q$16,$R$3:$R$16)))*$B847,-5)</f>
        <v>33400000</v>
      </c>
      <c r="I847" s="17">
        <f t="shared" si="2539"/>
        <v>84100000</v>
      </c>
      <c r="J847" s="17">
        <f t="shared" si="2539"/>
        <v>91000000</v>
      </c>
      <c r="K847" s="17">
        <f t="shared" ref="K847:M847" si="2540">roundup((XLOOKUP($D847,$T$3:$T$10,$U$3:$U$10)*XLOOKUP(K$2,$AA$3:$AA$5,$AD$3:$AD$5)-ABS(XLOOKUP($C847,$Q$3:$Q$16,$R$3:$R$16)))*$B847,-5)</f>
        <v>39000000</v>
      </c>
      <c r="L847" s="17">
        <f t="shared" si="2540"/>
        <v>94700000</v>
      </c>
      <c r="M847" s="17">
        <f t="shared" si="2540"/>
        <v>102300000</v>
      </c>
    </row>
    <row r="848">
      <c r="A848" s="14" t="s">
        <v>891</v>
      </c>
      <c r="B848" s="14">
        <v>128.0</v>
      </c>
      <c r="C848" s="15">
        <f t="shared" si="4"/>
        <v>11</v>
      </c>
      <c r="D848" s="14" t="s">
        <v>36</v>
      </c>
      <c r="E848" s="16">
        <f t="shared" ref="E848:G848" si="2541">ROUNDUP((XLOOKUP($D848,$T$3:$T$10,$U$3:$U$10)*XLOOKUP(E$2,$AA$3:$AA$5,$AB$3:$AB$5)-ABS(XLOOKUP($C848,$Q$3:$Q$16,$R$3:$R$16)))*$B848,-5)</f>
        <v>33600000</v>
      </c>
      <c r="F848" s="16">
        <f t="shared" si="2541"/>
        <v>57700000</v>
      </c>
      <c r="G848" s="16">
        <f t="shared" si="2541"/>
        <v>62700000</v>
      </c>
      <c r="H848" s="17">
        <f t="shared" ref="H848:J848" si="2542">roundup((XLOOKUP($D848,$T$3:$T$10,$U$3:$U$10)*XLOOKUP(H$2,$AA$3:$AA$5,$AC$3:$AC$5)-ABS(XLOOKUP($C848,$Q$3:$Q$16,$R$3:$R$16)))*$B848,-5)</f>
        <v>28100000</v>
      </c>
      <c r="I848" s="17">
        <f t="shared" si="2542"/>
        <v>70900000</v>
      </c>
      <c r="J848" s="17">
        <f t="shared" si="2542"/>
        <v>76700000</v>
      </c>
      <c r="K848" s="17">
        <f t="shared" ref="K848:M848" si="2543">roundup((XLOOKUP($D848,$T$3:$T$10,$U$3:$U$10)*XLOOKUP(K$2,$AA$3:$AA$5,$AD$3:$AD$5)-ABS(XLOOKUP($C848,$Q$3:$Q$16,$R$3:$R$16)))*$B848,-5)</f>
        <v>32900000</v>
      </c>
      <c r="L848" s="17">
        <f t="shared" si="2543"/>
        <v>79700000</v>
      </c>
      <c r="M848" s="17">
        <f t="shared" si="2543"/>
        <v>86200000</v>
      </c>
    </row>
    <row r="849">
      <c r="A849" s="14" t="s">
        <v>892</v>
      </c>
      <c r="B849" s="14">
        <v>128.0</v>
      </c>
      <c r="C849" s="15">
        <f t="shared" si="4"/>
        <v>11</v>
      </c>
      <c r="D849" s="14" t="s">
        <v>33</v>
      </c>
      <c r="E849" s="16">
        <f t="shared" ref="E849:G849" si="2544">ROUNDUP((XLOOKUP($D849,$T$3:$T$10,$U$3:$U$10)*XLOOKUP(E$2,$AA$3:$AA$5,$AB$3:$AB$5)-ABS(XLOOKUP($C849,$Q$3:$Q$16,$R$3:$R$16)))*$B849,-5)</f>
        <v>27800000</v>
      </c>
      <c r="F849" s="16">
        <f t="shared" si="2544"/>
        <v>49300000</v>
      </c>
      <c r="G849" s="16">
        <f t="shared" si="2544"/>
        <v>53700000</v>
      </c>
      <c r="H849" s="17">
        <f t="shared" ref="H849:J849" si="2545">roundup((XLOOKUP($D849,$T$3:$T$10,$U$3:$U$10)*XLOOKUP(H$2,$AA$3:$AA$5,$AC$3:$AC$5)-ABS(XLOOKUP($C849,$Q$3:$Q$16,$R$3:$R$16)))*$B849,-5)</f>
        <v>22900000</v>
      </c>
      <c r="I849" s="17">
        <f t="shared" si="2545"/>
        <v>61000000</v>
      </c>
      <c r="J849" s="17">
        <f t="shared" si="2545"/>
        <v>66200000</v>
      </c>
      <c r="K849" s="17">
        <f t="shared" ref="K849:M849" si="2546">roundup((XLOOKUP($D849,$T$3:$T$10,$U$3:$U$10)*XLOOKUP(K$2,$AA$3:$AA$5,$AD$3:$AD$5)-ABS(XLOOKUP($C849,$Q$3:$Q$16,$R$3:$R$16)))*$B849,-5)</f>
        <v>27100000</v>
      </c>
      <c r="L849" s="17">
        <f t="shared" si="2546"/>
        <v>69000000</v>
      </c>
      <c r="M849" s="17">
        <f t="shared" si="2546"/>
        <v>74700000</v>
      </c>
    </row>
    <row r="850">
      <c r="A850" s="14" t="s">
        <v>893</v>
      </c>
      <c r="B850" s="14">
        <v>128.0</v>
      </c>
      <c r="C850" s="15">
        <f t="shared" si="4"/>
        <v>11</v>
      </c>
      <c r="D850" s="14" t="s">
        <v>33</v>
      </c>
      <c r="E850" s="16">
        <f t="shared" ref="E850:G850" si="2547">ROUNDUP((XLOOKUP($D850,$T$3:$T$10,$U$3:$U$10)*XLOOKUP(E$2,$AA$3:$AA$5,$AB$3:$AB$5)-ABS(XLOOKUP($C850,$Q$3:$Q$16,$R$3:$R$16)))*$B850,-5)</f>
        <v>27800000</v>
      </c>
      <c r="F850" s="16">
        <f t="shared" si="2547"/>
        <v>49300000</v>
      </c>
      <c r="G850" s="16">
        <f t="shared" si="2547"/>
        <v>53700000</v>
      </c>
      <c r="H850" s="17">
        <f t="shared" ref="H850:J850" si="2548">roundup((XLOOKUP($D850,$T$3:$T$10,$U$3:$U$10)*XLOOKUP(H$2,$AA$3:$AA$5,$AC$3:$AC$5)-ABS(XLOOKUP($C850,$Q$3:$Q$16,$R$3:$R$16)))*$B850,-5)</f>
        <v>22900000</v>
      </c>
      <c r="I850" s="17">
        <f t="shared" si="2548"/>
        <v>61000000</v>
      </c>
      <c r="J850" s="17">
        <f t="shared" si="2548"/>
        <v>66200000</v>
      </c>
      <c r="K850" s="17">
        <f t="shared" ref="K850:M850" si="2549">roundup((XLOOKUP($D850,$T$3:$T$10,$U$3:$U$10)*XLOOKUP(K$2,$AA$3:$AA$5,$AD$3:$AD$5)-ABS(XLOOKUP($C850,$Q$3:$Q$16,$R$3:$R$16)))*$B850,-5)</f>
        <v>27100000</v>
      </c>
      <c r="L850" s="17">
        <f t="shared" si="2549"/>
        <v>69000000</v>
      </c>
      <c r="M850" s="17">
        <f t="shared" si="2549"/>
        <v>74700000</v>
      </c>
    </row>
    <row r="851">
      <c r="A851" s="14" t="s">
        <v>894</v>
      </c>
      <c r="B851" s="14">
        <v>204.0</v>
      </c>
      <c r="C851" s="15">
        <f t="shared" si="4"/>
        <v>13</v>
      </c>
      <c r="D851" s="14" t="s">
        <v>33</v>
      </c>
      <c r="E851" s="16">
        <f t="shared" ref="E851:G851" si="2550">ROUNDUP((XLOOKUP($D851,$T$3:$T$10,$U$3:$U$10)*XLOOKUP(E$2,$AA$3:$AA$5,$AB$3:$AB$5)-ABS(XLOOKUP($C851,$Q$3:$Q$16,$R$3:$R$16)))*$B851,-5)</f>
        <v>40200000</v>
      </c>
      <c r="F851" s="16">
        <f t="shared" si="2550"/>
        <v>74500000</v>
      </c>
      <c r="G851" s="16">
        <f t="shared" si="2550"/>
        <v>81500000</v>
      </c>
      <c r="H851" s="17">
        <f t="shared" ref="H851:J851" si="2551">roundup((XLOOKUP($D851,$T$3:$T$10,$U$3:$U$10)*XLOOKUP(H$2,$AA$3:$AA$5,$AC$3:$AC$5)-ABS(XLOOKUP($C851,$Q$3:$Q$16,$R$3:$R$16)))*$B851,-5)</f>
        <v>32400000</v>
      </c>
      <c r="I851" s="17">
        <f t="shared" si="2551"/>
        <v>93100000</v>
      </c>
      <c r="J851" s="17">
        <f t="shared" si="2551"/>
        <v>101400000</v>
      </c>
      <c r="K851" s="17">
        <f t="shared" ref="K851:M851" si="2552">roundup((XLOOKUP($D851,$T$3:$T$10,$U$3:$U$10)*XLOOKUP(K$2,$AA$3:$AA$5,$AD$3:$AD$5)-ABS(XLOOKUP($C851,$Q$3:$Q$16,$R$3:$R$16)))*$B851,-5)</f>
        <v>39100000</v>
      </c>
      <c r="L851" s="17">
        <f t="shared" si="2552"/>
        <v>105800000</v>
      </c>
      <c r="M851" s="17">
        <f t="shared" si="2552"/>
        <v>114900000</v>
      </c>
    </row>
    <row r="852">
      <c r="A852" s="14" t="s">
        <v>895</v>
      </c>
      <c r="B852" s="14">
        <v>135.0</v>
      </c>
      <c r="C852" s="15">
        <f t="shared" si="4"/>
        <v>11</v>
      </c>
      <c r="D852" s="14" t="s">
        <v>33</v>
      </c>
      <c r="E852" s="16">
        <f t="shared" ref="E852:G852" si="2553">ROUNDUP((XLOOKUP($D852,$T$3:$T$10,$U$3:$U$10)*XLOOKUP(E$2,$AA$3:$AA$5,$AB$3:$AB$5)-ABS(XLOOKUP($C852,$Q$3:$Q$16,$R$3:$R$16)))*$B852,-5)</f>
        <v>29300000</v>
      </c>
      <c r="F852" s="16">
        <f t="shared" si="2553"/>
        <v>52000000</v>
      </c>
      <c r="G852" s="16">
        <f t="shared" si="2553"/>
        <v>56700000</v>
      </c>
      <c r="H852" s="17">
        <f t="shared" ref="H852:J852" si="2554">roundup((XLOOKUP($D852,$T$3:$T$10,$U$3:$U$10)*XLOOKUP(H$2,$AA$3:$AA$5,$AC$3:$AC$5)-ABS(XLOOKUP($C852,$Q$3:$Q$16,$R$3:$R$16)))*$B852,-5)</f>
        <v>24100000</v>
      </c>
      <c r="I852" s="17">
        <f t="shared" si="2554"/>
        <v>64300000</v>
      </c>
      <c r="J852" s="17">
        <f t="shared" si="2554"/>
        <v>69800000</v>
      </c>
      <c r="K852" s="17">
        <f t="shared" ref="K852:M852" si="2555">roundup((XLOOKUP($D852,$T$3:$T$10,$U$3:$U$10)*XLOOKUP(K$2,$AA$3:$AA$5,$AD$3:$AD$5)-ABS(XLOOKUP($C852,$Q$3:$Q$16,$R$3:$R$16)))*$B852,-5)</f>
        <v>28600000</v>
      </c>
      <c r="L852" s="17">
        <f t="shared" si="2555"/>
        <v>72700000</v>
      </c>
      <c r="M852" s="17">
        <f t="shared" si="2555"/>
        <v>78700000</v>
      </c>
    </row>
    <row r="853">
      <c r="A853" s="14" t="s">
        <v>896</v>
      </c>
      <c r="B853" s="14">
        <v>62.0</v>
      </c>
      <c r="C853" s="15">
        <f t="shared" si="4"/>
        <v>9</v>
      </c>
      <c r="D853" s="14" t="s">
        <v>33</v>
      </c>
      <c r="E853" s="16">
        <f t="shared" ref="E853:G853" si="2556">ROUNDUP((XLOOKUP($D853,$T$3:$T$10,$U$3:$U$10)*XLOOKUP(E$2,$AA$3:$AA$5,$AB$3:$AB$5)-ABS(XLOOKUP($C853,$Q$3:$Q$16,$R$3:$R$16)))*$B853,-5)</f>
        <v>19100000</v>
      </c>
      <c r="F853" s="16">
        <f t="shared" si="2556"/>
        <v>29500000</v>
      </c>
      <c r="G853" s="16">
        <f t="shared" si="2556"/>
        <v>31700000</v>
      </c>
      <c r="H853" s="17">
        <f t="shared" ref="H853:J853" si="2557">roundup((XLOOKUP($D853,$T$3:$T$10,$U$3:$U$10)*XLOOKUP(H$2,$AA$3:$AA$5,$AC$3:$AC$5)-ABS(XLOOKUP($C853,$Q$3:$Q$16,$R$3:$R$16)))*$B853,-5)</f>
        <v>16800000</v>
      </c>
      <c r="I853" s="17">
        <f t="shared" si="2557"/>
        <v>35200000</v>
      </c>
      <c r="J853" s="17">
        <f t="shared" si="2557"/>
        <v>37700000</v>
      </c>
      <c r="K853" s="17">
        <f t="shared" ref="K853:M853" si="2558">roundup((XLOOKUP($D853,$T$3:$T$10,$U$3:$U$10)*XLOOKUP(K$2,$AA$3:$AA$5,$AD$3:$AD$5)-ABS(XLOOKUP($C853,$Q$3:$Q$16,$R$3:$R$16)))*$B853,-5)</f>
        <v>18800000</v>
      </c>
      <c r="L853" s="17">
        <f t="shared" si="2558"/>
        <v>39100000</v>
      </c>
      <c r="M853" s="17">
        <f t="shared" si="2558"/>
        <v>41800000</v>
      </c>
    </row>
    <row r="854">
      <c r="A854" s="14" t="s">
        <v>897</v>
      </c>
      <c r="B854" s="14">
        <v>125.0</v>
      </c>
      <c r="C854" s="15">
        <f t="shared" si="4"/>
        <v>11</v>
      </c>
      <c r="D854" s="14" t="s">
        <v>33</v>
      </c>
      <c r="E854" s="16">
        <f t="shared" ref="E854:G854" si="2559">ROUNDUP((XLOOKUP($D854,$T$3:$T$10,$U$3:$U$10)*XLOOKUP(E$2,$AA$3:$AA$5,$AB$3:$AB$5)-ABS(XLOOKUP($C854,$Q$3:$Q$16,$R$3:$R$16)))*$B854,-5)</f>
        <v>27100000</v>
      </c>
      <c r="F854" s="16">
        <f t="shared" si="2559"/>
        <v>48100000</v>
      </c>
      <c r="G854" s="16">
        <f t="shared" si="2559"/>
        <v>52500000</v>
      </c>
      <c r="H854" s="17">
        <f t="shared" ref="H854:J854" si="2560">roundup((XLOOKUP($D854,$T$3:$T$10,$U$3:$U$10)*XLOOKUP(H$2,$AA$3:$AA$5,$AC$3:$AC$5)-ABS(XLOOKUP($C854,$Q$3:$Q$16,$R$3:$R$16)))*$B854,-5)</f>
        <v>22400000</v>
      </c>
      <c r="I854" s="17">
        <f t="shared" si="2560"/>
        <v>59600000</v>
      </c>
      <c r="J854" s="17">
        <f t="shared" si="2560"/>
        <v>64700000</v>
      </c>
      <c r="K854" s="17">
        <f t="shared" ref="K854:M854" si="2561">roundup((XLOOKUP($D854,$T$3:$T$10,$U$3:$U$10)*XLOOKUP(K$2,$AA$3:$AA$5,$AD$3:$AD$5)-ABS(XLOOKUP($C854,$Q$3:$Q$16,$R$3:$R$16)))*$B854,-5)</f>
        <v>26500000</v>
      </c>
      <c r="L854" s="17">
        <f t="shared" si="2561"/>
        <v>67300000</v>
      </c>
      <c r="M854" s="17">
        <f t="shared" si="2561"/>
        <v>72900000</v>
      </c>
    </row>
    <row r="855">
      <c r="A855" s="14" t="s">
        <v>898</v>
      </c>
      <c r="B855" s="14">
        <v>187.0</v>
      </c>
      <c r="C855" s="15">
        <f t="shared" si="4"/>
        <v>13</v>
      </c>
      <c r="D855" s="14" t="s">
        <v>33</v>
      </c>
      <c r="E855" s="16">
        <f t="shared" ref="E855:G855" si="2562">ROUNDUP((XLOOKUP($D855,$T$3:$T$10,$U$3:$U$10)*XLOOKUP(E$2,$AA$3:$AA$5,$AB$3:$AB$5)-ABS(XLOOKUP($C855,$Q$3:$Q$16,$R$3:$R$16)))*$B855,-5)</f>
        <v>36800000</v>
      </c>
      <c r="F855" s="16">
        <f t="shared" si="2562"/>
        <v>68300000</v>
      </c>
      <c r="G855" s="16">
        <f t="shared" si="2562"/>
        <v>74800000</v>
      </c>
      <c r="H855" s="17">
        <f t="shared" ref="H855:J855" si="2563">roundup((XLOOKUP($D855,$T$3:$T$10,$U$3:$U$10)*XLOOKUP(H$2,$AA$3:$AA$5,$AC$3:$AC$5)-ABS(XLOOKUP($C855,$Q$3:$Q$16,$R$3:$R$16)))*$B855,-5)</f>
        <v>29700000</v>
      </c>
      <c r="I855" s="17">
        <f t="shared" si="2563"/>
        <v>85400000</v>
      </c>
      <c r="J855" s="17">
        <f t="shared" si="2563"/>
        <v>93000000</v>
      </c>
      <c r="K855" s="17">
        <f t="shared" ref="K855:M855" si="2564">roundup((XLOOKUP($D855,$T$3:$T$10,$U$3:$U$10)*XLOOKUP(K$2,$AA$3:$AA$5,$AD$3:$AD$5)-ABS(XLOOKUP($C855,$Q$3:$Q$16,$R$3:$R$16)))*$B855,-5)</f>
        <v>35900000</v>
      </c>
      <c r="L855" s="17">
        <f t="shared" si="2564"/>
        <v>97000000</v>
      </c>
      <c r="M855" s="17">
        <f t="shared" si="2564"/>
        <v>105300000</v>
      </c>
    </row>
    <row r="856">
      <c r="A856" s="14" t="s">
        <v>899</v>
      </c>
      <c r="B856" s="14">
        <v>114.0</v>
      </c>
      <c r="C856" s="15">
        <f t="shared" si="4"/>
        <v>11</v>
      </c>
      <c r="D856" s="14" t="s">
        <v>36</v>
      </c>
      <c r="E856" s="16">
        <f t="shared" ref="E856:G856" si="2565">ROUNDUP((XLOOKUP($D856,$T$3:$T$10,$U$3:$U$10)*XLOOKUP(E$2,$AA$3:$AA$5,$AB$3:$AB$5)-ABS(XLOOKUP($C856,$Q$3:$Q$16,$R$3:$R$16)))*$B856,-5)</f>
        <v>29900000</v>
      </c>
      <c r="F856" s="16">
        <f t="shared" si="2565"/>
        <v>51400000</v>
      </c>
      <c r="G856" s="16">
        <f t="shared" si="2565"/>
        <v>55900000</v>
      </c>
      <c r="H856" s="17">
        <f t="shared" ref="H856:J856" si="2566">roundup((XLOOKUP($D856,$T$3:$T$10,$U$3:$U$10)*XLOOKUP(H$2,$AA$3:$AA$5,$AC$3:$AC$5)-ABS(XLOOKUP($C856,$Q$3:$Q$16,$R$3:$R$16)))*$B856,-5)</f>
        <v>25100000</v>
      </c>
      <c r="I856" s="17">
        <f t="shared" si="2566"/>
        <v>63100000</v>
      </c>
      <c r="J856" s="17">
        <f t="shared" si="2566"/>
        <v>68300000</v>
      </c>
      <c r="K856" s="17">
        <f t="shared" ref="K856:M856" si="2567">roundup((XLOOKUP($D856,$T$3:$T$10,$U$3:$U$10)*XLOOKUP(K$2,$AA$3:$AA$5,$AD$3:$AD$5)-ABS(XLOOKUP($C856,$Q$3:$Q$16,$R$3:$R$16)))*$B856,-5)</f>
        <v>29300000</v>
      </c>
      <c r="L856" s="17">
        <f t="shared" si="2567"/>
        <v>71000000</v>
      </c>
      <c r="M856" s="17">
        <f t="shared" si="2567"/>
        <v>76700000</v>
      </c>
    </row>
    <row r="857">
      <c r="A857" s="14" t="s">
        <v>900</v>
      </c>
      <c r="B857" s="14">
        <v>135.0</v>
      </c>
      <c r="C857" s="15">
        <f t="shared" si="4"/>
        <v>11</v>
      </c>
      <c r="D857" s="14" t="s">
        <v>36</v>
      </c>
      <c r="E857" s="16">
        <f t="shared" ref="E857:G857" si="2568">ROUNDUP((XLOOKUP($D857,$T$3:$T$10,$U$3:$U$10)*XLOOKUP(E$2,$AA$3:$AA$5,$AB$3:$AB$5)-ABS(XLOOKUP($C857,$Q$3:$Q$16,$R$3:$R$16)))*$B857,-5)</f>
        <v>35400000</v>
      </c>
      <c r="F857" s="16">
        <f t="shared" si="2568"/>
        <v>60900000</v>
      </c>
      <c r="G857" s="16">
        <f t="shared" si="2568"/>
        <v>66100000</v>
      </c>
      <c r="H857" s="17">
        <f t="shared" ref="H857:J857" si="2569">roundup((XLOOKUP($D857,$T$3:$T$10,$U$3:$U$10)*XLOOKUP(H$2,$AA$3:$AA$5,$AC$3:$AC$5)-ABS(XLOOKUP($C857,$Q$3:$Q$16,$R$3:$R$16)))*$B857,-5)</f>
        <v>29700000</v>
      </c>
      <c r="I857" s="17">
        <f t="shared" si="2569"/>
        <v>74700000</v>
      </c>
      <c r="J857" s="17">
        <f t="shared" si="2569"/>
        <v>80900000</v>
      </c>
      <c r="K857" s="17">
        <f t="shared" ref="K857:M857" si="2570">roundup((XLOOKUP($D857,$T$3:$T$10,$U$3:$U$10)*XLOOKUP(K$2,$AA$3:$AA$5,$AD$3:$AD$5)-ABS(XLOOKUP($C857,$Q$3:$Q$16,$R$3:$R$16)))*$B857,-5)</f>
        <v>34700000</v>
      </c>
      <c r="L857" s="17">
        <f t="shared" si="2570"/>
        <v>84100000</v>
      </c>
      <c r="M857" s="17">
        <f t="shared" si="2570"/>
        <v>90900000</v>
      </c>
    </row>
    <row r="858">
      <c r="A858" s="14" t="s">
        <v>901</v>
      </c>
      <c r="B858" s="14">
        <v>140.0</v>
      </c>
      <c r="C858" s="15">
        <f t="shared" si="4"/>
        <v>11</v>
      </c>
      <c r="D858" s="14" t="s">
        <v>36</v>
      </c>
      <c r="E858" s="16">
        <f t="shared" ref="E858:G858" si="2571">ROUNDUP((XLOOKUP($D858,$T$3:$T$10,$U$3:$U$10)*XLOOKUP(E$2,$AA$3:$AA$5,$AB$3:$AB$5)-ABS(XLOOKUP($C858,$Q$3:$Q$16,$R$3:$R$16)))*$B858,-5)</f>
        <v>36800000</v>
      </c>
      <c r="F858" s="16">
        <f t="shared" si="2571"/>
        <v>63100000</v>
      </c>
      <c r="G858" s="16">
        <f t="shared" si="2571"/>
        <v>68600000</v>
      </c>
      <c r="H858" s="17">
        <f t="shared" ref="H858:J858" si="2572">roundup((XLOOKUP($D858,$T$3:$T$10,$U$3:$U$10)*XLOOKUP(H$2,$AA$3:$AA$5,$AC$3:$AC$5)-ABS(XLOOKUP($C858,$Q$3:$Q$16,$R$3:$R$16)))*$B858,-5)</f>
        <v>30800000</v>
      </c>
      <c r="I858" s="17">
        <f t="shared" si="2572"/>
        <v>77500000</v>
      </c>
      <c r="J858" s="17">
        <f t="shared" si="2572"/>
        <v>83900000</v>
      </c>
      <c r="K858" s="17">
        <f t="shared" ref="K858:M858" si="2573">roundup((XLOOKUP($D858,$T$3:$T$10,$U$3:$U$10)*XLOOKUP(K$2,$AA$3:$AA$5,$AD$3:$AD$5)-ABS(XLOOKUP($C858,$Q$3:$Q$16,$R$3:$R$16)))*$B858,-5)</f>
        <v>35900000</v>
      </c>
      <c r="L858" s="17">
        <f t="shared" si="2573"/>
        <v>87200000</v>
      </c>
      <c r="M858" s="17">
        <f t="shared" si="2573"/>
        <v>94200000</v>
      </c>
    </row>
    <row r="859">
      <c r="A859" s="14" t="s">
        <v>902</v>
      </c>
      <c r="B859" s="14">
        <v>109.0</v>
      </c>
      <c r="C859" s="15">
        <f t="shared" si="4"/>
        <v>11</v>
      </c>
      <c r="D859" s="14" t="s">
        <v>36</v>
      </c>
      <c r="E859" s="16">
        <f t="shared" ref="E859:G859" si="2574">ROUNDUP((XLOOKUP($D859,$T$3:$T$10,$U$3:$U$10)*XLOOKUP(E$2,$AA$3:$AA$5,$AB$3:$AB$5)-ABS(XLOOKUP($C859,$Q$3:$Q$16,$R$3:$R$16)))*$B859,-5)</f>
        <v>28600000</v>
      </c>
      <c r="F859" s="16">
        <f t="shared" si="2574"/>
        <v>49200000</v>
      </c>
      <c r="G859" s="16">
        <f t="shared" si="2574"/>
        <v>53400000</v>
      </c>
      <c r="H859" s="17">
        <f t="shared" ref="H859:J859" si="2575">roundup((XLOOKUP($D859,$T$3:$T$10,$U$3:$U$10)*XLOOKUP(H$2,$AA$3:$AA$5,$AC$3:$AC$5)-ABS(XLOOKUP($C859,$Q$3:$Q$16,$R$3:$R$16)))*$B859,-5)</f>
        <v>24000000</v>
      </c>
      <c r="I859" s="17">
        <f t="shared" si="2575"/>
        <v>60300000</v>
      </c>
      <c r="J859" s="17">
        <f t="shared" si="2575"/>
        <v>65300000</v>
      </c>
      <c r="K859" s="17">
        <f t="shared" ref="K859:M859" si="2576">roundup((XLOOKUP($D859,$T$3:$T$10,$U$3:$U$10)*XLOOKUP(K$2,$AA$3:$AA$5,$AD$3:$AD$5)-ABS(XLOOKUP($C859,$Q$3:$Q$16,$R$3:$R$16)))*$B859,-5)</f>
        <v>28000000</v>
      </c>
      <c r="L859" s="17">
        <f t="shared" si="2576"/>
        <v>67900000</v>
      </c>
      <c r="M859" s="17">
        <f t="shared" si="2576"/>
        <v>73400000</v>
      </c>
    </row>
    <row r="860">
      <c r="A860" s="14" t="s">
        <v>903</v>
      </c>
      <c r="B860" s="14">
        <v>59.0</v>
      </c>
      <c r="C860" s="15">
        <f t="shared" si="4"/>
        <v>8</v>
      </c>
      <c r="D860" s="14" t="s">
        <v>33</v>
      </c>
      <c r="E860" s="16">
        <f t="shared" ref="E860:G860" si="2577">ROUNDUP((XLOOKUP($D860,$T$3:$T$10,$U$3:$U$10)*XLOOKUP(E$2,$AA$3:$AA$5,$AB$3:$AB$5)-ABS(XLOOKUP($C860,$Q$3:$Q$16,$R$3:$R$16)))*$B860,-5)</f>
        <v>18400000</v>
      </c>
      <c r="F860" s="16">
        <f t="shared" si="2577"/>
        <v>28400000</v>
      </c>
      <c r="G860" s="16">
        <f t="shared" si="2577"/>
        <v>30400000</v>
      </c>
      <c r="H860" s="17">
        <f t="shared" ref="H860:J860" si="2578">roundup((XLOOKUP($D860,$T$3:$T$10,$U$3:$U$10)*XLOOKUP(H$2,$AA$3:$AA$5,$AC$3:$AC$5)-ABS(XLOOKUP($C860,$Q$3:$Q$16,$R$3:$R$16)))*$B860,-5)</f>
        <v>16200000</v>
      </c>
      <c r="I860" s="17">
        <f t="shared" si="2578"/>
        <v>33800000</v>
      </c>
      <c r="J860" s="17">
        <f t="shared" si="2578"/>
        <v>36100000</v>
      </c>
      <c r="K860" s="17">
        <f t="shared" ref="K860:M860" si="2579">roundup((XLOOKUP($D860,$T$3:$T$10,$U$3:$U$10)*XLOOKUP(K$2,$AA$3:$AA$5,$AD$3:$AD$5)-ABS(XLOOKUP($C860,$Q$3:$Q$16,$R$3:$R$16)))*$B860,-5)</f>
        <v>18100000</v>
      </c>
      <c r="L860" s="17">
        <f t="shared" si="2579"/>
        <v>37400000</v>
      </c>
      <c r="M860" s="17">
        <f t="shared" si="2579"/>
        <v>40000000</v>
      </c>
    </row>
    <row r="861">
      <c r="A861" s="14" t="s">
        <v>904</v>
      </c>
      <c r="B861" s="14">
        <v>204.0</v>
      </c>
      <c r="C861" s="15">
        <f t="shared" si="4"/>
        <v>13</v>
      </c>
      <c r="D861" s="14" t="s">
        <v>36</v>
      </c>
      <c r="E861" s="16">
        <f t="shared" ref="E861:G861" si="2580">ROUNDUP((XLOOKUP($D861,$T$3:$T$10,$U$3:$U$10)*XLOOKUP(E$2,$AA$3:$AA$5,$AB$3:$AB$5)-ABS(XLOOKUP($C861,$Q$3:$Q$16,$R$3:$R$16)))*$B861,-5)</f>
        <v>49500000</v>
      </c>
      <c r="F861" s="16">
        <f t="shared" si="2580"/>
        <v>87900000</v>
      </c>
      <c r="G861" s="16">
        <f t="shared" si="2580"/>
        <v>95800000</v>
      </c>
      <c r="H861" s="17">
        <f t="shared" ref="H861:J861" si="2581">roundup((XLOOKUP($D861,$T$3:$T$10,$U$3:$U$10)*XLOOKUP(H$2,$AA$3:$AA$5,$AC$3:$AC$5)-ABS(XLOOKUP($C861,$Q$3:$Q$16,$R$3:$R$16)))*$B861,-5)</f>
        <v>40700000</v>
      </c>
      <c r="I861" s="17">
        <f t="shared" si="2581"/>
        <v>108800000</v>
      </c>
      <c r="J861" s="17">
        <f t="shared" si="2581"/>
        <v>118100000</v>
      </c>
      <c r="K861" s="17">
        <f t="shared" ref="K861:M861" si="2582">roundup((XLOOKUP($D861,$T$3:$T$10,$U$3:$U$10)*XLOOKUP(K$2,$AA$3:$AA$5,$AD$3:$AD$5)-ABS(XLOOKUP($C861,$Q$3:$Q$16,$R$3:$R$16)))*$B861,-5)</f>
        <v>48300000</v>
      </c>
      <c r="L861" s="17">
        <f t="shared" si="2582"/>
        <v>123000000</v>
      </c>
      <c r="M861" s="17">
        <f t="shared" si="2582"/>
        <v>133200000</v>
      </c>
    </row>
    <row r="862">
      <c r="A862" s="14" t="s">
        <v>905</v>
      </c>
      <c r="B862" s="14">
        <v>72.0</v>
      </c>
      <c r="C862" s="15">
        <f t="shared" si="4"/>
        <v>9</v>
      </c>
      <c r="D862" s="14" t="s">
        <v>197</v>
      </c>
      <c r="E862" s="16">
        <f t="shared" ref="E862:G862" si="2583">ROUNDUP((XLOOKUP($D862,$T$3:$T$10,$U$3:$U$10)*XLOOKUP(E$2,$AA$3:$AA$5,$AB$3:$AB$5)-ABS(XLOOKUP($C862,$Q$3:$Q$16,$R$3:$R$16)))*$B862,-5)</f>
        <v>23600000</v>
      </c>
      <c r="F862" s="16">
        <f t="shared" si="2583"/>
        <v>36400000</v>
      </c>
      <c r="G862" s="16">
        <f t="shared" si="2583"/>
        <v>39000000</v>
      </c>
      <c r="H862" s="17">
        <f t="shared" ref="H862:J862" si="2584">roundup((XLOOKUP($D862,$T$3:$T$10,$U$3:$U$10)*XLOOKUP(H$2,$AA$3:$AA$5,$AC$3:$AC$5)-ABS(XLOOKUP($C862,$Q$3:$Q$16,$R$3:$R$16)))*$B862,-5)</f>
        <v>20700000</v>
      </c>
      <c r="I862" s="17">
        <f t="shared" si="2584"/>
        <v>43300000</v>
      </c>
      <c r="J862" s="17">
        <f t="shared" si="2584"/>
        <v>46400000</v>
      </c>
      <c r="K862" s="17">
        <f t="shared" ref="K862:M862" si="2585">roundup((XLOOKUP($D862,$T$3:$T$10,$U$3:$U$10)*XLOOKUP(K$2,$AA$3:$AA$5,$AD$3:$AD$5)-ABS(XLOOKUP($C862,$Q$3:$Q$16,$R$3:$R$16)))*$B862,-5)</f>
        <v>23200000</v>
      </c>
      <c r="L862" s="17">
        <f t="shared" si="2585"/>
        <v>48000000</v>
      </c>
      <c r="M862" s="17">
        <f t="shared" si="2585"/>
        <v>51400000</v>
      </c>
    </row>
    <row r="863">
      <c r="A863" s="14" t="s">
        <v>906</v>
      </c>
      <c r="B863" s="14">
        <v>78.0</v>
      </c>
      <c r="C863" s="15">
        <f t="shared" si="4"/>
        <v>10</v>
      </c>
      <c r="D863" s="14" t="s">
        <v>197</v>
      </c>
      <c r="E863" s="16">
        <f t="shared" ref="E863:G863" si="2586">ROUNDUP((XLOOKUP($D863,$T$3:$T$10,$U$3:$U$10)*XLOOKUP(E$2,$AA$3:$AA$5,$AB$3:$AB$5)-ABS(XLOOKUP($C863,$Q$3:$Q$16,$R$3:$R$16)))*$B863,-5)</f>
        <v>20800000</v>
      </c>
      <c r="F863" s="16">
        <f t="shared" si="2586"/>
        <v>34600000</v>
      </c>
      <c r="G863" s="16">
        <f t="shared" si="2586"/>
        <v>37500000</v>
      </c>
      <c r="H863" s="17">
        <f t="shared" ref="H863:J863" si="2587">roundup((XLOOKUP($D863,$T$3:$T$10,$U$3:$U$10)*XLOOKUP(H$2,$AA$3:$AA$5,$AC$3:$AC$5)-ABS(XLOOKUP($C863,$Q$3:$Q$16,$R$3:$R$16)))*$B863,-5)</f>
        <v>17700000</v>
      </c>
      <c r="I863" s="17">
        <f t="shared" si="2587"/>
        <v>42200000</v>
      </c>
      <c r="J863" s="17">
        <f t="shared" si="2587"/>
        <v>45500000</v>
      </c>
      <c r="K863" s="17">
        <f t="shared" ref="K863:M863" si="2588">roundup((XLOOKUP($D863,$T$3:$T$10,$U$3:$U$10)*XLOOKUP(K$2,$AA$3:$AA$5,$AD$3:$AD$5)-ABS(XLOOKUP($C863,$Q$3:$Q$16,$R$3:$R$16)))*$B863,-5)</f>
        <v>20400000</v>
      </c>
      <c r="L863" s="17">
        <f t="shared" si="2588"/>
        <v>47200000</v>
      </c>
      <c r="M863" s="17">
        <f t="shared" si="2588"/>
        <v>50900000</v>
      </c>
    </row>
    <row r="864">
      <c r="A864" s="14" t="s">
        <v>907</v>
      </c>
      <c r="B864" s="14">
        <v>112.0</v>
      </c>
      <c r="C864" s="15">
        <f t="shared" si="4"/>
        <v>11</v>
      </c>
      <c r="D864" s="14" t="s">
        <v>197</v>
      </c>
      <c r="E864" s="16">
        <f t="shared" ref="E864:G864" si="2589">ROUNDUP((XLOOKUP($D864,$T$3:$T$10,$U$3:$U$10)*XLOOKUP(E$2,$AA$3:$AA$5,$AB$3:$AB$5)-ABS(XLOOKUP($C864,$Q$3:$Q$16,$R$3:$R$16)))*$B864,-5)</f>
        <v>26500000</v>
      </c>
      <c r="F864" s="16">
        <f t="shared" si="2589"/>
        <v>46400000</v>
      </c>
      <c r="G864" s="16">
        <f t="shared" si="2589"/>
        <v>50400000</v>
      </c>
      <c r="H864" s="17">
        <f t="shared" ref="H864:J864" si="2590">roundup((XLOOKUP($D864,$T$3:$T$10,$U$3:$U$10)*XLOOKUP(H$2,$AA$3:$AA$5,$AC$3:$AC$5)-ABS(XLOOKUP($C864,$Q$3:$Q$16,$R$3:$R$16)))*$B864,-5)</f>
        <v>22000000</v>
      </c>
      <c r="I864" s="17">
        <f t="shared" si="2590"/>
        <v>57100000</v>
      </c>
      <c r="J864" s="17">
        <f t="shared" si="2590"/>
        <v>61900000</v>
      </c>
      <c r="K864" s="17">
        <f t="shared" ref="K864:M864" si="2591">roundup((XLOOKUP($D864,$T$3:$T$10,$U$3:$U$10)*XLOOKUP(K$2,$AA$3:$AA$5,$AD$3:$AD$5)-ABS(XLOOKUP($C864,$Q$3:$Q$16,$R$3:$R$16)))*$B864,-5)</f>
        <v>25900000</v>
      </c>
      <c r="L864" s="17">
        <f t="shared" si="2591"/>
        <v>64500000</v>
      </c>
      <c r="M864" s="17">
        <f t="shared" si="2591"/>
        <v>69700000</v>
      </c>
    </row>
    <row r="865">
      <c r="A865" s="14" t="s">
        <v>908</v>
      </c>
      <c r="B865" s="14">
        <v>150.0</v>
      </c>
      <c r="C865" s="15">
        <f t="shared" si="4"/>
        <v>11</v>
      </c>
      <c r="D865" s="14" t="s">
        <v>197</v>
      </c>
      <c r="E865" s="16">
        <f t="shared" ref="E865:G865" si="2592">ROUNDUP((XLOOKUP($D865,$T$3:$T$10,$U$3:$U$10)*XLOOKUP(E$2,$AA$3:$AA$5,$AB$3:$AB$5)-ABS(XLOOKUP($C865,$Q$3:$Q$16,$R$3:$R$16)))*$B865,-5)</f>
        <v>35500000</v>
      </c>
      <c r="F865" s="16">
        <f t="shared" si="2592"/>
        <v>62100000</v>
      </c>
      <c r="G865" s="16">
        <f t="shared" si="2592"/>
        <v>67500000</v>
      </c>
      <c r="H865" s="17">
        <f t="shared" ref="H865:J865" si="2593">roundup((XLOOKUP($D865,$T$3:$T$10,$U$3:$U$10)*XLOOKUP(H$2,$AA$3:$AA$5,$AC$3:$AC$5)-ABS(XLOOKUP($C865,$Q$3:$Q$16,$R$3:$R$16)))*$B865,-5)</f>
        <v>29500000</v>
      </c>
      <c r="I865" s="17">
        <f t="shared" si="2593"/>
        <v>76500000</v>
      </c>
      <c r="J865" s="17">
        <f t="shared" si="2593"/>
        <v>82900000</v>
      </c>
      <c r="K865" s="17">
        <f t="shared" ref="K865:M865" si="2594">roundup((XLOOKUP($D865,$T$3:$T$10,$U$3:$U$10)*XLOOKUP(K$2,$AA$3:$AA$5,$AD$3:$AD$5)-ABS(XLOOKUP($C865,$Q$3:$Q$16,$R$3:$R$16)))*$B865,-5)</f>
        <v>34700000</v>
      </c>
      <c r="L865" s="17">
        <f t="shared" si="2594"/>
        <v>86300000</v>
      </c>
      <c r="M865" s="17">
        <f t="shared" si="2594"/>
        <v>93400000</v>
      </c>
    </row>
    <row r="866">
      <c r="A866" s="14" t="s">
        <v>909</v>
      </c>
      <c r="B866" s="14">
        <v>90.0</v>
      </c>
      <c r="C866" s="15">
        <f t="shared" si="4"/>
        <v>11</v>
      </c>
      <c r="D866" s="14" t="s">
        <v>197</v>
      </c>
      <c r="E866" s="16">
        <f t="shared" ref="E866:G866" si="2595">ROUNDUP((XLOOKUP($D866,$T$3:$T$10,$U$3:$U$10)*XLOOKUP(E$2,$AA$3:$AA$5,$AB$3:$AB$5)-ABS(XLOOKUP($C866,$Q$3:$Q$16,$R$3:$R$16)))*$B866,-5)</f>
        <v>21300000</v>
      </c>
      <c r="F866" s="16">
        <f t="shared" si="2595"/>
        <v>37300000</v>
      </c>
      <c r="G866" s="16">
        <f t="shared" si="2595"/>
        <v>40500000</v>
      </c>
      <c r="H866" s="17">
        <f t="shared" ref="H866:J866" si="2596">roundup((XLOOKUP($D866,$T$3:$T$10,$U$3:$U$10)*XLOOKUP(H$2,$AA$3:$AA$5,$AC$3:$AC$5)-ABS(XLOOKUP($C866,$Q$3:$Q$16,$R$3:$R$16)))*$B866,-5)</f>
        <v>17700000</v>
      </c>
      <c r="I866" s="17">
        <f t="shared" si="2596"/>
        <v>45900000</v>
      </c>
      <c r="J866" s="17">
        <f t="shared" si="2596"/>
        <v>49800000</v>
      </c>
      <c r="K866" s="17">
        <f t="shared" ref="K866:M866" si="2597">roundup((XLOOKUP($D866,$T$3:$T$10,$U$3:$U$10)*XLOOKUP(K$2,$AA$3:$AA$5,$AD$3:$AD$5)-ABS(XLOOKUP($C866,$Q$3:$Q$16,$R$3:$R$16)))*$B866,-5)</f>
        <v>20800000</v>
      </c>
      <c r="L866" s="17">
        <f t="shared" si="2597"/>
        <v>51800000</v>
      </c>
      <c r="M866" s="17">
        <f t="shared" si="2597"/>
        <v>56000000</v>
      </c>
    </row>
    <row r="867">
      <c r="A867" s="14" t="s">
        <v>910</v>
      </c>
      <c r="B867" s="14">
        <v>93.0</v>
      </c>
      <c r="C867" s="15">
        <f t="shared" si="4"/>
        <v>11</v>
      </c>
      <c r="D867" s="14" t="s">
        <v>197</v>
      </c>
      <c r="E867" s="16">
        <f t="shared" ref="E867:G867" si="2598">ROUNDUP((XLOOKUP($D867,$T$3:$T$10,$U$3:$U$10)*XLOOKUP(E$2,$AA$3:$AA$5,$AB$3:$AB$5)-ABS(XLOOKUP($C867,$Q$3:$Q$16,$R$3:$R$16)))*$B867,-5)</f>
        <v>22000000</v>
      </c>
      <c r="F867" s="16">
        <f t="shared" si="2598"/>
        <v>38500000</v>
      </c>
      <c r="G867" s="16">
        <f t="shared" si="2598"/>
        <v>41900000</v>
      </c>
      <c r="H867" s="17">
        <f t="shared" ref="H867:J867" si="2599">roundup((XLOOKUP($D867,$T$3:$T$10,$U$3:$U$10)*XLOOKUP(H$2,$AA$3:$AA$5,$AC$3:$AC$5)-ABS(XLOOKUP($C867,$Q$3:$Q$16,$R$3:$R$16)))*$B867,-5)</f>
        <v>18300000</v>
      </c>
      <c r="I867" s="17">
        <f t="shared" si="2599"/>
        <v>47500000</v>
      </c>
      <c r="J867" s="17">
        <f t="shared" si="2599"/>
        <v>51400000</v>
      </c>
      <c r="K867" s="17">
        <f t="shared" ref="K867:M867" si="2600">roundup((XLOOKUP($D867,$T$3:$T$10,$U$3:$U$10)*XLOOKUP(K$2,$AA$3:$AA$5,$AD$3:$AD$5)-ABS(XLOOKUP($C867,$Q$3:$Q$16,$R$3:$R$16)))*$B867,-5)</f>
        <v>21500000</v>
      </c>
      <c r="L867" s="17">
        <f t="shared" si="2600"/>
        <v>53500000</v>
      </c>
      <c r="M867" s="17">
        <f t="shared" si="2600"/>
        <v>57900000</v>
      </c>
    </row>
    <row r="868">
      <c r="A868" s="14" t="s">
        <v>911</v>
      </c>
      <c r="B868" s="14">
        <v>127.0</v>
      </c>
      <c r="C868" s="15">
        <f t="shared" si="4"/>
        <v>11</v>
      </c>
      <c r="D868" s="14" t="s">
        <v>197</v>
      </c>
      <c r="E868" s="16">
        <f t="shared" ref="E868:G868" si="2601">ROUNDUP((XLOOKUP($D868,$T$3:$T$10,$U$3:$U$10)*XLOOKUP(E$2,$AA$3:$AA$5,$AB$3:$AB$5)-ABS(XLOOKUP($C868,$Q$3:$Q$16,$R$3:$R$16)))*$B868,-5)</f>
        <v>30100000</v>
      </c>
      <c r="F868" s="16">
        <f t="shared" si="2601"/>
        <v>52600000</v>
      </c>
      <c r="G868" s="16">
        <f t="shared" si="2601"/>
        <v>57200000</v>
      </c>
      <c r="H868" s="17">
        <f t="shared" ref="H868:J868" si="2602">roundup((XLOOKUP($D868,$T$3:$T$10,$U$3:$U$10)*XLOOKUP(H$2,$AA$3:$AA$5,$AC$3:$AC$5)-ABS(XLOOKUP($C868,$Q$3:$Q$16,$R$3:$R$16)))*$B868,-5)</f>
        <v>25000000</v>
      </c>
      <c r="I868" s="17">
        <f t="shared" si="2602"/>
        <v>64800000</v>
      </c>
      <c r="J868" s="17">
        <f t="shared" si="2602"/>
        <v>70200000</v>
      </c>
      <c r="K868" s="17">
        <f t="shared" ref="K868:M868" si="2603">roundup((XLOOKUP($D868,$T$3:$T$10,$U$3:$U$10)*XLOOKUP(K$2,$AA$3:$AA$5,$AD$3:$AD$5)-ABS(XLOOKUP($C868,$Q$3:$Q$16,$R$3:$R$16)))*$B868,-5)</f>
        <v>29400000</v>
      </c>
      <c r="L868" s="17">
        <f t="shared" si="2603"/>
        <v>73100000</v>
      </c>
      <c r="M868" s="17">
        <f t="shared" si="2603"/>
        <v>79000000</v>
      </c>
    </row>
    <row r="869">
      <c r="A869" s="14" t="s">
        <v>912</v>
      </c>
      <c r="B869" s="14">
        <v>146.0</v>
      </c>
      <c r="C869" s="15">
        <f t="shared" si="4"/>
        <v>11</v>
      </c>
      <c r="D869" s="14" t="s">
        <v>197</v>
      </c>
      <c r="E869" s="16">
        <f t="shared" ref="E869:G869" si="2604">ROUNDUP((XLOOKUP($D869,$T$3:$T$10,$U$3:$U$10)*XLOOKUP(E$2,$AA$3:$AA$5,$AB$3:$AB$5)-ABS(XLOOKUP($C869,$Q$3:$Q$16,$R$3:$R$16)))*$B869,-5)</f>
        <v>34600000</v>
      </c>
      <c r="F869" s="16">
        <f t="shared" si="2604"/>
        <v>60400000</v>
      </c>
      <c r="G869" s="16">
        <f t="shared" si="2604"/>
        <v>65700000</v>
      </c>
      <c r="H869" s="17">
        <f t="shared" ref="H869:J869" si="2605">roundup((XLOOKUP($D869,$T$3:$T$10,$U$3:$U$10)*XLOOKUP(H$2,$AA$3:$AA$5,$AC$3:$AC$5)-ABS(XLOOKUP($C869,$Q$3:$Q$16,$R$3:$R$16)))*$B869,-5)</f>
        <v>28700000</v>
      </c>
      <c r="I869" s="17">
        <f t="shared" si="2605"/>
        <v>74500000</v>
      </c>
      <c r="J869" s="17">
        <f t="shared" si="2605"/>
        <v>80700000</v>
      </c>
      <c r="K869" s="17">
        <f t="shared" ref="K869:M869" si="2606">roundup((XLOOKUP($D869,$T$3:$T$10,$U$3:$U$10)*XLOOKUP(K$2,$AA$3:$AA$5,$AD$3:$AD$5)-ABS(XLOOKUP($C869,$Q$3:$Q$16,$R$3:$R$16)))*$B869,-5)</f>
        <v>33800000</v>
      </c>
      <c r="L869" s="17">
        <f t="shared" si="2606"/>
        <v>84000000</v>
      </c>
      <c r="M869" s="17">
        <f t="shared" si="2606"/>
        <v>90900000</v>
      </c>
    </row>
    <row r="870">
      <c r="A870" s="14" t="s">
        <v>913</v>
      </c>
      <c r="B870" s="14">
        <v>109.0</v>
      </c>
      <c r="C870" s="15">
        <f t="shared" si="4"/>
        <v>11</v>
      </c>
      <c r="D870" s="14" t="s">
        <v>197</v>
      </c>
      <c r="E870" s="16">
        <f t="shared" ref="E870:G870" si="2607">ROUNDUP((XLOOKUP($D870,$T$3:$T$10,$U$3:$U$10)*XLOOKUP(E$2,$AA$3:$AA$5,$AB$3:$AB$5)-ABS(XLOOKUP($C870,$Q$3:$Q$16,$R$3:$R$16)))*$B870,-5)</f>
        <v>25800000</v>
      </c>
      <c r="F870" s="16">
        <f t="shared" si="2607"/>
        <v>45100000</v>
      </c>
      <c r="G870" s="16">
        <f t="shared" si="2607"/>
        <v>49100000</v>
      </c>
      <c r="H870" s="17">
        <f t="shared" ref="H870:J870" si="2608">roundup((XLOOKUP($D870,$T$3:$T$10,$U$3:$U$10)*XLOOKUP(H$2,$AA$3:$AA$5,$AC$3:$AC$5)-ABS(XLOOKUP($C870,$Q$3:$Q$16,$R$3:$R$16)))*$B870,-5)</f>
        <v>21400000</v>
      </c>
      <c r="I870" s="17">
        <f t="shared" si="2608"/>
        <v>55600000</v>
      </c>
      <c r="J870" s="17">
        <f t="shared" si="2608"/>
        <v>60300000</v>
      </c>
      <c r="K870" s="17">
        <f t="shared" ref="K870:M870" si="2609">roundup((XLOOKUP($D870,$T$3:$T$10,$U$3:$U$10)*XLOOKUP(K$2,$AA$3:$AA$5,$AD$3:$AD$5)-ABS(XLOOKUP($C870,$Q$3:$Q$16,$R$3:$R$16)))*$B870,-5)</f>
        <v>25200000</v>
      </c>
      <c r="L870" s="17">
        <f t="shared" si="2609"/>
        <v>62700000</v>
      </c>
      <c r="M870" s="17">
        <f t="shared" si="2609"/>
        <v>67900000</v>
      </c>
    </row>
    <row r="871">
      <c r="A871" s="14" t="s">
        <v>914</v>
      </c>
      <c r="B871" s="14">
        <v>103.0</v>
      </c>
      <c r="C871" s="15">
        <f t="shared" si="4"/>
        <v>11</v>
      </c>
      <c r="D871" s="14" t="s">
        <v>197</v>
      </c>
      <c r="E871" s="16">
        <f t="shared" ref="E871:G871" si="2610">ROUNDUP((XLOOKUP($D871,$T$3:$T$10,$U$3:$U$10)*XLOOKUP(E$2,$AA$3:$AA$5,$AB$3:$AB$5)-ABS(XLOOKUP($C871,$Q$3:$Q$16,$R$3:$R$16)))*$B871,-5)</f>
        <v>24400000</v>
      </c>
      <c r="F871" s="16">
        <f t="shared" si="2610"/>
        <v>42600000</v>
      </c>
      <c r="G871" s="16">
        <f t="shared" si="2610"/>
        <v>46400000</v>
      </c>
      <c r="H871" s="17">
        <f t="shared" ref="H871:J871" si="2611">roundup((XLOOKUP($D871,$T$3:$T$10,$U$3:$U$10)*XLOOKUP(H$2,$AA$3:$AA$5,$AC$3:$AC$5)-ABS(XLOOKUP($C871,$Q$3:$Q$16,$R$3:$R$16)))*$B871,-5)</f>
        <v>20300000</v>
      </c>
      <c r="I871" s="17">
        <f t="shared" si="2611"/>
        <v>52600000</v>
      </c>
      <c r="J871" s="17">
        <f t="shared" si="2611"/>
        <v>57000000</v>
      </c>
      <c r="K871" s="17">
        <f t="shared" ref="K871:M871" si="2612">roundup((XLOOKUP($D871,$T$3:$T$10,$U$3:$U$10)*XLOOKUP(K$2,$AA$3:$AA$5,$AD$3:$AD$5)-ABS(XLOOKUP($C871,$Q$3:$Q$16,$R$3:$R$16)))*$B871,-5)</f>
        <v>23800000</v>
      </c>
      <c r="L871" s="17">
        <f t="shared" si="2612"/>
        <v>59300000</v>
      </c>
      <c r="M871" s="17">
        <f t="shared" si="2612"/>
        <v>64100000</v>
      </c>
    </row>
    <row r="872">
      <c r="A872" s="14" t="s">
        <v>915</v>
      </c>
      <c r="B872" s="14">
        <v>106.0</v>
      </c>
      <c r="C872" s="15">
        <f t="shared" si="4"/>
        <v>11</v>
      </c>
      <c r="D872" s="14" t="s">
        <v>197</v>
      </c>
      <c r="E872" s="16">
        <f t="shared" ref="E872:G872" si="2613">ROUNDUP((XLOOKUP($D872,$T$3:$T$10,$U$3:$U$10)*XLOOKUP(E$2,$AA$3:$AA$5,$AB$3:$AB$5)-ABS(XLOOKUP($C872,$Q$3:$Q$16,$R$3:$R$16)))*$B872,-5)</f>
        <v>25100000</v>
      </c>
      <c r="F872" s="16">
        <f t="shared" si="2613"/>
        <v>43900000</v>
      </c>
      <c r="G872" s="16">
        <f t="shared" si="2613"/>
        <v>47700000</v>
      </c>
      <c r="H872" s="17">
        <f t="shared" ref="H872:J872" si="2614">roundup((XLOOKUP($D872,$T$3:$T$10,$U$3:$U$10)*XLOOKUP(H$2,$AA$3:$AA$5,$AC$3:$AC$5)-ABS(XLOOKUP($C872,$Q$3:$Q$16,$R$3:$R$16)))*$B872,-5)</f>
        <v>20900000</v>
      </c>
      <c r="I872" s="17">
        <f t="shared" si="2614"/>
        <v>54100000</v>
      </c>
      <c r="J872" s="17">
        <f t="shared" si="2614"/>
        <v>58600000</v>
      </c>
      <c r="K872" s="17">
        <f t="shared" ref="K872:M872" si="2615">roundup((XLOOKUP($D872,$T$3:$T$10,$U$3:$U$10)*XLOOKUP(K$2,$AA$3:$AA$5,$AD$3:$AD$5)-ABS(XLOOKUP($C872,$Q$3:$Q$16,$R$3:$R$16)))*$B872,-5)</f>
        <v>24500000</v>
      </c>
      <c r="L872" s="17">
        <f t="shared" si="2615"/>
        <v>61000000</v>
      </c>
      <c r="M872" s="17">
        <f t="shared" si="2615"/>
        <v>66000000</v>
      </c>
    </row>
    <row r="873">
      <c r="A873" s="14" t="s">
        <v>916</v>
      </c>
      <c r="B873" s="14">
        <v>109.0</v>
      </c>
      <c r="C873" s="15">
        <f t="shared" si="4"/>
        <v>11</v>
      </c>
      <c r="D873" s="14" t="s">
        <v>197</v>
      </c>
      <c r="E873" s="16">
        <f t="shared" ref="E873:G873" si="2616">ROUNDUP((XLOOKUP($D873,$T$3:$T$10,$U$3:$U$10)*XLOOKUP(E$2,$AA$3:$AA$5,$AB$3:$AB$5)-ABS(XLOOKUP($C873,$Q$3:$Q$16,$R$3:$R$16)))*$B873,-5)</f>
        <v>25800000</v>
      </c>
      <c r="F873" s="16">
        <f t="shared" si="2616"/>
        <v>45100000</v>
      </c>
      <c r="G873" s="16">
        <f t="shared" si="2616"/>
        <v>49100000</v>
      </c>
      <c r="H873" s="17">
        <f t="shared" ref="H873:J873" si="2617">roundup((XLOOKUP($D873,$T$3:$T$10,$U$3:$U$10)*XLOOKUP(H$2,$AA$3:$AA$5,$AC$3:$AC$5)-ABS(XLOOKUP($C873,$Q$3:$Q$16,$R$3:$R$16)))*$B873,-5)</f>
        <v>21400000</v>
      </c>
      <c r="I873" s="17">
        <f t="shared" si="2617"/>
        <v>55600000</v>
      </c>
      <c r="J873" s="17">
        <f t="shared" si="2617"/>
        <v>60300000</v>
      </c>
      <c r="K873" s="17">
        <f t="shared" ref="K873:M873" si="2618">roundup((XLOOKUP($D873,$T$3:$T$10,$U$3:$U$10)*XLOOKUP(K$2,$AA$3:$AA$5,$AD$3:$AD$5)-ABS(XLOOKUP($C873,$Q$3:$Q$16,$R$3:$R$16)))*$B873,-5)</f>
        <v>25200000</v>
      </c>
      <c r="L873" s="17">
        <f t="shared" si="2618"/>
        <v>62700000</v>
      </c>
      <c r="M873" s="17">
        <f t="shared" si="2618"/>
        <v>67900000</v>
      </c>
    </row>
    <row r="874">
      <c r="A874" s="14" t="s">
        <v>917</v>
      </c>
      <c r="B874" s="14">
        <v>119.0</v>
      </c>
      <c r="C874" s="15">
        <f t="shared" si="4"/>
        <v>11</v>
      </c>
      <c r="D874" s="14" t="s">
        <v>197</v>
      </c>
      <c r="E874" s="16">
        <f t="shared" ref="E874:G874" si="2619">ROUNDUP((XLOOKUP($D874,$T$3:$T$10,$U$3:$U$10)*XLOOKUP(E$2,$AA$3:$AA$5,$AB$3:$AB$5)-ABS(XLOOKUP($C874,$Q$3:$Q$16,$R$3:$R$16)))*$B874,-5)</f>
        <v>28200000</v>
      </c>
      <c r="F874" s="16">
        <f t="shared" si="2619"/>
        <v>49200000</v>
      </c>
      <c r="G874" s="16">
        <f t="shared" si="2619"/>
        <v>53600000</v>
      </c>
      <c r="H874" s="17">
        <f t="shared" ref="H874:J874" si="2620">roundup((XLOOKUP($D874,$T$3:$T$10,$U$3:$U$10)*XLOOKUP(H$2,$AA$3:$AA$5,$AC$3:$AC$5)-ABS(XLOOKUP($C874,$Q$3:$Q$16,$R$3:$R$16)))*$B874,-5)</f>
        <v>23400000</v>
      </c>
      <c r="I874" s="17">
        <f t="shared" si="2620"/>
        <v>60700000</v>
      </c>
      <c r="J874" s="17">
        <f t="shared" si="2620"/>
        <v>65800000</v>
      </c>
      <c r="K874" s="17">
        <f t="shared" ref="K874:M874" si="2621">roundup((XLOOKUP($D874,$T$3:$T$10,$U$3:$U$10)*XLOOKUP(K$2,$AA$3:$AA$5,$AD$3:$AD$5)-ABS(XLOOKUP($C874,$Q$3:$Q$16,$R$3:$R$16)))*$B874,-5)</f>
        <v>27500000</v>
      </c>
      <c r="L874" s="17">
        <f t="shared" si="2621"/>
        <v>68500000</v>
      </c>
      <c r="M874" s="17">
        <f t="shared" si="2621"/>
        <v>74100000</v>
      </c>
    </row>
    <row r="875">
      <c r="A875" s="14" t="s">
        <v>918</v>
      </c>
      <c r="B875" s="14">
        <v>75.0</v>
      </c>
      <c r="C875" s="15">
        <f t="shared" si="4"/>
        <v>9</v>
      </c>
      <c r="D875" s="14" t="s">
        <v>197</v>
      </c>
      <c r="E875" s="16">
        <f t="shared" ref="E875:G875" si="2622">ROUNDUP((XLOOKUP($D875,$T$3:$T$10,$U$3:$U$10)*XLOOKUP(E$2,$AA$3:$AA$5,$AB$3:$AB$5)-ABS(XLOOKUP($C875,$Q$3:$Q$16,$R$3:$R$16)))*$B875,-5)</f>
        <v>24600000</v>
      </c>
      <c r="F875" s="16">
        <f t="shared" si="2622"/>
        <v>37900000</v>
      </c>
      <c r="G875" s="16">
        <f t="shared" si="2622"/>
        <v>40600000</v>
      </c>
      <c r="H875" s="17">
        <f t="shared" ref="H875:J875" si="2623">roundup((XLOOKUP($D875,$T$3:$T$10,$U$3:$U$10)*XLOOKUP(H$2,$AA$3:$AA$5,$AC$3:$AC$5)-ABS(XLOOKUP($C875,$Q$3:$Q$16,$R$3:$R$16)))*$B875,-5)</f>
        <v>21600000</v>
      </c>
      <c r="I875" s="17">
        <f t="shared" si="2623"/>
        <v>45100000</v>
      </c>
      <c r="J875" s="17">
        <f t="shared" si="2623"/>
        <v>48300000</v>
      </c>
      <c r="K875" s="17">
        <f t="shared" ref="K875:M875" si="2624">roundup((XLOOKUP($D875,$T$3:$T$10,$U$3:$U$10)*XLOOKUP(K$2,$AA$3:$AA$5,$AD$3:$AD$5)-ABS(XLOOKUP($C875,$Q$3:$Q$16,$R$3:$R$16)))*$B875,-5)</f>
        <v>24200000</v>
      </c>
      <c r="L875" s="17">
        <f t="shared" si="2624"/>
        <v>50000000</v>
      </c>
      <c r="M875" s="17">
        <f t="shared" si="2624"/>
        <v>53500000</v>
      </c>
    </row>
    <row r="876">
      <c r="A876" s="14" t="s">
        <v>919</v>
      </c>
      <c r="B876" s="14">
        <v>103.0</v>
      </c>
      <c r="C876" s="15">
        <f t="shared" si="4"/>
        <v>11</v>
      </c>
      <c r="D876" s="14" t="s">
        <v>197</v>
      </c>
      <c r="E876" s="16">
        <f t="shared" ref="E876:G876" si="2625">ROUNDUP((XLOOKUP($D876,$T$3:$T$10,$U$3:$U$10)*XLOOKUP(E$2,$AA$3:$AA$5,$AB$3:$AB$5)-ABS(XLOOKUP($C876,$Q$3:$Q$16,$R$3:$R$16)))*$B876,-5)</f>
        <v>24400000</v>
      </c>
      <c r="F876" s="16">
        <f t="shared" si="2625"/>
        <v>42600000</v>
      </c>
      <c r="G876" s="16">
        <f t="shared" si="2625"/>
        <v>46400000</v>
      </c>
      <c r="H876" s="17">
        <f t="shared" ref="H876:J876" si="2626">roundup((XLOOKUP($D876,$T$3:$T$10,$U$3:$U$10)*XLOOKUP(H$2,$AA$3:$AA$5,$AC$3:$AC$5)-ABS(XLOOKUP($C876,$Q$3:$Q$16,$R$3:$R$16)))*$B876,-5)</f>
        <v>20300000</v>
      </c>
      <c r="I876" s="17">
        <f t="shared" si="2626"/>
        <v>52600000</v>
      </c>
      <c r="J876" s="17">
        <f t="shared" si="2626"/>
        <v>57000000</v>
      </c>
      <c r="K876" s="17">
        <f t="shared" ref="K876:M876" si="2627">roundup((XLOOKUP($D876,$T$3:$T$10,$U$3:$U$10)*XLOOKUP(K$2,$AA$3:$AA$5,$AD$3:$AD$5)-ABS(XLOOKUP($C876,$Q$3:$Q$16,$R$3:$R$16)))*$B876,-5)</f>
        <v>23800000</v>
      </c>
      <c r="L876" s="17">
        <f t="shared" si="2627"/>
        <v>59300000</v>
      </c>
      <c r="M876" s="17">
        <f t="shared" si="2627"/>
        <v>64100000</v>
      </c>
    </row>
    <row r="877">
      <c r="A877" s="14" t="s">
        <v>920</v>
      </c>
      <c r="B877" s="14">
        <v>115.0</v>
      </c>
      <c r="C877" s="15">
        <f t="shared" si="4"/>
        <v>11</v>
      </c>
      <c r="D877" s="14" t="s">
        <v>197</v>
      </c>
      <c r="E877" s="16">
        <f t="shared" ref="E877:G877" si="2628">ROUNDUP((XLOOKUP($D877,$T$3:$T$10,$U$3:$U$10)*XLOOKUP(E$2,$AA$3:$AA$5,$AB$3:$AB$5)-ABS(XLOOKUP($C877,$Q$3:$Q$16,$R$3:$R$16)))*$B877,-5)</f>
        <v>27200000</v>
      </c>
      <c r="F877" s="16">
        <f t="shared" si="2628"/>
        <v>47600000</v>
      </c>
      <c r="G877" s="16">
        <f t="shared" si="2628"/>
        <v>51800000</v>
      </c>
      <c r="H877" s="17">
        <f t="shared" ref="H877:J877" si="2629">roundup((XLOOKUP($D877,$T$3:$T$10,$U$3:$U$10)*XLOOKUP(H$2,$AA$3:$AA$5,$AC$3:$AC$5)-ABS(XLOOKUP($C877,$Q$3:$Q$16,$R$3:$R$16)))*$B877,-5)</f>
        <v>22600000</v>
      </c>
      <c r="I877" s="17">
        <f t="shared" si="2629"/>
        <v>58700000</v>
      </c>
      <c r="J877" s="17">
        <f t="shared" si="2629"/>
        <v>63600000</v>
      </c>
      <c r="K877" s="17">
        <f t="shared" ref="K877:M877" si="2630">roundup((XLOOKUP($D877,$T$3:$T$10,$U$3:$U$10)*XLOOKUP(K$2,$AA$3:$AA$5,$AD$3:$AD$5)-ABS(XLOOKUP($C877,$Q$3:$Q$16,$R$3:$R$16)))*$B877,-5)</f>
        <v>26600000</v>
      </c>
      <c r="L877" s="17">
        <f t="shared" si="2630"/>
        <v>66200000</v>
      </c>
      <c r="M877" s="17">
        <f t="shared" si="2630"/>
        <v>71600000</v>
      </c>
    </row>
    <row r="878">
      <c r="A878" s="14" t="s">
        <v>921</v>
      </c>
      <c r="B878" s="14">
        <v>103.0</v>
      </c>
      <c r="C878" s="15">
        <f t="shared" si="4"/>
        <v>11</v>
      </c>
      <c r="D878" s="14" t="s">
        <v>197</v>
      </c>
      <c r="E878" s="16">
        <f t="shared" ref="E878:G878" si="2631">ROUNDUP((XLOOKUP($D878,$T$3:$T$10,$U$3:$U$10)*XLOOKUP(E$2,$AA$3:$AA$5,$AB$3:$AB$5)-ABS(XLOOKUP($C878,$Q$3:$Q$16,$R$3:$R$16)))*$B878,-5)</f>
        <v>24400000</v>
      </c>
      <c r="F878" s="16">
        <f t="shared" si="2631"/>
        <v>42600000</v>
      </c>
      <c r="G878" s="16">
        <f t="shared" si="2631"/>
        <v>46400000</v>
      </c>
      <c r="H878" s="17">
        <f t="shared" ref="H878:J878" si="2632">roundup((XLOOKUP($D878,$T$3:$T$10,$U$3:$U$10)*XLOOKUP(H$2,$AA$3:$AA$5,$AC$3:$AC$5)-ABS(XLOOKUP($C878,$Q$3:$Q$16,$R$3:$R$16)))*$B878,-5)</f>
        <v>20300000</v>
      </c>
      <c r="I878" s="17">
        <f t="shared" si="2632"/>
        <v>52600000</v>
      </c>
      <c r="J878" s="17">
        <f t="shared" si="2632"/>
        <v>57000000</v>
      </c>
      <c r="K878" s="17">
        <f t="shared" ref="K878:M878" si="2633">roundup((XLOOKUP($D878,$T$3:$T$10,$U$3:$U$10)*XLOOKUP(K$2,$AA$3:$AA$5,$AD$3:$AD$5)-ABS(XLOOKUP($C878,$Q$3:$Q$16,$R$3:$R$16)))*$B878,-5)</f>
        <v>23800000</v>
      </c>
      <c r="L878" s="17">
        <f t="shared" si="2633"/>
        <v>59300000</v>
      </c>
      <c r="M878" s="17">
        <f t="shared" si="2633"/>
        <v>64100000</v>
      </c>
    </row>
    <row r="879">
      <c r="A879" s="14" t="s">
        <v>922</v>
      </c>
      <c r="B879" s="14">
        <v>58.0</v>
      </c>
      <c r="C879" s="15">
        <f t="shared" si="4"/>
        <v>8</v>
      </c>
      <c r="D879" s="14" t="s">
        <v>197</v>
      </c>
      <c r="E879" s="16">
        <f t="shared" ref="E879:G879" si="2634">ROUNDUP((XLOOKUP($D879,$T$3:$T$10,$U$3:$U$10)*XLOOKUP(E$2,$AA$3:$AA$5,$AB$3:$AB$5)-ABS(XLOOKUP($C879,$Q$3:$Q$16,$R$3:$R$16)))*$B879,-5)</f>
        <v>19300000</v>
      </c>
      <c r="F879" s="16">
        <f t="shared" si="2634"/>
        <v>29500000</v>
      </c>
      <c r="G879" s="16">
        <f t="shared" si="2634"/>
        <v>31700000</v>
      </c>
      <c r="H879" s="17">
        <f t="shared" ref="H879:J879" si="2635">roundup((XLOOKUP($D879,$T$3:$T$10,$U$3:$U$10)*XLOOKUP(H$2,$AA$3:$AA$5,$AC$3:$AC$5)-ABS(XLOOKUP($C879,$Q$3:$Q$16,$R$3:$R$16)))*$B879,-5)</f>
        <v>16900000</v>
      </c>
      <c r="I879" s="17">
        <f t="shared" si="2635"/>
        <v>35100000</v>
      </c>
      <c r="J879" s="17">
        <f t="shared" si="2635"/>
        <v>37600000</v>
      </c>
      <c r="K879" s="17">
        <f t="shared" ref="K879:M879" si="2636">roundup((XLOOKUP($D879,$T$3:$T$10,$U$3:$U$10)*XLOOKUP(K$2,$AA$3:$AA$5,$AD$3:$AD$5)-ABS(XLOOKUP($C879,$Q$3:$Q$16,$R$3:$R$16)))*$B879,-5)</f>
        <v>19000000</v>
      </c>
      <c r="L879" s="17">
        <f t="shared" si="2636"/>
        <v>38900000</v>
      </c>
      <c r="M879" s="17">
        <f t="shared" si="2636"/>
        <v>41600000</v>
      </c>
    </row>
    <row r="880">
      <c r="A880" s="14" t="s">
        <v>923</v>
      </c>
      <c r="B880" s="14">
        <v>84.0</v>
      </c>
      <c r="C880" s="15">
        <f t="shared" si="4"/>
        <v>11</v>
      </c>
      <c r="D880" s="14" t="s">
        <v>197</v>
      </c>
      <c r="E880" s="16">
        <f t="shared" ref="E880:G880" si="2637">ROUNDUP((XLOOKUP($D880,$T$3:$T$10,$U$3:$U$10)*XLOOKUP(E$2,$AA$3:$AA$5,$AB$3:$AB$5)-ABS(XLOOKUP($C880,$Q$3:$Q$16,$R$3:$R$16)))*$B880,-5)</f>
        <v>19900000</v>
      </c>
      <c r="F880" s="16">
        <f t="shared" si="2637"/>
        <v>34800000</v>
      </c>
      <c r="G880" s="16">
        <f t="shared" si="2637"/>
        <v>37800000</v>
      </c>
      <c r="H880" s="17">
        <f t="shared" ref="H880:J880" si="2638">roundup((XLOOKUP($D880,$T$3:$T$10,$U$3:$U$10)*XLOOKUP(H$2,$AA$3:$AA$5,$AC$3:$AC$5)-ABS(XLOOKUP($C880,$Q$3:$Q$16,$R$3:$R$16)))*$B880,-5)</f>
        <v>16500000</v>
      </c>
      <c r="I880" s="17">
        <f t="shared" si="2638"/>
        <v>42900000</v>
      </c>
      <c r="J880" s="17">
        <f t="shared" si="2638"/>
        <v>46500000</v>
      </c>
      <c r="K880" s="17">
        <f t="shared" ref="K880:M880" si="2639">roundup((XLOOKUP($D880,$T$3:$T$10,$U$3:$U$10)*XLOOKUP(K$2,$AA$3:$AA$5,$AD$3:$AD$5)-ABS(XLOOKUP($C880,$Q$3:$Q$16,$R$3:$R$16)))*$B880,-5)</f>
        <v>19500000</v>
      </c>
      <c r="L880" s="17">
        <f t="shared" si="2639"/>
        <v>48400000</v>
      </c>
      <c r="M880" s="17">
        <f t="shared" si="2639"/>
        <v>52300000</v>
      </c>
    </row>
    <row r="881">
      <c r="A881" s="14" t="s">
        <v>924</v>
      </c>
      <c r="B881" s="14">
        <v>91.0</v>
      </c>
      <c r="C881" s="15">
        <f t="shared" si="4"/>
        <v>11</v>
      </c>
      <c r="D881" s="14" t="s">
        <v>197</v>
      </c>
      <c r="E881" s="16">
        <f t="shared" ref="E881:G881" si="2640">ROUNDUP((XLOOKUP($D881,$T$3:$T$10,$U$3:$U$10)*XLOOKUP(E$2,$AA$3:$AA$5,$AB$3:$AB$5)-ABS(XLOOKUP($C881,$Q$3:$Q$16,$R$3:$R$16)))*$B881,-5)</f>
        <v>21600000</v>
      </c>
      <c r="F881" s="16">
        <f t="shared" si="2640"/>
        <v>37700000</v>
      </c>
      <c r="G881" s="16">
        <f t="shared" si="2640"/>
        <v>41000000</v>
      </c>
      <c r="H881" s="17">
        <f t="shared" ref="H881:J881" si="2641">roundup((XLOOKUP($D881,$T$3:$T$10,$U$3:$U$10)*XLOOKUP(H$2,$AA$3:$AA$5,$AC$3:$AC$5)-ABS(XLOOKUP($C881,$Q$3:$Q$16,$R$3:$R$16)))*$B881,-5)</f>
        <v>17900000</v>
      </c>
      <c r="I881" s="17">
        <f t="shared" si="2641"/>
        <v>46400000</v>
      </c>
      <c r="J881" s="17">
        <f t="shared" si="2641"/>
        <v>50300000</v>
      </c>
      <c r="K881" s="17">
        <f t="shared" ref="K881:M881" si="2642">roundup((XLOOKUP($D881,$T$3:$T$10,$U$3:$U$10)*XLOOKUP(K$2,$AA$3:$AA$5,$AD$3:$AD$5)-ABS(XLOOKUP($C881,$Q$3:$Q$16,$R$3:$R$16)))*$B881,-5)</f>
        <v>21100000</v>
      </c>
      <c r="L881" s="17">
        <f t="shared" si="2642"/>
        <v>52400000</v>
      </c>
      <c r="M881" s="17">
        <f t="shared" si="2642"/>
        <v>56700000</v>
      </c>
    </row>
    <row r="882">
      <c r="A882" s="14" t="s">
        <v>925</v>
      </c>
      <c r="B882" s="14">
        <v>93.0</v>
      </c>
      <c r="C882" s="15">
        <f t="shared" si="4"/>
        <v>11</v>
      </c>
      <c r="D882" s="14" t="s">
        <v>197</v>
      </c>
      <c r="E882" s="16">
        <f t="shared" ref="E882:G882" si="2643">ROUNDUP((XLOOKUP($D882,$T$3:$T$10,$U$3:$U$10)*XLOOKUP(E$2,$AA$3:$AA$5,$AB$3:$AB$5)-ABS(XLOOKUP($C882,$Q$3:$Q$16,$R$3:$R$16)))*$B882,-5)</f>
        <v>22000000</v>
      </c>
      <c r="F882" s="16">
        <f t="shared" si="2643"/>
        <v>38500000</v>
      </c>
      <c r="G882" s="16">
        <f t="shared" si="2643"/>
        <v>41900000</v>
      </c>
      <c r="H882" s="17">
        <f t="shared" ref="H882:J882" si="2644">roundup((XLOOKUP($D882,$T$3:$T$10,$U$3:$U$10)*XLOOKUP(H$2,$AA$3:$AA$5,$AC$3:$AC$5)-ABS(XLOOKUP($C882,$Q$3:$Q$16,$R$3:$R$16)))*$B882,-5)</f>
        <v>18300000</v>
      </c>
      <c r="I882" s="17">
        <f t="shared" si="2644"/>
        <v>47500000</v>
      </c>
      <c r="J882" s="17">
        <f t="shared" si="2644"/>
        <v>51400000</v>
      </c>
      <c r="K882" s="17">
        <f t="shared" ref="K882:M882" si="2645">roundup((XLOOKUP($D882,$T$3:$T$10,$U$3:$U$10)*XLOOKUP(K$2,$AA$3:$AA$5,$AD$3:$AD$5)-ABS(XLOOKUP($C882,$Q$3:$Q$16,$R$3:$R$16)))*$B882,-5)</f>
        <v>21500000</v>
      </c>
      <c r="L882" s="17">
        <f t="shared" si="2645"/>
        <v>53500000</v>
      </c>
      <c r="M882" s="17">
        <f t="shared" si="2645"/>
        <v>57900000</v>
      </c>
    </row>
    <row r="883">
      <c r="A883" s="14" t="s">
        <v>926</v>
      </c>
      <c r="B883" s="14">
        <v>117.0</v>
      </c>
      <c r="C883" s="15">
        <f t="shared" si="4"/>
        <v>11</v>
      </c>
      <c r="D883" s="14" t="s">
        <v>197</v>
      </c>
      <c r="E883" s="16">
        <f t="shared" ref="E883:G883" si="2646">ROUNDUP((XLOOKUP($D883,$T$3:$T$10,$U$3:$U$10)*XLOOKUP(E$2,$AA$3:$AA$5,$AB$3:$AB$5)-ABS(XLOOKUP($C883,$Q$3:$Q$16,$R$3:$R$16)))*$B883,-5)</f>
        <v>27700000</v>
      </c>
      <c r="F883" s="16">
        <f t="shared" si="2646"/>
        <v>48400000</v>
      </c>
      <c r="G883" s="16">
        <f t="shared" si="2646"/>
        <v>52700000</v>
      </c>
      <c r="H883" s="17">
        <f t="shared" ref="H883:J883" si="2647">roundup((XLOOKUP($D883,$T$3:$T$10,$U$3:$U$10)*XLOOKUP(H$2,$AA$3:$AA$5,$AC$3:$AC$5)-ABS(XLOOKUP($C883,$Q$3:$Q$16,$R$3:$R$16)))*$B883,-5)</f>
        <v>23000000</v>
      </c>
      <c r="I883" s="17">
        <f t="shared" si="2647"/>
        <v>59700000</v>
      </c>
      <c r="J883" s="17">
        <f t="shared" si="2647"/>
        <v>64700000</v>
      </c>
      <c r="K883" s="17">
        <f t="shared" ref="K883:M883" si="2648">roundup((XLOOKUP($D883,$T$3:$T$10,$U$3:$U$10)*XLOOKUP(K$2,$AA$3:$AA$5,$AD$3:$AD$5)-ABS(XLOOKUP($C883,$Q$3:$Q$16,$R$3:$R$16)))*$B883,-5)</f>
        <v>27100000</v>
      </c>
      <c r="L883" s="17">
        <f t="shared" si="2648"/>
        <v>67300000</v>
      </c>
      <c r="M883" s="17">
        <f t="shared" si="2648"/>
        <v>72800000</v>
      </c>
    </row>
    <row r="884">
      <c r="A884" s="14" t="s">
        <v>927</v>
      </c>
      <c r="B884" s="14">
        <v>123.0</v>
      </c>
      <c r="C884" s="15">
        <f t="shared" si="4"/>
        <v>11</v>
      </c>
      <c r="D884" s="14" t="s">
        <v>197</v>
      </c>
      <c r="E884" s="16">
        <f t="shared" ref="E884:G884" si="2649">ROUNDUP((XLOOKUP($D884,$T$3:$T$10,$U$3:$U$10)*XLOOKUP(E$2,$AA$3:$AA$5,$AB$3:$AB$5)-ABS(XLOOKUP($C884,$Q$3:$Q$16,$R$3:$R$16)))*$B884,-5)</f>
        <v>29100000</v>
      </c>
      <c r="F884" s="16">
        <f t="shared" si="2649"/>
        <v>50900000</v>
      </c>
      <c r="G884" s="16">
        <f t="shared" si="2649"/>
        <v>55400000</v>
      </c>
      <c r="H884" s="17">
        <f t="shared" ref="H884:J884" si="2650">roundup((XLOOKUP($D884,$T$3:$T$10,$U$3:$U$10)*XLOOKUP(H$2,$AA$3:$AA$5,$AC$3:$AC$5)-ABS(XLOOKUP($C884,$Q$3:$Q$16,$R$3:$R$16)))*$B884,-5)</f>
        <v>24200000</v>
      </c>
      <c r="I884" s="17">
        <f t="shared" si="2650"/>
        <v>62800000</v>
      </c>
      <c r="J884" s="17">
        <f t="shared" si="2650"/>
        <v>68000000</v>
      </c>
      <c r="K884" s="17">
        <f t="shared" ref="K884:M884" si="2651">roundup((XLOOKUP($D884,$T$3:$T$10,$U$3:$U$10)*XLOOKUP(K$2,$AA$3:$AA$5,$AD$3:$AD$5)-ABS(XLOOKUP($C884,$Q$3:$Q$16,$R$3:$R$16)))*$B884,-5)</f>
        <v>28500000</v>
      </c>
      <c r="L884" s="17">
        <f t="shared" si="2651"/>
        <v>70800000</v>
      </c>
      <c r="M884" s="17">
        <f t="shared" si="2651"/>
        <v>76600000</v>
      </c>
    </row>
    <row r="885">
      <c r="A885" s="14" t="s">
        <v>928</v>
      </c>
      <c r="B885" s="14">
        <v>140.0</v>
      </c>
      <c r="C885" s="15">
        <f t="shared" si="4"/>
        <v>11</v>
      </c>
      <c r="D885" s="14" t="s">
        <v>197</v>
      </c>
      <c r="E885" s="16">
        <f t="shared" ref="E885:G885" si="2652">ROUNDUP((XLOOKUP($D885,$T$3:$T$10,$U$3:$U$10)*XLOOKUP(E$2,$AA$3:$AA$5,$AB$3:$AB$5)-ABS(XLOOKUP($C885,$Q$3:$Q$16,$R$3:$R$16)))*$B885,-5)</f>
        <v>33200000</v>
      </c>
      <c r="F885" s="16">
        <f t="shared" si="2652"/>
        <v>57900000</v>
      </c>
      <c r="G885" s="16">
        <f t="shared" si="2652"/>
        <v>63000000</v>
      </c>
      <c r="H885" s="17">
        <f t="shared" ref="H885:J885" si="2653">roundup((XLOOKUP($D885,$T$3:$T$10,$U$3:$U$10)*XLOOKUP(H$2,$AA$3:$AA$5,$AC$3:$AC$5)-ABS(XLOOKUP($C885,$Q$3:$Q$16,$R$3:$R$16)))*$B885,-5)</f>
        <v>27500000</v>
      </c>
      <c r="I885" s="17">
        <f t="shared" si="2653"/>
        <v>71400000</v>
      </c>
      <c r="J885" s="17">
        <f t="shared" si="2653"/>
        <v>77400000</v>
      </c>
      <c r="K885" s="17">
        <f t="shared" ref="K885:M885" si="2654">roundup((XLOOKUP($D885,$T$3:$T$10,$U$3:$U$10)*XLOOKUP(K$2,$AA$3:$AA$5,$AD$3:$AD$5)-ABS(XLOOKUP($C885,$Q$3:$Q$16,$R$3:$R$16)))*$B885,-5)</f>
        <v>32400000</v>
      </c>
      <c r="L885" s="17">
        <f t="shared" si="2654"/>
        <v>80600000</v>
      </c>
      <c r="M885" s="17">
        <f t="shared" si="2654"/>
        <v>87100000</v>
      </c>
    </row>
    <row r="886">
      <c r="A886" s="14" t="s">
        <v>929</v>
      </c>
      <c r="B886" s="14">
        <v>113.0</v>
      </c>
      <c r="C886" s="15">
        <f t="shared" si="4"/>
        <v>11</v>
      </c>
      <c r="D886" s="14" t="s">
        <v>197</v>
      </c>
      <c r="E886" s="16">
        <f t="shared" ref="E886:G886" si="2655">ROUNDUP((XLOOKUP($D886,$T$3:$T$10,$U$3:$U$10)*XLOOKUP(E$2,$AA$3:$AA$5,$AB$3:$AB$5)-ABS(XLOOKUP($C886,$Q$3:$Q$16,$R$3:$R$16)))*$B886,-5)</f>
        <v>26800000</v>
      </c>
      <c r="F886" s="16">
        <f t="shared" si="2655"/>
        <v>46800000</v>
      </c>
      <c r="G886" s="16">
        <f t="shared" si="2655"/>
        <v>50900000</v>
      </c>
      <c r="H886" s="17">
        <f t="shared" ref="H886:J886" si="2656">roundup((XLOOKUP($D886,$T$3:$T$10,$U$3:$U$10)*XLOOKUP(H$2,$AA$3:$AA$5,$AC$3:$AC$5)-ABS(XLOOKUP($C886,$Q$3:$Q$16,$R$3:$R$16)))*$B886,-5)</f>
        <v>22200000</v>
      </c>
      <c r="I886" s="17">
        <f t="shared" si="2656"/>
        <v>57700000</v>
      </c>
      <c r="J886" s="17">
        <f t="shared" si="2656"/>
        <v>62500000</v>
      </c>
      <c r="K886" s="17">
        <f t="shared" ref="K886:M886" si="2657">roundup((XLOOKUP($D886,$T$3:$T$10,$U$3:$U$10)*XLOOKUP(K$2,$AA$3:$AA$5,$AD$3:$AD$5)-ABS(XLOOKUP($C886,$Q$3:$Q$16,$R$3:$R$16)))*$B886,-5)</f>
        <v>26200000</v>
      </c>
      <c r="L886" s="17">
        <f t="shared" si="2657"/>
        <v>65000000</v>
      </c>
      <c r="M886" s="17">
        <f t="shared" si="2657"/>
        <v>70300000</v>
      </c>
    </row>
    <row r="887">
      <c r="A887" s="14" t="s">
        <v>930</v>
      </c>
      <c r="B887" s="14">
        <v>102.0</v>
      </c>
      <c r="C887" s="15">
        <f t="shared" si="4"/>
        <v>11</v>
      </c>
      <c r="D887" s="14" t="s">
        <v>197</v>
      </c>
      <c r="E887" s="16">
        <f t="shared" ref="E887:G887" si="2658">ROUNDUP((XLOOKUP($D887,$T$3:$T$10,$U$3:$U$10)*XLOOKUP(E$2,$AA$3:$AA$5,$AB$3:$AB$5)-ABS(XLOOKUP($C887,$Q$3:$Q$16,$R$3:$R$16)))*$B887,-5)</f>
        <v>24200000</v>
      </c>
      <c r="F887" s="16">
        <f t="shared" si="2658"/>
        <v>42200000</v>
      </c>
      <c r="G887" s="16">
        <f t="shared" si="2658"/>
        <v>45900000</v>
      </c>
      <c r="H887" s="17">
        <f t="shared" ref="H887:J887" si="2659">roundup((XLOOKUP($D887,$T$3:$T$10,$U$3:$U$10)*XLOOKUP(H$2,$AA$3:$AA$5,$AC$3:$AC$5)-ABS(XLOOKUP($C887,$Q$3:$Q$16,$R$3:$R$16)))*$B887,-5)</f>
        <v>20100000</v>
      </c>
      <c r="I887" s="17">
        <f t="shared" si="2659"/>
        <v>52000000</v>
      </c>
      <c r="J887" s="17">
        <f t="shared" si="2659"/>
        <v>56400000</v>
      </c>
      <c r="K887" s="17">
        <f t="shared" ref="K887:M887" si="2660">roundup((XLOOKUP($D887,$T$3:$T$10,$U$3:$U$10)*XLOOKUP(K$2,$AA$3:$AA$5,$AD$3:$AD$5)-ABS(XLOOKUP($C887,$Q$3:$Q$16,$R$3:$R$16)))*$B887,-5)</f>
        <v>23600000</v>
      </c>
      <c r="L887" s="17">
        <f t="shared" si="2660"/>
        <v>58700000</v>
      </c>
      <c r="M887" s="17">
        <f t="shared" si="2660"/>
        <v>63500000</v>
      </c>
    </row>
    <row r="888">
      <c r="A888" s="14" t="s">
        <v>931</v>
      </c>
      <c r="B888" s="14">
        <v>126.0</v>
      </c>
      <c r="C888" s="15">
        <f t="shared" si="4"/>
        <v>11</v>
      </c>
      <c r="D888" s="14" t="s">
        <v>197</v>
      </c>
      <c r="E888" s="16">
        <f t="shared" ref="E888:G888" si="2661">ROUNDUP((XLOOKUP($D888,$T$3:$T$10,$U$3:$U$10)*XLOOKUP(E$2,$AA$3:$AA$5,$AB$3:$AB$5)-ABS(XLOOKUP($C888,$Q$3:$Q$16,$R$3:$R$16)))*$B888,-5)</f>
        <v>29800000</v>
      </c>
      <c r="F888" s="16">
        <f t="shared" si="2661"/>
        <v>52100000</v>
      </c>
      <c r="G888" s="16">
        <f t="shared" si="2661"/>
        <v>56700000</v>
      </c>
      <c r="H888" s="17">
        <f t="shared" ref="H888:J888" si="2662">roundup((XLOOKUP($D888,$T$3:$T$10,$U$3:$U$10)*XLOOKUP(H$2,$AA$3:$AA$5,$AC$3:$AC$5)-ABS(XLOOKUP($C888,$Q$3:$Q$16,$R$3:$R$16)))*$B888,-5)</f>
        <v>24800000</v>
      </c>
      <c r="I888" s="17">
        <f t="shared" si="2662"/>
        <v>64300000</v>
      </c>
      <c r="J888" s="17">
        <f t="shared" si="2662"/>
        <v>69700000</v>
      </c>
      <c r="K888" s="17">
        <f t="shared" ref="K888:M888" si="2663">roundup((XLOOKUP($D888,$T$3:$T$10,$U$3:$U$10)*XLOOKUP(K$2,$AA$3:$AA$5,$AD$3:$AD$5)-ABS(XLOOKUP($C888,$Q$3:$Q$16,$R$3:$R$16)))*$B888,-5)</f>
        <v>29200000</v>
      </c>
      <c r="L888" s="17">
        <f t="shared" si="2663"/>
        <v>72500000</v>
      </c>
      <c r="M888" s="17">
        <f t="shared" si="2663"/>
        <v>78400000</v>
      </c>
    </row>
    <row r="889">
      <c r="A889" s="14" t="s">
        <v>932</v>
      </c>
      <c r="B889" s="14">
        <v>86.0</v>
      </c>
      <c r="C889" s="15">
        <f t="shared" si="4"/>
        <v>11</v>
      </c>
      <c r="D889" s="14" t="s">
        <v>197</v>
      </c>
      <c r="E889" s="16">
        <f t="shared" ref="E889:G889" si="2664">ROUNDUP((XLOOKUP($D889,$T$3:$T$10,$U$3:$U$10)*XLOOKUP(E$2,$AA$3:$AA$5,$AB$3:$AB$5)-ABS(XLOOKUP($C889,$Q$3:$Q$16,$R$3:$R$16)))*$B889,-5)</f>
        <v>20400000</v>
      </c>
      <c r="F889" s="16">
        <f t="shared" si="2664"/>
        <v>35600000</v>
      </c>
      <c r="G889" s="16">
        <f t="shared" si="2664"/>
        <v>38700000</v>
      </c>
      <c r="H889" s="17">
        <f t="shared" ref="H889:J889" si="2665">roundup((XLOOKUP($D889,$T$3:$T$10,$U$3:$U$10)*XLOOKUP(H$2,$AA$3:$AA$5,$AC$3:$AC$5)-ABS(XLOOKUP($C889,$Q$3:$Q$16,$R$3:$R$16)))*$B889,-5)</f>
        <v>16900000</v>
      </c>
      <c r="I889" s="17">
        <f t="shared" si="2665"/>
        <v>43900000</v>
      </c>
      <c r="J889" s="17">
        <f t="shared" si="2665"/>
        <v>47600000</v>
      </c>
      <c r="K889" s="17">
        <f t="shared" ref="K889:M889" si="2666">roundup((XLOOKUP($D889,$T$3:$T$10,$U$3:$U$10)*XLOOKUP(K$2,$AA$3:$AA$5,$AD$3:$AD$5)-ABS(XLOOKUP($C889,$Q$3:$Q$16,$R$3:$R$16)))*$B889,-5)</f>
        <v>19900000</v>
      </c>
      <c r="L889" s="17">
        <f t="shared" si="2666"/>
        <v>49500000</v>
      </c>
      <c r="M889" s="17">
        <f t="shared" si="2666"/>
        <v>53500000</v>
      </c>
    </row>
    <row r="890">
      <c r="A890" s="14" t="s">
        <v>933</v>
      </c>
      <c r="B890" s="14">
        <v>82.0</v>
      </c>
      <c r="C890" s="15">
        <f t="shared" si="4"/>
        <v>11</v>
      </c>
      <c r="D890" s="14" t="s">
        <v>197</v>
      </c>
      <c r="E890" s="16">
        <f t="shared" ref="E890:G890" si="2667">ROUNDUP((XLOOKUP($D890,$T$3:$T$10,$U$3:$U$10)*XLOOKUP(E$2,$AA$3:$AA$5,$AB$3:$AB$5)-ABS(XLOOKUP($C890,$Q$3:$Q$16,$R$3:$R$16)))*$B890,-5)</f>
        <v>19400000</v>
      </c>
      <c r="F890" s="16">
        <f t="shared" si="2667"/>
        <v>33900000</v>
      </c>
      <c r="G890" s="16">
        <f t="shared" si="2667"/>
        <v>36900000</v>
      </c>
      <c r="H890" s="17">
        <f t="shared" ref="H890:J890" si="2668">roundup((XLOOKUP($D890,$T$3:$T$10,$U$3:$U$10)*XLOOKUP(H$2,$AA$3:$AA$5,$AC$3:$AC$5)-ABS(XLOOKUP($C890,$Q$3:$Q$16,$R$3:$R$16)))*$B890,-5)</f>
        <v>16100000</v>
      </c>
      <c r="I890" s="17">
        <f t="shared" si="2668"/>
        <v>41900000</v>
      </c>
      <c r="J890" s="17">
        <f t="shared" si="2668"/>
        <v>45400000</v>
      </c>
      <c r="K890" s="17">
        <f t="shared" ref="K890:M890" si="2669">roundup((XLOOKUP($D890,$T$3:$T$10,$U$3:$U$10)*XLOOKUP(K$2,$AA$3:$AA$5,$AD$3:$AD$5)-ABS(XLOOKUP($C890,$Q$3:$Q$16,$R$3:$R$16)))*$B890,-5)</f>
        <v>19000000</v>
      </c>
      <c r="L890" s="17">
        <f t="shared" si="2669"/>
        <v>47200000</v>
      </c>
      <c r="M890" s="17">
        <f t="shared" si="2669"/>
        <v>51100000</v>
      </c>
    </row>
    <row r="891">
      <c r="A891" s="14" t="s">
        <v>934</v>
      </c>
      <c r="B891" s="14">
        <v>84.0</v>
      </c>
      <c r="C891" s="15">
        <f t="shared" si="4"/>
        <v>11</v>
      </c>
      <c r="D891" s="14" t="s">
        <v>197</v>
      </c>
      <c r="E891" s="16">
        <f t="shared" ref="E891:G891" si="2670">ROUNDUP((XLOOKUP($D891,$T$3:$T$10,$U$3:$U$10)*XLOOKUP(E$2,$AA$3:$AA$5,$AB$3:$AB$5)-ABS(XLOOKUP($C891,$Q$3:$Q$16,$R$3:$R$16)))*$B891,-5)</f>
        <v>19900000</v>
      </c>
      <c r="F891" s="16">
        <f t="shared" si="2670"/>
        <v>34800000</v>
      </c>
      <c r="G891" s="16">
        <f t="shared" si="2670"/>
        <v>37800000</v>
      </c>
      <c r="H891" s="17">
        <f t="shared" ref="H891:J891" si="2671">roundup((XLOOKUP($D891,$T$3:$T$10,$U$3:$U$10)*XLOOKUP(H$2,$AA$3:$AA$5,$AC$3:$AC$5)-ABS(XLOOKUP($C891,$Q$3:$Q$16,$R$3:$R$16)))*$B891,-5)</f>
        <v>16500000</v>
      </c>
      <c r="I891" s="17">
        <f t="shared" si="2671"/>
        <v>42900000</v>
      </c>
      <c r="J891" s="17">
        <f t="shared" si="2671"/>
        <v>46500000</v>
      </c>
      <c r="K891" s="17">
        <f t="shared" ref="K891:M891" si="2672">roundup((XLOOKUP($D891,$T$3:$T$10,$U$3:$U$10)*XLOOKUP(K$2,$AA$3:$AA$5,$AD$3:$AD$5)-ABS(XLOOKUP($C891,$Q$3:$Q$16,$R$3:$R$16)))*$B891,-5)</f>
        <v>19500000</v>
      </c>
      <c r="L891" s="17">
        <f t="shared" si="2672"/>
        <v>48400000</v>
      </c>
      <c r="M891" s="17">
        <f t="shared" si="2672"/>
        <v>52300000</v>
      </c>
    </row>
    <row r="892">
      <c r="A892" s="14" t="s">
        <v>935</v>
      </c>
      <c r="B892" s="14">
        <v>118.0</v>
      </c>
      <c r="C892" s="15">
        <f t="shared" si="4"/>
        <v>11</v>
      </c>
      <c r="D892" s="14" t="s">
        <v>197</v>
      </c>
      <c r="E892" s="16">
        <f t="shared" ref="E892:G892" si="2673">ROUNDUP((XLOOKUP($D892,$T$3:$T$10,$U$3:$U$10)*XLOOKUP(E$2,$AA$3:$AA$5,$AB$3:$AB$5)-ABS(XLOOKUP($C892,$Q$3:$Q$16,$R$3:$R$16)))*$B892,-5)</f>
        <v>28000000</v>
      </c>
      <c r="F892" s="16">
        <f t="shared" si="2673"/>
        <v>48800000</v>
      </c>
      <c r="G892" s="16">
        <f t="shared" si="2673"/>
        <v>53100000</v>
      </c>
      <c r="H892" s="17">
        <f t="shared" ref="H892:J892" si="2674">roundup((XLOOKUP($D892,$T$3:$T$10,$U$3:$U$10)*XLOOKUP(H$2,$AA$3:$AA$5,$AC$3:$AC$5)-ABS(XLOOKUP($C892,$Q$3:$Q$16,$R$3:$R$16)))*$B892,-5)</f>
        <v>23200000</v>
      </c>
      <c r="I892" s="17">
        <f t="shared" si="2674"/>
        <v>60200000</v>
      </c>
      <c r="J892" s="17">
        <f t="shared" si="2674"/>
        <v>65200000</v>
      </c>
      <c r="K892" s="17">
        <f t="shared" ref="K892:M892" si="2675">roundup((XLOOKUP($D892,$T$3:$T$10,$U$3:$U$10)*XLOOKUP(K$2,$AA$3:$AA$5,$AD$3:$AD$5)-ABS(XLOOKUP($C892,$Q$3:$Q$16,$R$3:$R$16)))*$B892,-5)</f>
        <v>27300000</v>
      </c>
      <c r="L892" s="17">
        <f t="shared" si="2675"/>
        <v>67900000</v>
      </c>
      <c r="M892" s="17">
        <f t="shared" si="2675"/>
        <v>73400000</v>
      </c>
    </row>
    <row r="893">
      <c r="A893" s="14" t="s">
        <v>936</v>
      </c>
      <c r="B893" s="14">
        <v>218.0</v>
      </c>
      <c r="C893" s="15">
        <f t="shared" si="4"/>
        <v>13</v>
      </c>
      <c r="D893" s="14" t="s">
        <v>33</v>
      </c>
      <c r="E893" s="16">
        <f t="shared" ref="E893:G893" si="2676">ROUNDUP((XLOOKUP($D893,$T$3:$T$10,$U$3:$U$10)*XLOOKUP(E$2,$AA$3:$AA$5,$AB$3:$AB$5)-ABS(XLOOKUP($C893,$Q$3:$Q$16,$R$3:$R$16)))*$B893,-5)</f>
        <v>42900000</v>
      </c>
      <c r="F893" s="16">
        <f t="shared" si="2676"/>
        <v>79600000</v>
      </c>
      <c r="G893" s="16">
        <f t="shared" si="2676"/>
        <v>87100000</v>
      </c>
      <c r="H893" s="17">
        <f t="shared" ref="H893:J893" si="2677">roundup((XLOOKUP($D893,$T$3:$T$10,$U$3:$U$10)*XLOOKUP(H$2,$AA$3:$AA$5,$AC$3:$AC$5)-ABS(XLOOKUP($C893,$Q$3:$Q$16,$R$3:$R$16)))*$B893,-5)</f>
        <v>34600000</v>
      </c>
      <c r="I893" s="17">
        <f t="shared" si="2677"/>
        <v>99500000</v>
      </c>
      <c r="J893" s="17">
        <f t="shared" si="2677"/>
        <v>108400000</v>
      </c>
      <c r="K893" s="17">
        <f t="shared" ref="K893:M893" si="2678">roundup((XLOOKUP($D893,$T$3:$T$10,$U$3:$U$10)*XLOOKUP(K$2,$AA$3:$AA$5,$AD$3:$AD$5)-ABS(XLOOKUP($C893,$Q$3:$Q$16,$R$3:$R$16)))*$B893,-5)</f>
        <v>41800000</v>
      </c>
      <c r="L893" s="17">
        <f t="shared" si="2678"/>
        <v>113000000</v>
      </c>
      <c r="M893" s="17">
        <f t="shared" si="2678"/>
        <v>122800000</v>
      </c>
    </row>
    <row r="894">
      <c r="A894" s="14" t="s">
        <v>937</v>
      </c>
      <c r="B894" s="14">
        <v>201.0</v>
      </c>
      <c r="C894" s="15">
        <f t="shared" si="4"/>
        <v>13</v>
      </c>
      <c r="D894" s="14" t="s">
        <v>33</v>
      </c>
      <c r="E894" s="16">
        <f t="shared" ref="E894:G894" si="2679">ROUNDUP((XLOOKUP($D894,$T$3:$T$10,$U$3:$U$10)*XLOOKUP(E$2,$AA$3:$AA$5,$AB$3:$AB$5)-ABS(XLOOKUP($C894,$Q$3:$Q$16,$R$3:$R$16)))*$B894,-5)</f>
        <v>39600000</v>
      </c>
      <c r="F894" s="16">
        <f t="shared" si="2679"/>
        <v>73400000</v>
      </c>
      <c r="G894" s="16">
        <f t="shared" si="2679"/>
        <v>80300000</v>
      </c>
      <c r="H894" s="17">
        <f t="shared" ref="H894:J894" si="2680">roundup((XLOOKUP($D894,$T$3:$T$10,$U$3:$U$10)*XLOOKUP(H$2,$AA$3:$AA$5,$AC$3:$AC$5)-ABS(XLOOKUP($C894,$Q$3:$Q$16,$R$3:$R$16)))*$B894,-5)</f>
        <v>31900000</v>
      </c>
      <c r="I894" s="17">
        <f t="shared" si="2680"/>
        <v>91800000</v>
      </c>
      <c r="J894" s="17">
        <f t="shared" si="2680"/>
        <v>99900000</v>
      </c>
      <c r="K894" s="17">
        <f t="shared" ref="K894:M894" si="2681">roundup((XLOOKUP($D894,$T$3:$T$10,$U$3:$U$10)*XLOOKUP(K$2,$AA$3:$AA$5,$AD$3:$AD$5)-ABS(XLOOKUP($C894,$Q$3:$Q$16,$R$3:$R$16)))*$B894,-5)</f>
        <v>38500000</v>
      </c>
      <c r="L894" s="17">
        <f t="shared" si="2681"/>
        <v>104200000</v>
      </c>
      <c r="M894" s="17">
        <f t="shared" si="2681"/>
        <v>113200000</v>
      </c>
    </row>
    <row r="895">
      <c r="A895" s="14" t="s">
        <v>938</v>
      </c>
      <c r="B895" s="14">
        <v>119.0</v>
      </c>
      <c r="C895" s="15">
        <f t="shared" si="4"/>
        <v>11</v>
      </c>
      <c r="D895" s="14" t="s">
        <v>33</v>
      </c>
      <c r="E895" s="16">
        <f t="shared" ref="E895:G895" si="2682">ROUNDUP((XLOOKUP($D895,$T$3:$T$10,$U$3:$U$10)*XLOOKUP(E$2,$AA$3:$AA$5,$AB$3:$AB$5)-ABS(XLOOKUP($C895,$Q$3:$Q$16,$R$3:$R$16)))*$B895,-5)</f>
        <v>25800000</v>
      </c>
      <c r="F895" s="16">
        <f t="shared" si="2682"/>
        <v>45800000</v>
      </c>
      <c r="G895" s="16">
        <f t="shared" si="2682"/>
        <v>50000000</v>
      </c>
      <c r="H895" s="17">
        <f t="shared" ref="H895:J895" si="2683">roundup((XLOOKUP($D895,$T$3:$T$10,$U$3:$U$10)*XLOOKUP(H$2,$AA$3:$AA$5,$AC$3:$AC$5)-ABS(XLOOKUP($C895,$Q$3:$Q$16,$R$3:$R$16)))*$B895,-5)</f>
        <v>21300000</v>
      </c>
      <c r="I895" s="17">
        <f t="shared" si="2683"/>
        <v>56700000</v>
      </c>
      <c r="J895" s="17">
        <f t="shared" si="2683"/>
        <v>61600000</v>
      </c>
      <c r="K895" s="17">
        <f t="shared" ref="K895:M895" si="2684">roundup((XLOOKUP($D895,$T$3:$T$10,$U$3:$U$10)*XLOOKUP(K$2,$AA$3:$AA$5,$AD$3:$AD$5)-ABS(XLOOKUP($C895,$Q$3:$Q$16,$R$3:$R$16)))*$B895,-5)</f>
        <v>25200000</v>
      </c>
      <c r="L895" s="17">
        <f t="shared" si="2684"/>
        <v>64100000</v>
      </c>
      <c r="M895" s="17">
        <f t="shared" si="2684"/>
        <v>69400000</v>
      </c>
    </row>
    <row r="896">
      <c r="A896" s="14" t="s">
        <v>939</v>
      </c>
      <c r="B896" s="14">
        <v>93.0</v>
      </c>
      <c r="C896" s="15">
        <f t="shared" si="4"/>
        <v>11</v>
      </c>
      <c r="D896" s="14" t="s">
        <v>33</v>
      </c>
      <c r="E896" s="16">
        <f t="shared" ref="E896:G896" si="2685">ROUNDUP((XLOOKUP($D896,$T$3:$T$10,$U$3:$U$10)*XLOOKUP(E$2,$AA$3:$AA$5,$AB$3:$AB$5)-ABS(XLOOKUP($C896,$Q$3:$Q$16,$R$3:$R$16)))*$B896,-5)</f>
        <v>20200000</v>
      </c>
      <c r="F896" s="16">
        <f t="shared" si="2685"/>
        <v>35800000</v>
      </c>
      <c r="G896" s="16">
        <f t="shared" si="2685"/>
        <v>39100000</v>
      </c>
      <c r="H896" s="17">
        <f t="shared" ref="H896:J896" si="2686">roundup((XLOOKUP($D896,$T$3:$T$10,$U$3:$U$10)*XLOOKUP(H$2,$AA$3:$AA$5,$AC$3:$AC$5)-ABS(XLOOKUP($C896,$Q$3:$Q$16,$R$3:$R$16)))*$B896,-5)</f>
        <v>16600000</v>
      </c>
      <c r="I896" s="17">
        <f t="shared" si="2686"/>
        <v>44300000</v>
      </c>
      <c r="J896" s="17">
        <f t="shared" si="2686"/>
        <v>48100000</v>
      </c>
      <c r="K896" s="17">
        <f t="shared" ref="K896:M896" si="2687">roundup((XLOOKUP($D896,$T$3:$T$10,$U$3:$U$10)*XLOOKUP(K$2,$AA$3:$AA$5,$AD$3:$AD$5)-ABS(XLOOKUP($C896,$Q$3:$Q$16,$R$3:$R$16)))*$B896,-5)</f>
        <v>19700000</v>
      </c>
      <c r="L896" s="17">
        <f t="shared" si="2687"/>
        <v>50100000</v>
      </c>
      <c r="M896" s="17">
        <f t="shared" si="2687"/>
        <v>54300000</v>
      </c>
    </row>
    <row r="897">
      <c r="A897" s="14" t="s">
        <v>940</v>
      </c>
      <c r="B897" s="14">
        <v>232.0</v>
      </c>
      <c r="C897" s="15">
        <f t="shared" si="4"/>
        <v>14</v>
      </c>
      <c r="D897" s="14" t="s">
        <v>36</v>
      </c>
      <c r="E897" s="16">
        <f t="shared" ref="E897:G897" si="2688">ROUNDUP((XLOOKUP($D897,$T$3:$T$10,$U$3:$U$10)*XLOOKUP(E$2,$AA$3:$AA$5,$AB$3:$AB$5)-ABS(XLOOKUP($C897,$Q$3:$Q$16,$R$3:$R$16)))*$B897,-5)</f>
        <v>54100000</v>
      </c>
      <c r="F897" s="16">
        <f t="shared" si="2688"/>
        <v>97800000</v>
      </c>
      <c r="G897" s="16">
        <f t="shared" si="2688"/>
        <v>106900000</v>
      </c>
      <c r="H897" s="17">
        <f t="shared" ref="H897:J897" si="2689">roundup((XLOOKUP($D897,$T$3:$T$10,$U$3:$U$10)*XLOOKUP(H$2,$AA$3:$AA$5,$AC$3:$AC$5)-ABS(XLOOKUP($C897,$Q$3:$Q$16,$R$3:$R$16)))*$B897,-5)</f>
        <v>44200000</v>
      </c>
      <c r="I897" s="17">
        <f t="shared" si="2689"/>
        <v>121700000</v>
      </c>
      <c r="J897" s="17">
        <f t="shared" si="2689"/>
        <v>132200000</v>
      </c>
      <c r="K897" s="17">
        <f t="shared" ref="K897:M897" si="2690">roundup((XLOOKUP($D897,$T$3:$T$10,$U$3:$U$10)*XLOOKUP(K$2,$AA$3:$AA$5,$AD$3:$AD$5)-ABS(XLOOKUP($C897,$Q$3:$Q$16,$R$3:$R$16)))*$B897,-5)</f>
        <v>52800000</v>
      </c>
      <c r="L897" s="17">
        <f t="shared" si="2690"/>
        <v>137800000</v>
      </c>
      <c r="M897" s="17">
        <f t="shared" si="2690"/>
        <v>149400000</v>
      </c>
    </row>
    <row r="898">
      <c r="A898" s="14" t="s">
        <v>941</v>
      </c>
      <c r="B898" s="14">
        <v>200.0</v>
      </c>
      <c r="C898" s="15">
        <f t="shared" si="4"/>
        <v>13</v>
      </c>
      <c r="D898" s="14" t="s">
        <v>36</v>
      </c>
      <c r="E898" s="16">
        <f t="shared" ref="E898:G898" si="2691">ROUNDUP((XLOOKUP($D898,$T$3:$T$10,$U$3:$U$10)*XLOOKUP(E$2,$AA$3:$AA$5,$AB$3:$AB$5)-ABS(XLOOKUP($C898,$Q$3:$Q$16,$R$3:$R$16)))*$B898,-5)</f>
        <v>48500000</v>
      </c>
      <c r="F898" s="16">
        <f t="shared" si="2691"/>
        <v>86200000</v>
      </c>
      <c r="G898" s="16">
        <f t="shared" si="2691"/>
        <v>93900000</v>
      </c>
      <c r="H898" s="17">
        <f t="shared" ref="H898:J898" si="2692">roundup((XLOOKUP($D898,$T$3:$T$10,$U$3:$U$10)*XLOOKUP(H$2,$AA$3:$AA$5,$AC$3:$AC$5)-ABS(XLOOKUP($C898,$Q$3:$Q$16,$R$3:$R$16)))*$B898,-5)</f>
        <v>39900000</v>
      </c>
      <c r="I898" s="17">
        <f t="shared" si="2692"/>
        <v>106700000</v>
      </c>
      <c r="J898" s="17">
        <f t="shared" si="2692"/>
        <v>115800000</v>
      </c>
      <c r="K898" s="17">
        <f t="shared" ref="K898:M898" si="2693">roundup((XLOOKUP($D898,$T$3:$T$10,$U$3:$U$10)*XLOOKUP(K$2,$AA$3:$AA$5,$AD$3:$AD$5)-ABS(XLOOKUP($C898,$Q$3:$Q$16,$R$3:$R$16)))*$B898,-5)</f>
        <v>47300000</v>
      </c>
      <c r="L898" s="17">
        <f t="shared" si="2693"/>
        <v>120600000</v>
      </c>
      <c r="M898" s="17">
        <f t="shared" si="2693"/>
        <v>130600000</v>
      </c>
    </row>
    <row r="899">
      <c r="A899" s="14" t="s">
        <v>942</v>
      </c>
      <c r="B899" s="14">
        <v>208.0</v>
      </c>
      <c r="C899" s="15">
        <f t="shared" si="4"/>
        <v>13</v>
      </c>
      <c r="D899" s="14" t="s">
        <v>33</v>
      </c>
      <c r="E899" s="16">
        <f t="shared" ref="E899:G899" si="2694">ROUNDUP((XLOOKUP($D899,$T$3:$T$10,$U$3:$U$10)*XLOOKUP(E$2,$AA$3:$AA$5,$AB$3:$AB$5)-ABS(XLOOKUP($C899,$Q$3:$Q$16,$R$3:$R$16)))*$B899,-5)</f>
        <v>41000000</v>
      </c>
      <c r="F899" s="16">
        <f t="shared" si="2694"/>
        <v>75900000</v>
      </c>
      <c r="G899" s="16">
        <f t="shared" si="2694"/>
        <v>83100000</v>
      </c>
      <c r="H899" s="17">
        <f t="shared" ref="H899:J899" si="2695">roundup((XLOOKUP($D899,$T$3:$T$10,$U$3:$U$10)*XLOOKUP(H$2,$AA$3:$AA$5,$AC$3:$AC$5)-ABS(XLOOKUP($C899,$Q$3:$Q$16,$R$3:$R$16)))*$B899,-5)</f>
        <v>33000000</v>
      </c>
      <c r="I899" s="17">
        <f t="shared" si="2695"/>
        <v>95000000</v>
      </c>
      <c r="J899" s="17">
        <f t="shared" si="2695"/>
        <v>103400000</v>
      </c>
      <c r="K899" s="17">
        <f t="shared" ref="K899:M899" si="2696">roundup((XLOOKUP($D899,$T$3:$T$10,$U$3:$U$10)*XLOOKUP(K$2,$AA$3:$AA$5,$AD$3:$AD$5)-ABS(XLOOKUP($C899,$Q$3:$Q$16,$R$3:$R$16)))*$B899,-5)</f>
        <v>39900000</v>
      </c>
      <c r="L899" s="17">
        <f t="shared" si="2696"/>
        <v>107900000</v>
      </c>
      <c r="M899" s="17">
        <f t="shared" si="2696"/>
        <v>117100000</v>
      </c>
    </row>
    <row r="900">
      <c r="A900" s="14" t="s">
        <v>943</v>
      </c>
      <c r="B900" s="14">
        <v>177.0</v>
      </c>
      <c r="C900" s="15">
        <f t="shared" si="4"/>
        <v>12</v>
      </c>
      <c r="D900" s="14" t="s">
        <v>33</v>
      </c>
      <c r="E900" s="16">
        <f t="shared" ref="E900:G900" si="2697">ROUNDUP((XLOOKUP($D900,$T$3:$T$10,$U$3:$U$10)*XLOOKUP(E$2,$AA$3:$AA$5,$AB$3:$AB$5)-ABS(XLOOKUP($C900,$Q$3:$Q$16,$R$3:$R$16)))*$B900,-5)</f>
        <v>37500000</v>
      </c>
      <c r="F900" s="16">
        <f t="shared" si="2697"/>
        <v>67300000</v>
      </c>
      <c r="G900" s="16">
        <f t="shared" si="2697"/>
        <v>73400000</v>
      </c>
      <c r="H900" s="17">
        <f t="shared" ref="H900:J900" si="2698">roundup((XLOOKUP($D900,$T$3:$T$10,$U$3:$U$10)*XLOOKUP(H$2,$AA$3:$AA$5,$AC$3:$AC$5)-ABS(XLOOKUP($C900,$Q$3:$Q$16,$R$3:$R$16)))*$B900,-5)</f>
        <v>30700000</v>
      </c>
      <c r="I900" s="17">
        <f t="shared" si="2698"/>
        <v>83500000</v>
      </c>
      <c r="J900" s="17">
        <f t="shared" si="2698"/>
        <v>90600000</v>
      </c>
      <c r="K900" s="17">
        <f t="shared" ref="K900:M900" si="2699">roundup((XLOOKUP($D900,$T$3:$T$10,$U$3:$U$10)*XLOOKUP(K$2,$AA$3:$AA$5,$AD$3:$AD$5)-ABS(XLOOKUP($C900,$Q$3:$Q$16,$R$3:$R$16)))*$B900,-5)</f>
        <v>36600000</v>
      </c>
      <c r="L900" s="17">
        <f t="shared" si="2699"/>
        <v>94400000</v>
      </c>
      <c r="M900" s="17">
        <f t="shared" si="2699"/>
        <v>102300000</v>
      </c>
    </row>
    <row r="901">
      <c r="A901" s="14" t="s">
        <v>944</v>
      </c>
      <c r="B901" s="14">
        <v>151.0</v>
      </c>
      <c r="C901" s="15">
        <f t="shared" si="4"/>
        <v>11</v>
      </c>
      <c r="D901" s="14" t="s">
        <v>36</v>
      </c>
      <c r="E901" s="16">
        <f t="shared" ref="E901:G901" si="2700">ROUNDUP((XLOOKUP($D901,$T$3:$T$10,$U$3:$U$10)*XLOOKUP(E$2,$AA$3:$AA$5,$AB$3:$AB$5)-ABS(XLOOKUP($C901,$Q$3:$Q$16,$R$3:$R$16)))*$B901,-5)</f>
        <v>39600000</v>
      </c>
      <c r="F901" s="16">
        <f t="shared" si="2700"/>
        <v>68100000</v>
      </c>
      <c r="G901" s="16">
        <f t="shared" si="2700"/>
        <v>74000000</v>
      </c>
      <c r="H901" s="17">
        <f t="shared" ref="H901:J901" si="2701">roundup((XLOOKUP($D901,$T$3:$T$10,$U$3:$U$10)*XLOOKUP(H$2,$AA$3:$AA$5,$AC$3:$AC$5)-ABS(XLOOKUP($C901,$Q$3:$Q$16,$R$3:$R$16)))*$B901,-5)</f>
        <v>33200000</v>
      </c>
      <c r="I901" s="17">
        <f t="shared" si="2701"/>
        <v>83600000</v>
      </c>
      <c r="J901" s="17">
        <f t="shared" si="2701"/>
        <v>90400000</v>
      </c>
      <c r="K901" s="17">
        <f t="shared" ref="K901:M901" si="2702">roundup((XLOOKUP($D901,$T$3:$T$10,$U$3:$U$10)*XLOOKUP(K$2,$AA$3:$AA$5,$AD$3:$AD$5)-ABS(XLOOKUP($C901,$Q$3:$Q$16,$R$3:$R$16)))*$B901,-5)</f>
        <v>38800000</v>
      </c>
      <c r="L901" s="17">
        <f t="shared" si="2702"/>
        <v>94100000</v>
      </c>
      <c r="M901" s="17">
        <f t="shared" si="2702"/>
        <v>101600000</v>
      </c>
    </row>
    <row r="902">
      <c r="A902" s="14" t="s">
        <v>945</v>
      </c>
      <c r="B902" s="14">
        <v>184.0</v>
      </c>
      <c r="C902" s="15">
        <f t="shared" si="4"/>
        <v>13</v>
      </c>
      <c r="D902" s="14" t="s">
        <v>36</v>
      </c>
      <c r="E902" s="16">
        <f t="shared" ref="E902:G902" si="2703">ROUNDUP((XLOOKUP($D902,$T$3:$T$10,$U$3:$U$10)*XLOOKUP(E$2,$AA$3:$AA$5,$AB$3:$AB$5)-ABS(XLOOKUP($C902,$Q$3:$Q$16,$R$3:$R$16)))*$B902,-5)</f>
        <v>44600000</v>
      </c>
      <c r="F902" s="16">
        <f t="shared" si="2703"/>
        <v>79300000</v>
      </c>
      <c r="G902" s="16">
        <f t="shared" si="2703"/>
        <v>86400000</v>
      </c>
      <c r="H902" s="17">
        <f t="shared" ref="H902:J902" si="2704">roundup((XLOOKUP($D902,$T$3:$T$10,$U$3:$U$10)*XLOOKUP(H$2,$AA$3:$AA$5,$AC$3:$AC$5)-ABS(XLOOKUP($C902,$Q$3:$Q$16,$R$3:$R$16)))*$B902,-5)</f>
        <v>36700000</v>
      </c>
      <c r="I902" s="17">
        <f t="shared" si="2704"/>
        <v>98100000</v>
      </c>
      <c r="J902" s="17">
        <f t="shared" si="2704"/>
        <v>106500000</v>
      </c>
      <c r="K902" s="17">
        <f t="shared" ref="K902:M902" si="2705">roundup((XLOOKUP($D902,$T$3:$T$10,$U$3:$U$10)*XLOOKUP(K$2,$AA$3:$AA$5,$AD$3:$AD$5)-ABS(XLOOKUP($C902,$Q$3:$Q$16,$R$3:$R$16)))*$B902,-5)</f>
        <v>43500000</v>
      </c>
      <c r="L902" s="17">
        <f t="shared" si="2705"/>
        <v>110900000</v>
      </c>
      <c r="M902" s="17">
        <f t="shared" si="2705"/>
        <v>120100000</v>
      </c>
    </row>
    <row r="903">
      <c r="A903" s="14" t="s">
        <v>946</v>
      </c>
      <c r="B903" s="14">
        <v>135.0</v>
      </c>
      <c r="C903" s="15">
        <f t="shared" si="4"/>
        <v>11</v>
      </c>
      <c r="D903" s="14" t="s">
        <v>36</v>
      </c>
      <c r="E903" s="16">
        <f t="shared" ref="E903:G903" si="2706">ROUNDUP((XLOOKUP($D903,$T$3:$T$10,$U$3:$U$10)*XLOOKUP(E$2,$AA$3:$AA$5,$AB$3:$AB$5)-ABS(XLOOKUP($C903,$Q$3:$Q$16,$R$3:$R$16)))*$B903,-5)</f>
        <v>35400000</v>
      </c>
      <c r="F903" s="16">
        <f t="shared" si="2706"/>
        <v>60900000</v>
      </c>
      <c r="G903" s="16">
        <f t="shared" si="2706"/>
        <v>66100000</v>
      </c>
      <c r="H903" s="17">
        <f t="shared" ref="H903:J903" si="2707">roundup((XLOOKUP($D903,$T$3:$T$10,$U$3:$U$10)*XLOOKUP(H$2,$AA$3:$AA$5,$AC$3:$AC$5)-ABS(XLOOKUP($C903,$Q$3:$Q$16,$R$3:$R$16)))*$B903,-5)</f>
        <v>29700000</v>
      </c>
      <c r="I903" s="17">
        <f t="shared" si="2707"/>
        <v>74700000</v>
      </c>
      <c r="J903" s="17">
        <f t="shared" si="2707"/>
        <v>80900000</v>
      </c>
      <c r="K903" s="17">
        <f t="shared" ref="K903:M903" si="2708">roundup((XLOOKUP($D903,$T$3:$T$10,$U$3:$U$10)*XLOOKUP(K$2,$AA$3:$AA$5,$AD$3:$AD$5)-ABS(XLOOKUP($C903,$Q$3:$Q$16,$R$3:$R$16)))*$B903,-5)</f>
        <v>34700000</v>
      </c>
      <c r="L903" s="17">
        <f t="shared" si="2708"/>
        <v>84100000</v>
      </c>
      <c r="M903" s="17">
        <f t="shared" si="2708"/>
        <v>90900000</v>
      </c>
    </row>
    <row r="904">
      <c r="A904" s="14" t="s">
        <v>947</v>
      </c>
      <c r="B904" s="14">
        <v>129.0</v>
      </c>
      <c r="C904" s="15">
        <f t="shared" si="4"/>
        <v>11</v>
      </c>
      <c r="D904" s="14" t="s">
        <v>36</v>
      </c>
      <c r="E904" s="16">
        <f t="shared" ref="E904:G904" si="2709">ROUNDUP((XLOOKUP($D904,$T$3:$T$10,$U$3:$U$10)*XLOOKUP(E$2,$AA$3:$AA$5,$AB$3:$AB$5)-ABS(XLOOKUP($C904,$Q$3:$Q$16,$R$3:$R$16)))*$B904,-5)</f>
        <v>33900000</v>
      </c>
      <c r="F904" s="16">
        <f t="shared" si="2709"/>
        <v>58200000</v>
      </c>
      <c r="G904" s="16">
        <f t="shared" si="2709"/>
        <v>63200000</v>
      </c>
      <c r="H904" s="17">
        <f t="shared" ref="H904:J904" si="2710">roundup((XLOOKUP($D904,$T$3:$T$10,$U$3:$U$10)*XLOOKUP(H$2,$AA$3:$AA$5,$AC$3:$AC$5)-ABS(XLOOKUP($C904,$Q$3:$Q$16,$R$3:$R$16)))*$B904,-5)</f>
        <v>28300000</v>
      </c>
      <c r="I904" s="17">
        <f t="shared" si="2710"/>
        <v>71400000</v>
      </c>
      <c r="J904" s="17">
        <f t="shared" si="2710"/>
        <v>77300000</v>
      </c>
      <c r="K904" s="17">
        <f t="shared" ref="K904:M904" si="2711">roundup((XLOOKUP($D904,$T$3:$T$10,$U$3:$U$10)*XLOOKUP(K$2,$AA$3:$AA$5,$AD$3:$AD$5)-ABS(XLOOKUP($C904,$Q$3:$Q$16,$R$3:$R$16)))*$B904,-5)</f>
        <v>33100000</v>
      </c>
      <c r="L904" s="17">
        <f t="shared" si="2711"/>
        <v>80400000</v>
      </c>
      <c r="M904" s="17">
        <f t="shared" si="2711"/>
        <v>86800000</v>
      </c>
    </row>
    <row r="905">
      <c r="A905" s="14" t="s">
        <v>948</v>
      </c>
      <c r="B905" s="14">
        <v>156.0</v>
      </c>
      <c r="C905" s="15">
        <f t="shared" si="4"/>
        <v>11</v>
      </c>
      <c r="D905" s="14" t="s">
        <v>36</v>
      </c>
      <c r="E905" s="16">
        <f t="shared" ref="E905:G905" si="2712">ROUNDUP((XLOOKUP($D905,$T$3:$T$10,$U$3:$U$10)*XLOOKUP(E$2,$AA$3:$AA$5,$AB$3:$AB$5)-ABS(XLOOKUP($C905,$Q$3:$Q$16,$R$3:$R$16)))*$B905,-5)</f>
        <v>40900000</v>
      </c>
      <c r="F905" s="16">
        <f t="shared" si="2712"/>
        <v>70300000</v>
      </c>
      <c r="G905" s="16">
        <f t="shared" si="2712"/>
        <v>76400000</v>
      </c>
      <c r="H905" s="17">
        <f t="shared" ref="H905:J905" si="2713">roundup((XLOOKUP($D905,$T$3:$T$10,$U$3:$U$10)*XLOOKUP(H$2,$AA$3:$AA$5,$AC$3:$AC$5)-ABS(XLOOKUP($C905,$Q$3:$Q$16,$R$3:$R$16)))*$B905,-5)</f>
        <v>34300000</v>
      </c>
      <c r="I905" s="17">
        <f t="shared" si="2713"/>
        <v>86300000</v>
      </c>
      <c r="J905" s="17">
        <f t="shared" si="2713"/>
        <v>93400000</v>
      </c>
      <c r="K905" s="17">
        <f t="shared" ref="K905:M905" si="2714">roundup((XLOOKUP($D905,$T$3:$T$10,$U$3:$U$10)*XLOOKUP(K$2,$AA$3:$AA$5,$AD$3:$AD$5)-ABS(XLOOKUP($C905,$Q$3:$Q$16,$R$3:$R$16)))*$B905,-5)</f>
        <v>40000000</v>
      </c>
      <c r="L905" s="17">
        <f t="shared" si="2714"/>
        <v>97200000</v>
      </c>
      <c r="M905" s="17">
        <f t="shared" si="2714"/>
        <v>105000000</v>
      </c>
    </row>
    <row r="906">
      <c r="A906" s="14" t="s">
        <v>949</v>
      </c>
      <c r="B906" s="14">
        <v>171.0</v>
      </c>
      <c r="C906" s="15">
        <f t="shared" si="4"/>
        <v>12</v>
      </c>
      <c r="D906" s="14" t="s">
        <v>33</v>
      </c>
      <c r="E906" s="16">
        <f t="shared" ref="E906:G906" si="2715">ROUNDUP((XLOOKUP($D906,$T$3:$T$10,$U$3:$U$10)*XLOOKUP(E$2,$AA$3:$AA$5,$AB$3:$AB$5)-ABS(XLOOKUP($C906,$Q$3:$Q$16,$R$3:$R$16)))*$B906,-5)</f>
        <v>36200000</v>
      </c>
      <c r="F906" s="16">
        <f t="shared" si="2715"/>
        <v>65000000</v>
      </c>
      <c r="G906" s="16">
        <f t="shared" si="2715"/>
        <v>70900000</v>
      </c>
      <c r="H906" s="17">
        <f t="shared" ref="H906:J906" si="2716">roundup((XLOOKUP($D906,$T$3:$T$10,$U$3:$U$10)*XLOOKUP(H$2,$AA$3:$AA$5,$AC$3:$AC$5)-ABS(XLOOKUP($C906,$Q$3:$Q$16,$R$3:$R$16)))*$B906,-5)</f>
        <v>29700000</v>
      </c>
      <c r="I906" s="17">
        <f t="shared" si="2716"/>
        <v>80600000</v>
      </c>
      <c r="J906" s="17">
        <f t="shared" si="2716"/>
        <v>87600000</v>
      </c>
      <c r="K906" s="17">
        <f t="shared" ref="K906:M906" si="2717">roundup((XLOOKUP($D906,$T$3:$T$10,$U$3:$U$10)*XLOOKUP(K$2,$AA$3:$AA$5,$AD$3:$AD$5)-ABS(XLOOKUP($C906,$Q$3:$Q$16,$R$3:$R$16)))*$B906,-5)</f>
        <v>35400000</v>
      </c>
      <c r="L906" s="17">
        <f t="shared" si="2717"/>
        <v>91200000</v>
      </c>
      <c r="M906" s="17">
        <f t="shared" si="2717"/>
        <v>98900000</v>
      </c>
    </row>
    <row r="907">
      <c r="A907" s="14" t="s">
        <v>950</v>
      </c>
      <c r="B907" s="14">
        <v>156.0</v>
      </c>
      <c r="C907" s="15">
        <f t="shared" si="4"/>
        <v>11</v>
      </c>
      <c r="D907" s="14" t="s">
        <v>36</v>
      </c>
      <c r="E907" s="16">
        <f t="shared" ref="E907:G907" si="2718">ROUNDUP((XLOOKUP($D907,$T$3:$T$10,$U$3:$U$10)*XLOOKUP(E$2,$AA$3:$AA$5,$AB$3:$AB$5)-ABS(XLOOKUP($C907,$Q$3:$Q$16,$R$3:$R$16)))*$B907,-5)</f>
        <v>40900000</v>
      </c>
      <c r="F907" s="16">
        <f t="shared" si="2718"/>
        <v>70300000</v>
      </c>
      <c r="G907" s="16">
        <f t="shared" si="2718"/>
        <v>76400000</v>
      </c>
      <c r="H907" s="17">
        <f t="shared" ref="H907:J907" si="2719">roundup((XLOOKUP($D907,$T$3:$T$10,$U$3:$U$10)*XLOOKUP(H$2,$AA$3:$AA$5,$AC$3:$AC$5)-ABS(XLOOKUP($C907,$Q$3:$Q$16,$R$3:$R$16)))*$B907,-5)</f>
        <v>34300000</v>
      </c>
      <c r="I907" s="17">
        <f t="shared" si="2719"/>
        <v>86300000</v>
      </c>
      <c r="J907" s="17">
        <f t="shared" si="2719"/>
        <v>93400000</v>
      </c>
      <c r="K907" s="17">
        <f t="shared" ref="K907:M907" si="2720">roundup((XLOOKUP($D907,$T$3:$T$10,$U$3:$U$10)*XLOOKUP(K$2,$AA$3:$AA$5,$AD$3:$AD$5)-ABS(XLOOKUP($C907,$Q$3:$Q$16,$R$3:$R$16)))*$B907,-5)</f>
        <v>40000000</v>
      </c>
      <c r="L907" s="17">
        <f t="shared" si="2720"/>
        <v>97200000</v>
      </c>
      <c r="M907" s="17">
        <f t="shared" si="2720"/>
        <v>105000000</v>
      </c>
    </row>
    <row r="908">
      <c r="A908" s="14" t="s">
        <v>951</v>
      </c>
      <c r="B908" s="14">
        <v>117.0</v>
      </c>
      <c r="C908" s="15">
        <f t="shared" si="4"/>
        <v>11</v>
      </c>
      <c r="D908" s="14" t="s">
        <v>36</v>
      </c>
      <c r="E908" s="16">
        <f t="shared" ref="E908:G908" si="2721">ROUNDUP((XLOOKUP($D908,$T$3:$T$10,$U$3:$U$10)*XLOOKUP(E$2,$AA$3:$AA$5,$AB$3:$AB$5)-ABS(XLOOKUP($C908,$Q$3:$Q$16,$R$3:$R$16)))*$B908,-5)</f>
        <v>30700000</v>
      </c>
      <c r="F908" s="16">
        <f t="shared" si="2721"/>
        <v>52800000</v>
      </c>
      <c r="G908" s="16">
        <f t="shared" si="2721"/>
        <v>57300000</v>
      </c>
      <c r="H908" s="17">
        <f t="shared" ref="H908:J908" si="2722">roundup((XLOOKUP($D908,$T$3:$T$10,$U$3:$U$10)*XLOOKUP(H$2,$AA$3:$AA$5,$AC$3:$AC$5)-ABS(XLOOKUP($C908,$Q$3:$Q$16,$R$3:$R$16)))*$B908,-5)</f>
        <v>25700000</v>
      </c>
      <c r="I908" s="17">
        <f t="shared" si="2722"/>
        <v>64800000</v>
      </c>
      <c r="J908" s="17">
        <f t="shared" si="2722"/>
        <v>70100000</v>
      </c>
      <c r="K908" s="17">
        <f t="shared" ref="K908:M908" si="2723">roundup((XLOOKUP($D908,$T$3:$T$10,$U$3:$U$10)*XLOOKUP(K$2,$AA$3:$AA$5,$AD$3:$AD$5)-ABS(XLOOKUP($C908,$Q$3:$Q$16,$R$3:$R$16)))*$B908,-5)</f>
        <v>30000000</v>
      </c>
      <c r="L908" s="17">
        <f t="shared" si="2723"/>
        <v>72900000</v>
      </c>
      <c r="M908" s="17">
        <f t="shared" si="2723"/>
        <v>78800000</v>
      </c>
    </row>
    <row r="909">
      <c r="A909" s="14" t="s">
        <v>952</v>
      </c>
      <c r="B909" s="14">
        <v>135.0</v>
      </c>
      <c r="C909" s="15">
        <f t="shared" si="4"/>
        <v>11</v>
      </c>
      <c r="D909" s="14" t="s">
        <v>36</v>
      </c>
      <c r="E909" s="16">
        <f t="shared" ref="E909:G909" si="2724">ROUNDUP((XLOOKUP($D909,$T$3:$T$10,$U$3:$U$10)*XLOOKUP(E$2,$AA$3:$AA$5,$AB$3:$AB$5)-ABS(XLOOKUP($C909,$Q$3:$Q$16,$R$3:$R$16)))*$B909,-5)</f>
        <v>35400000</v>
      </c>
      <c r="F909" s="16">
        <f t="shared" si="2724"/>
        <v>60900000</v>
      </c>
      <c r="G909" s="16">
        <f t="shared" si="2724"/>
        <v>66100000</v>
      </c>
      <c r="H909" s="17">
        <f t="shared" ref="H909:J909" si="2725">roundup((XLOOKUP($D909,$T$3:$T$10,$U$3:$U$10)*XLOOKUP(H$2,$AA$3:$AA$5,$AC$3:$AC$5)-ABS(XLOOKUP($C909,$Q$3:$Q$16,$R$3:$R$16)))*$B909,-5)</f>
        <v>29700000</v>
      </c>
      <c r="I909" s="17">
        <f t="shared" si="2725"/>
        <v>74700000</v>
      </c>
      <c r="J909" s="17">
        <f t="shared" si="2725"/>
        <v>80900000</v>
      </c>
      <c r="K909" s="17">
        <f t="shared" ref="K909:M909" si="2726">roundup((XLOOKUP($D909,$T$3:$T$10,$U$3:$U$10)*XLOOKUP(K$2,$AA$3:$AA$5,$AD$3:$AD$5)-ABS(XLOOKUP($C909,$Q$3:$Q$16,$R$3:$R$16)))*$B909,-5)</f>
        <v>34700000</v>
      </c>
      <c r="L909" s="17">
        <f t="shared" si="2726"/>
        <v>84100000</v>
      </c>
      <c r="M909" s="17">
        <f t="shared" si="2726"/>
        <v>90900000</v>
      </c>
    </row>
    <row r="910">
      <c r="A910" s="14" t="s">
        <v>953</v>
      </c>
      <c r="B910" s="14">
        <v>162.0</v>
      </c>
      <c r="C910" s="15">
        <f t="shared" si="4"/>
        <v>12</v>
      </c>
      <c r="D910" s="14" t="s">
        <v>36</v>
      </c>
      <c r="E910" s="16">
        <f t="shared" ref="E910:G910" si="2727">ROUNDUP((XLOOKUP($D910,$T$3:$T$10,$U$3:$U$10)*XLOOKUP(E$2,$AA$3:$AA$5,$AB$3:$AB$5)-ABS(XLOOKUP($C910,$Q$3:$Q$16,$R$3:$R$16)))*$B910,-5)</f>
        <v>41700000</v>
      </c>
      <c r="F910" s="16">
        <f t="shared" si="2727"/>
        <v>72200000</v>
      </c>
      <c r="G910" s="16">
        <f t="shared" si="2727"/>
        <v>78500000</v>
      </c>
      <c r="H910" s="17">
        <f t="shared" ref="H910:J910" si="2728">roundup((XLOOKUP($D910,$T$3:$T$10,$U$3:$U$10)*XLOOKUP(H$2,$AA$3:$AA$5,$AC$3:$AC$5)-ABS(XLOOKUP($C910,$Q$3:$Q$16,$R$3:$R$16)))*$B910,-5)</f>
        <v>34800000</v>
      </c>
      <c r="I910" s="17">
        <f t="shared" si="2728"/>
        <v>88900000</v>
      </c>
      <c r="J910" s="17">
        <f t="shared" si="2728"/>
        <v>96200000</v>
      </c>
      <c r="K910" s="17">
        <f t="shared" ref="K910:M910" si="2729">roundup((XLOOKUP($D910,$T$3:$T$10,$U$3:$U$10)*XLOOKUP(K$2,$AA$3:$AA$5,$AD$3:$AD$5)-ABS(XLOOKUP($C910,$Q$3:$Q$16,$R$3:$R$16)))*$B910,-5)</f>
        <v>40800000</v>
      </c>
      <c r="L910" s="17">
        <f t="shared" si="2729"/>
        <v>100100000</v>
      </c>
      <c r="M910" s="17">
        <f t="shared" si="2729"/>
        <v>108200000</v>
      </c>
    </row>
    <row r="911">
      <c r="A911" s="14" t="s">
        <v>954</v>
      </c>
      <c r="B911" s="14">
        <v>64.0</v>
      </c>
      <c r="C911" s="15">
        <f t="shared" si="4"/>
        <v>9</v>
      </c>
      <c r="D911" s="14" t="s">
        <v>36</v>
      </c>
      <c r="E911" s="16">
        <f t="shared" ref="E911:G911" si="2730">ROUNDUP((XLOOKUP($D911,$T$3:$T$10,$U$3:$U$10)*XLOOKUP(E$2,$AA$3:$AA$5,$AB$3:$AB$5)-ABS(XLOOKUP($C911,$Q$3:$Q$16,$R$3:$R$16)))*$B911,-5)</f>
        <v>22700000</v>
      </c>
      <c r="F911" s="16">
        <f t="shared" si="2730"/>
        <v>34700000</v>
      </c>
      <c r="G911" s="16">
        <f t="shared" si="2730"/>
        <v>37200000</v>
      </c>
      <c r="H911" s="17">
        <f t="shared" ref="H911:J911" si="2731">roundup((XLOOKUP($D911,$T$3:$T$10,$U$3:$U$10)*XLOOKUP(H$2,$AA$3:$AA$5,$AC$3:$AC$5)-ABS(XLOOKUP($C911,$Q$3:$Q$16,$R$3:$R$16)))*$B911,-5)</f>
        <v>19900000</v>
      </c>
      <c r="I911" s="17">
        <f t="shared" si="2731"/>
        <v>41300000</v>
      </c>
      <c r="J911" s="17">
        <f t="shared" si="2731"/>
        <v>44200000</v>
      </c>
      <c r="K911" s="17">
        <f t="shared" ref="K911:M911" si="2732">roundup((XLOOKUP($D911,$T$3:$T$10,$U$3:$U$10)*XLOOKUP(K$2,$AA$3:$AA$5,$AD$3:$AD$5)-ABS(XLOOKUP($C911,$Q$3:$Q$16,$R$3:$R$16)))*$B911,-5)</f>
        <v>22300000</v>
      </c>
      <c r="L911" s="17">
        <f t="shared" si="2732"/>
        <v>45700000</v>
      </c>
      <c r="M911" s="17">
        <f t="shared" si="2732"/>
        <v>48900000</v>
      </c>
    </row>
    <row r="912">
      <c r="A912" s="14" t="s">
        <v>955</v>
      </c>
      <c r="B912" s="14">
        <v>141.0</v>
      </c>
      <c r="C912" s="15">
        <f t="shared" si="4"/>
        <v>11</v>
      </c>
      <c r="D912" s="14" t="s">
        <v>36</v>
      </c>
      <c r="E912" s="16">
        <f t="shared" ref="E912:G912" si="2733">ROUNDUP((XLOOKUP($D912,$T$3:$T$10,$U$3:$U$10)*XLOOKUP(E$2,$AA$3:$AA$5,$AB$3:$AB$5)-ABS(XLOOKUP($C912,$Q$3:$Q$16,$R$3:$R$16)))*$B912,-5)</f>
        <v>37000000</v>
      </c>
      <c r="F912" s="16">
        <f t="shared" si="2733"/>
        <v>63600000</v>
      </c>
      <c r="G912" s="16">
        <f t="shared" si="2733"/>
        <v>69100000</v>
      </c>
      <c r="H912" s="17">
        <f t="shared" ref="H912:J912" si="2734">roundup((XLOOKUP($D912,$T$3:$T$10,$U$3:$U$10)*XLOOKUP(H$2,$AA$3:$AA$5,$AC$3:$AC$5)-ABS(XLOOKUP($C912,$Q$3:$Q$16,$R$3:$R$16)))*$B912,-5)</f>
        <v>31000000</v>
      </c>
      <c r="I912" s="17">
        <f t="shared" si="2734"/>
        <v>78000000</v>
      </c>
      <c r="J912" s="17">
        <f t="shared" si="2734"/>
        <v>84500000</v>
      </c>
      <c r="K912" s="17">
        <f t="shared" ref="K912:M912" si="2735">roundup((XLOOKUP($D912,$T$3:$T$10,$U$3:$U$10)*XLOOKUP(K$2,$AA$3:$AA$5,$AD$3:$AD$5)-ABS(XLOOKUP($C912,$Q$3:$Q$16,$R$3:$R$16)))*$B912,-5)</f>
        <v>36200000</v>
      </c>
      <c r="L912" s="17">
        <f t="shared" si="2735"/>
        <v>87800000</v>
      </c>
      <c r="M912" s="17">
        <f t="shared" si="2735"/>
        <v>94900000</v>
      </c>
    </row>
    <row r="913">
      <c r="A913" s="14" t="s">
        <v>956</v>
      </c>
      <c r="B913" s="14">
        <v>100.0</v>
      </c>
      <c r="C913" s="15">
        <f t="shared" si="4"/>
        <v>11</v>
      </c>
      <c r="D913" s="14" t="s">
        <v>36</v>
      </c>
      <c r="E913" s="16">
        <f t="shared" ref="E913:G913" si="2736">ROUNDUP((XLOOKUP($D913,$T$3:$T$10,$U$3:$U$10)*XLOOKUP(E$2,$AA$3:$AA$5,$AB$3:$AB$5)-ABS(XLOOKUP($C913,$Q$3:$Q$16,$R$3:$R$16)))*$B913,-5)</f>
        <v>26300000</v>
      </c>
      <c r="F913" s="16">
        <f t="shared" si="2736"/>
        <v>45100000</v>
      </c>
      <c r="G913" s="16">
        <f t="shared" si="2736"/>
        <v>49000000</v>
      </c>
      <c r="H913" s="17">
        <f t="shared" ref="H913:J913" si="2737">roundup((XLOOKUP($D913,$T$3:$T$10,$U$3:$U$10)*XLOOKUP(H$2,$AA$3:$AA$5,$AC$3:$AC$5)-ABS(XLOOKUP($C913,$Q$3:$Q$16,$R$3:$R$16)))*$B913,-5)</f>
        <v>22000000</v>
      </c>
      <c r="I913" s="17">
        <f t="shared" si="2737"/>
        <v>55400000</v>
      </c>
      <c r="J913" s="17">
        <f t="shared" si="2737"/>
        <v>59900000</v>
      </c>
      <c r="K913" s="17">
        <f t="shared" ref="K913:M913" si="2738">roundup((XLOOKUP($D913,$T$3:$T$10,$U$3:$U$10)*XLOOKUP(K$2,$AA$3:$AA$5,$AD$3:$AD$5)-ABS(XLOOKUP($C913,$Q$3:$Q$16,$R$3:$R$16)))*$B913,-5)</f>
        <v>25700000</v>
      </c>
      <c r="L913" s="17">
        <f t="shared" si="2738"/>
        <v>62300000</v>
      </c>
      <c r="M913" s="17">
        <f t="shared" si="2738"/>
        <v>67300000</v>
      </c>
    </row>
    <row r="914">
      <c r="A914" s="14" t="s">
        <v>957</v>
      </c>
      <c r="B914" s="14">
        <v>147.0</v>
      </c>
      <c r="C914" s="15">
        <f t="shared" si="4"/>
        <v>11</v>
      </c>
      <c r="D914" s="14" t="s">
        <v>36</v>
      </c>
      <c r="E914" s="16">
        <f t="shared" ref="E914:G914" si="2739">ROUNDUP((XLOOKUP($D914,$T$3:$T$10,$U$3:$U$10)*XLOOKUP(E$2,$AA$3:$AA$5,$AB$3:$AB$5)-ABS(XLOOKUP($C914,$Q$3:$Q$16,$R$3:$R$16)))*$B914,-5)</f>
        <v>38600000</v>
      </c>
      <c r="F914" s="16">
        <f t="shared" si="2739"/>
        <v>66300000</v>
      </c>
      <c r="G914" s="16">
        <f t="shared" si="2739"/>
        <v>72000000</v>
      </c>
      <c r="H914" s="17">
        <f t="shared" ref="H914:J914" si="2740">roundup((XLOOKUP($D914,$T$3:$T$10,$U$3:$U$10)*XLOOKUP(H$2,$AA$3:$AA$5,$AC$3:$AC$5)-ABS(XLOOKUP($C914,$Q$3:$Q$16,$R$3:$R$16)))*$B914,-5)</f>
        <v>32300000</v>
      </c>
      <c r="I914" s="17">
        <f t="shared" si="2740"/>
        <v>81400000</v>
      </c>
      <c r="J914" s="17">
        <f t="shared" si="2740"/>
        <v>88000000</v>
      </c>
      <c r="K914" s="17">
        <f t="shared" ref="K914:M914" si="2741">roundup((XLOOKUP($D914,$T$3:$T$10,$U$3:$U$10)*XLOOKUP(K$2,$AA$3:$AA$5,$AD$3:$AD$5)-ABS(XLOOKUP($C914,$Q$3:$Q$16,$R$3:$R$16)))*$B914,-5)</f>
        <v>37700000</v>
      </c>
      <c r="L914" s="17">
        <f t="shared" si="2741"/>
        <v>91600000</v>
      </c>
      <c r="M914" s="17">
        <f t="shared" si="2741"/>
        <v>98900000</v>
      </c>
    </row>
    <row r="915">
      <c r="A915" s="14" t="s">
        <v>958</v>
      </c>
      <c r="B915" s="14">
        <v>162.0</v>
      </c>
      <c r="C915" s="15">
        <f t="shared" si="4"/>
        <v>12</v>
      </c>
      <c r="D915" s="14" t="s">
        <v>36</v>
      </c>
      <c r="E915" s="16">
        <f t="shared" ref="E915:G915" si="2742">ROUNDUP((XLOOKUP($D915,$T$3:$T$10,$U$3:$U$10)*XLOOKUP(E$2,$AA$3:$AA$5,$AB$3:$AB$5)-ABS(XLOOKUP($C915,$Q$3:$Q$16,$R$3:$R$16)))*$B915,-5)</f>
        <v>41700000</v>
      </c>
      <c r="F915" s="16">
        <f t="shared" si="2742"/>
        <v>72200000</v>
      </c>
      <c r="G915" s="16">
        <f t="shared" si="2742"/>
        <v>78500000</v>
      </c>
      <c r="H915" s="17">
        <f t="shared" ref="H915:J915" si="2743">roundup((XLOOKUP($D915,$T$3:$T$10,$U$3:$U$10)*XLOOKUP(H$2,$AA$3:$AA$5,$AC$3:$AC$5)-ABS(XLOOKUP($C915,$Q$3:$Q$16,$R$3:$R$16)))*$B915,-5)</f>
        <v>34800000</v>
      </c>
      <c r="I915" s="17">
        <f t="shared" si="2743"/>
        <v>88900000</v>
      </c>
      <c r="J915" s="17">
        <f t="shared" si="2743"/>
        <v>96200000</v>
      </c>
      <c r="K915" s="17">
        <f t="shared" ref="K915:M915" si="2744">roundup((XLOOKUP($D915,$T$3:$T$10,$U$3:$U$10)*XLOOKUP(K$2,$AA$3:$AA$5,$AD$3:$AD$5)-ABS(XLOOKUP($C915,$Q$3:$Q$16,$R$3:$R$16)))*$B915,-5)</f>
        <v>40800000</v>
      </c>
      <c r="L915" s="17">
        <f t="shared" si="2744"/>
        <v>100100000</v>
      </c>
      <c r="M915" s="17">
        <f t="shared" si="2744"/>
        <v>108200000</v>
      </c>
    </row>
    <row r="916">
      <c r="A916" s="14" t="s">
        <v>959</v>
      </c>
      <c r="B916" s="14">
        <v>270.0</v>
      </c>
      <c r="C916" s="15">
        <f t="shared" si="4"/>
        <v>14</v>
      </c>
      <c r="D916" s="14" t="s">
        <v>36</v>
      </c>
      <c r="E916" s="16">
        <f t="shared" ref="E916:G916" si="2745">ROUNDUP((XLOOKUP($D916,$T$3:$T$10,$U$3:$U$10)*XLOOKUP(E$2,$AA$3:$AA$5,$AB$3:$AB$5)-ABS(XLOOKUP($C916,$Q$3:$Q$16,$R$3:$R$16)))*$B916,-5)</f>
        <v>63000000</v>
      </c>
      <c r="F916" s="16">
        <f t="shared" si="2745"/>
        <v>113900000</v>
      </c>
      <c r="G916" s="16">
        <f t="shared" si="2745"/>
        <v>124400000</v>
      </c>
      <c r="H916" s="17">
        <f t="shared" ref="H916:J916" si="2746">roundup((XLOOKUP($D916,$T$3:$T$10,$U$3:$U$10)*XLOOKUP(H$2,$AA$3:$AA$5,$AC$3:$AC$5)-ABS(XLOOKUP($C916,$Q$3:$Q$16,$R$3:$R$16)))*$B916,-5)</f>
        <v>51400000</v>
      </c>
      <c r="I916" s="17">
        <f t="shared" si="2746"/>
        <v>141600000</v>
      </c>
      <c r="J916" s="17">
        <f t="shared" si="2746"/>
        <v>153800000</v>
      </c>
      <c r="K916" s="17">
        <f t="shared" ref="K916:M916" si="2747">roundup((XLOOKUP($D916,$T$3:$T$10,$U$3:$U$10)*XLOOKUP(K$2,$AA$3:$AA$5,$AD$3:$AD$5)-ABS(XLOOKUP($C916,$Q$3:$Q$16,$R$3:$R$16)))*$B916,-5)</f>
        <v>61400000</v>
      </c>
      <c r="L916" s="17">
        <f t="shared" si="2747"/>
        <v>160300000</v>
      </c>
      <c r="M916" s="17">
        <f t="shared" si="2747"/>
        <v>173800000</v>
      </c>
    </row>
    <row r="917">
      <c r="A917" s="14" t="s">
        <v>960</v>
      </c>
      <c r="B917" s="14">
        <v>197.0</v>
      </c>
      <c r="C917" s="15">
        <f t="shared" si="4"/>
        <v>13</v>
      </c>
      <c r="D917" s="14" t="s">
        <v>36</v>
      </c>
      <c r="E917" s="16">
        <f t="shared" ref="E917:G917" si="2748">ROUNDUP((XLOOKUP($D917,$T$3:$T$10,$U$3:$U$10)*XLOOKUP(E$2,$AA$3:$AA$5,$AB$3:$AB$5)-ABS(XLOOKUP($C917,$Q$3:$Q$16,$R$3:$R$16)))*$B917,-5)</f>
        <v>47800000</v>
      </c>
      <c r="F917" s="16">
        <f t="shared" si="2748"/>
        <v>84900000</v>
      </c>
      <c r="G917" s="16">
        <f t="shared" si="2748"/>
        <v>92500000</v>
      </c>
      <c r="H917" s="17">
        <f t="shared" ref="H917:J917" si="2749">roundup((XLOOKUP($D917,$T$3:$T$10,$U$3:$U$10)*XLOOKUP(H$2,$AA$3:$AA$5,$AC$3:$AC$5)-ABS(XLOOKUP($C917,$Q$3:$Q$16,$R$3:$R$16)))*$B917,-5)</f>
        <v>39300000</v>
      </c>
      <c r="I917" s="17">
        <f t="shared" si="2749"/>
        <v>105100000</v>
      </c>
      <c r="J917" s="17">
        <f t="shared" si="2749"/>
        <v>114000000</v>
      </c>
      <c r="K917" s="17">
        <f t="shared" ref="K917:M917" si="2750">roundup((XLOOKUP($D917,$T$3:$T$10,$U$3:$U$10)*XLOOKUP(K$2,$AA$3:$AA$5,$AD$3:$AD$5)-ABS(XLOOKUP($C917,$Q$3:$Q$16,$R$3:$R$16)))*$B917,-5)</f>
        <v>46600000</v>
      </c>
      <c r="L917" s="17">
        <f t="shared" si="2750"/>
        <v>118800000</v>
      </c>
      <c r="M917" s="17">
        <f t="shared" si="2750"/>
        <v>128600000</v>
      </c>
    </row>
    <row r="918">
      <c r="A918" s="14" t="s">
        <v>961</v>
      </c>
      <c r="B918" s="14">
        <v>119.0</v>
      </c>
      <c r="C918" s="15">
        <f t="shared" si="4"/>
        <v>11</v>
      </c>
      <c r="D918" s="14" t="s">
        <v>36</v>
      </c>
      <c r="E918" s="16">
        <f t="shared" ref="E918:G918" si="2751">ROUNDUP((XLOOKUP($D918,$T$3:$T$10,$U$3:$U$10)*XLOOKUP(E$2,$AA$3:$AA$5,$AB$3:$AB$5)-ABS(XLOOKUP($C918,$Q$3:$Q$16,$R$3:$R$16)))*$B918,-5)</f>
        <v>31200000</v>
      </c>
      <c r="F918" s="16">
        <f t="shared" si="2751"/>
        <v>53700000</v>
      </c>
      <c r="G918" s="16">
        <f t="shared" si="2751"/>
        <v>58300000</v>
      </c>
      <c r="H918" s="17">
        <f t="shared" ref="H918:J918" si="2752">roundup((XLOOKUP($D918,$T$3:$T$10,$U$3:$U$10)*XLOOKUP(H$2,$AA$3:$AA$5,$AC$3:$AC$5)-ABS(XLOOKUP($C918,$Q$3:$Q$16,$R$3:$R$16)))*$B918,-5)</f>
        <v>26100000</v>
      </c>
      <c r="I918" s="17">
        <f t="shared" si="2752"/>
        <v>65900000</v>
      </c>
      <c r="J918" s="17">
        <f t="shared" si="2752"/>
        <v>71300000</v>
      </c>
      <c r="K918" s="17">
        <f t="shared" ref="K918:M918" si="2753">roundup((XLOOKUP($D918,$T$3:$T$10,$U$3:$U$10)*XLOOKUP(K$2,$AA$3:$AA$5,$AD$3:$AD$5)-ABS(XLOOKUP($C918,$Q$3:$Q$16,$R$3:$R$16)))*$B918,-5)</f>
        <v>30600000</v>
      </c>
      <c r="L918" s="17">
        <f t="shared" si="2753"/>
        <v>74100000</v>
      </c>
      <c r="M918" s="17">
        <f t="shared" si="2753"/>
        <v>80100000</v>
      </c>
    </row>
    <row r="919">
      <c r="A919" s="14" t="s">
        <v>962</v>
      </c>
      <c r="B919" s="14">
        <v>208.0</v>
      </c>
      <c r="C919" s="15">
        <f t="shared" si="4"/>
        <v>13</v>
      </c>
      <c r="D919" s="14" t="s">
        <v>36</v>
      </c>
      <c r="E919" s="16">
        <f t="shared" ref="E919:G919" si="2754">ROUNDUP((XLOOKUP($D919,$T$3:$T$10,$U$3:$U$10)*XLOOKUP(E$2,$AA$3:$AA$5,$AB$3:$AB$5)-ABS(XLOOKUP($C919,$Q$3:$Q$16,$R$3:$R$16)))*$B919,-5)</f>
        <v>50400000</v>
      </c>
      <c r="F919" s="16">
        <f t="shared" si="2754"/>
        <v>89600000</v>
      </c>
      <c r="G919" s="16">
        <f t="shared" si="2754"/>
        <v>97700000</v>
      </c>
      <c r="H919" s="17">
        <f t="shared" ref="H919:J919" si="2755">roundup((XLOOKUP($D919,$T$3:$T$10,$U$3:$U$10)*XLOOKUP(H$2,$AA$3:$AA$5,$AC$3:$AC$5)-ABS(XLOOKUP($C919,$Q$3:$Q$16,$R$3:$R$16)))*$B919,-5)</f>
        <v>41500000</v>
      </c>
      <c r="I919" s="17">
        <f t="shared" si="2755"/>
        <v>110900000</v>
      </c>
      <c r="J919" s="17">
        <f t="shared" si="2755"/>
        <v>120400000</v>
      </c>
      <c r="K919" s="17">
        <f t="shared" ref="K919:M919" si="2756">roundup((XLOOKUP($D919,$T$3:$T$10,$U$3:$U$10)*XLOOKUP(K$2,$AA$3:$AA$5,$AD$3:$AD$5)-ABS(XLOOKUP($C919,$Q$3:$Q$16,$R$3:$R$16)))*$B919,-5)</f>
        <v>49200000</v>
      </c>
      <c r="L919" s="17">
        <f t="shared" si="2756"/>
        <v>125400000</v>
      </c>
      <c r="M919" s="17">
        <f t="shared" si="2756"/>
        <v>135800000</v>
      </c>
    </row>
    <row r="920">
      <c r="A920" s="14" t="s">
        <v>963</v>
      </c>
      <c r="B920" s="14">
        <v>228.0</v>
      </c>
      <c r="C920" s="15">
        <f t="shared" si="4"/>
        <v>14</v>
      </c>
      <c r="D920" s="14" t="s">
        <v>36</v>
      </c>
      <c r="E920" s="16">
        <f t="shared" ref="E920:G920" si="2757">ROUNDUP((XLOOKUP($D920,$T$3:$T$10,$U$3:$U$10)*XLOOKUP(E$2,$AA$3:$AA$5,$AB$3:$AB$5)-ABS(XLOOKUP($C920,$Q$3:$Q$16,$R$3:$R$16)))*$B920,-5)</f>
        <v>53200000</v>
      </c>
      <c r="F920" s="16">
        <f t="shared" si="2757"/>
        <v>96200000</v>
      </c>
      <c r="G920" s="16">
        <f t="shared" si="2757"/>
        <v>105000000</v>
      </c>
      <c r="H920" s="17">
        <f t="shared" ref="H920:J920" si="2758">roundup((XLOOKUP($D920,$T$3:$T$10,$U$3:$U$10)*XLOOKUP(H$2,$AA$3:$AA$5,$AC$3:$AC$5)-ABS(XLOOKUP($C920,$Q$3:$Q$16,$R$3:$R$16)))*$B920,-5)</f>
        <v>43400000</v>
      </c>
      <c r="I920" s="17">
        <f t="shared" si="2758"/>
        <v>119600000</v>
      </c>
      <c r="J920" s="17">
        <f t="shared" si="2758"/>
        <v>129900000</v>
      </c>
      <c r="K920" s="17">
        <f t="shared" ref="K920:M920" si="2759">roundup((XLOOKUP($D920,$T$3:$T$10,$U$3:$U$10)*XLOOKUP(K$2,$AA$3:$AA$5,$AD$3:$AD$5)-ABS(XLOOKUP($C920,$Q$3:$Q$16,$R$3:$R$16)))*$B920,-5)</f>
        <v>51900000</v>
      </c>
      <c r="L920" s="17">
        <f t="shared" si="2759"/>
        <v>135400000</v>
      </c>
      <c r="M920" s="17">
        <f t="shared" si="2759"/>
        <v>146800000</v>
      </c>
    </row>
    <row r="921">
      <c r="A921" s="14" t="s">
        <v>964</v>
      </c>
      <c r="B921" s="14">
        <v>197.0</v>
      </c>
      <c r="C921" s="15">
        <f t="shared" si="4"/>
        <v>13</v>
      </c>
      <c r="D921" s="14" t="s">
        <v>33</v>
      </c>
      <c r="E921" s="16">
        <f t="shared" ref="E921:G921" si="2760">ROUNDUP((XLOOKUP($D921,$T$3:$T$10,$U$3:$U$10)*XLOOKUP(E$2,$AA$3:$AA$5,$AB$3:$AB$5)-ABS(XLOOKUP($C921,$Q$3:$Q$16,$R$3:$R$16)))*$B921,-5)</f>
        <v>38800000</v>
      </c>
      <c r="F921" s="16">
        <f t="shared" si="2760"/>
        <v>71900000</v>
      </c>
      <c r="G921" s="16">
        <f t="shared" si="2760"/>
        <v>78800000</v>
      </c>
      <c r="H921" s="17">
        <f t="shared" ref="H921:J921" si="2761">roundup((XLOOKUP($D921,$T$3:$T$10,$U$3:$U$10)*XLOOKUP(H$2,$AA$3:$AA$5,$AC$3:$AC$5)-ABS(XLOOKUP($C921,$Q$3:$Q$16,$R$3:$R$16)))*$B921,-5)</f>
        <v>31300000</v>
      </c>
      <c r="I921" s="17">
        <f t="shared" si="2761"/>
        <v>89900000</v>
      </c>
      <c r="J921" s="17">
        <f t="shared" si="2761"/>
        <v>97900000</v>
      </c>
      <c r="K921" s="17">
        <f t="shared" ref="K921:M921" si="2762">roundup((XLOOKUP($D921,$T$3:$T$10,$U$3:$U$10)*XLOOKUP(K$2,$AA$3:$AA$5,$AD$3:$AD$5)-ABS(XLOOKUP($C921,$Q$3:$Q$16,$R$3:$R$16)))*$B921,-5)</f>
        <v>37800000</v>
      </c>
      <c r="L921" s="17">
        <f t="shared" si="2762"/>
        <v>102200000</v>
      </c>
      <c r="M921" s="17">
        <f t="shared" si="2762"/>
        <v>110900000</v>
      </c>
    </row>
    <row r="922">
      <c r="A922" s="14" t="s">
        <v>965</v>
      </c>
      <c r="B922" s="14">
        <v>125.0</v>
      </c>
      <c r="C922" s="15">
        <f t="shared" si="4"/>
        <v>11</v>
      </c>
      <c r="D922" s="14" t="s">
        <v>36</v>
      </c>
      <c r="E922" s="16">
        <f t="shared" ref="E922:G922" si="2763">ROUNDUP((XLOOKUP($D922,$T$3:$T$10,$U$3:$U$10)*XLOOKUP(E$2,$AA$3:$AA$5,$AB$3:$AB$5)-ABS(XLOOKUP($C922,$Q$3:$Q$16,$R$3:$R$16)))*$B922,-5)</f>
        <v>32800000</v>
      </c>
      <c r="F922" s="16">
        <f t="shared" si="2763"/>
        <v>56400000</v>
      </c>
      <c r="G922" s="16">
        <f t="shared" si="2763"/>
        <v>61200000</v>
      </c>
      <c r="H922" s="17">
        <f t="shared" ref="H922:J922" si="2764">roundup((XLOOKUP($D922,$T$3:$T$10,$U$3:$U$10)*XLOOKUP(H$2,$AA$3:$AA$5,$AC$3:$AC$5)-ABS(XLOOKUP($C922,$Q$3:$Q$16,$R$3:$R$16)))*$B922,-5)</f>
        <v>27500000</v>
      </c>
      <c r="I922" s="17">
        <f t="shared" si="2764"/>
        <v>69200000</v>
      </c>
      <c r="J922" s="17">
        <f t="shared" si="2764"/>
        <v>74900000</v>
      </c>
      <c r="K922" s="17">
        <f t="shared" ref="K922:M922" si="2765">roundup((XLOOKUP($D922,$T$3:$T$10,$U$3:$U$10)*XLOOKUP(K$2,$AA$3:$AA$5,$AD$3:$AD$5)-ABS(XLOOKUP($C922,$Q$3:$Q$16,$R$3:$R$16)))*$B922,-5)</f>
        <v>32100000</v>
      </c>
      <c r="L922" s="17">
        <f t="shared" si="2765"/>
        <v>77900000</v>
      </c>
      <c r="M922" s="17">
        <f t="shared" si="2765"/>
        <v>84100000</v>
      </c>
    </row>
    <row r="923">
      <c r="A923" s="14" t="s">
        <v>966</v>
      </c>
      <c r="B923" s="14">
        <v>100.0</v>
      </c>
      <c r="C923" s="15">
        <f t="shared" si="4"/>
        <v>11</v>
      </c>
      <c r="D923" s="14" t="s">
        <v>36</v>
      </c>
      <c r="E923" s="16">
        <f t="shared" ref="E923:G923" si="2766">ROUNDUP((XLOOKUP($D923,$T$3:$T$10,$U$3:$U$10)*XLOOKUP(E$2,$AA$3:$AA$5,$AB$3:$AB$5)-ABS(XLOOKUP($C923,$Q$3:$Q$16,$R$3:$R$16)))*$B923,-5)</f>
        <v>26300000</v>
      </c>
      <c r="F923" s="16">
        <f t="shared" si="2766"/>
        <v>45100000</v>
      </c>
      <c r="G923" s="16">
        <f t="shared" si="2766"/>
        <v>49000000</v>
      </c>
      <c r="H923" s="17">
        <f t="shared" ref="H923:J923" si="2767">roundup((XLOOKUP($D923,$T$3:$T$10,$U$3:$U$10)*XLOOKUP(H$2,$AA$3:$AA$5,$AC$3:$AC$5)-ABS(XLOOKUP($C923,$Q$3:$Q$16,$R$3:$R$16)))*$B923,-5)</f>
        <v>22000000</v>
      </c>
      <c r="I923" s="17">
        <f t="shared" si="2767"/>
        <v>55400000</v>
      </c>
      <c r="J923" s="17">
        <f t="shared" si="2767"/>
        <v>59900000</v>
      </c>
      <c r="K923" s="17">
        <f t="shared" ref="K923:M923" si="2768">roundup((XLOOKUP($D923,$T$3:$T$10,$U$3:$U$10)*XLOOKUP(K$2,$AA$3:$AA$5,$AD$3:$AD$5)-ABS(XLOOKUP($C923,$Q$3:$Q$16,$R$3:$R$16)))*$B923,-5)</f>
        <v>25700000</v>
      </c>
      <c r="L923" s="17">
        <f t="shared" si="2768"/>
        <v>62300000</v>
      </c>
      <c r="M923" s="17">
        <f t="shared" si="2768"/>
        <v>67300000</v>
      </c>
    </row>
    <row r="924">
      <c r="A924" s="14" t="s">
        <v>967</v>
      </c>
      <c r="B924" s="14">
        <v>100.0</v>
      </c>
      <c r="C924" s="15">
        <f t="shared" si="4"/>
        <v>11</v>
      </c>
      <c r="D924" s="14" t="s">
        <v>36</v>
      </c>
      <c r="E924" s="16">
        <f t="shared" ref="E924:G924" si="2769">ROUNDUP((XLOOKUP($D924,$T$3:$T$10,$U$3:$U$10)*XLOOKUP(E$2,$AA$3:$AA$5,$AB$3:$AB$5)-ABS(XLOOKUP($C924,$Q$3:$Q$16,$R$3:$R$16)))*$B924,-5)</f>
        <v>26300000</v>
      </c>
      <c r="F924" s="16">
        <f t="shared" si="2769"/>
        <v>45100000</v>
      </c>
      <c r="G924" s="16">
        <f t="shared" si="2769"/>
        <v>49000000</v>
      </c>
      <c r="H924" s="17">
        <f t="shared" ref="H924:J924" si="2770">roundup((XLOOKUP($D924,$T$3:$T$10,$U$3:$U$10)*XLOOKUP(H$2,$AA$3:$AA$5,$AC$3:$AC$5)-ABS(XLOOKUP($C924,$Q$3:$Q$16,$R$3:$R$16)))*$B924,-5)</f>
        <v>22000000</v>
      </c>
      <c r="I924" s="17">
        <f t="shared" si="2770"/>
        <v>55400000</v>
      </c>
      <c r="J924" s="17">
        <f t="shared" si="2770"/>
        <v>59900000</v>
      </c>
      <c r="K924" s="17">
        <f t="shared" ref="K924:M924" si="2771">roundup((XLOOKUP($D924,$T$3:$T$10,$U$3:$U$10)*XLOOKUP(K$2,$AA$3:$AA$5,$AD$3:$AD$5)-ABS(XLOOKUP($C924,$Q$3:$Q$16,$R$3:$R$16)))*$B924,-5)</f>
        <v>25700000</v>
      </c>
      <c r="L924" s="17">
        <f t="shared" si="2771"/>
        <v>62300000</v>
      </c>
      <c r="M924" s="17">
        <f t="shared" si="2771"/>
        <v>67300000</v>
      </c>
    </row>
    <row r="925">
      <c r="A925" s="14" t="s">
        <v>968</v>
      </c>
      <c r="B925" s="14">
        <v>100.0</v>
      </c>
      <c r="C925" s="15">
        <f t="shared" si="4"/>
        <v>11</v>
      </c>
      <c r="D925" s="14" t="s">
        <v>36</v>
      </c>
      <c r="E925" s="16">
        <f t="shared" ref="E925:G925" si="2772">ROUNDUP((XLOOKUP($D925,$T$3:$T$10,$U$3:$U$10)*XLOOKUP(E$2,$AA$3:$AA$5,$AB$3:$AB$5)-ABS(XLOOKUP($C925,$Q$3:$Q$16,$R$3:$R$16)))*$B925,-5)</f>
        <v>26300000</v>
      </c>
      <c r="F925" s="16">
        <f t="shared" si="2772"/>
        <v>45100000</v>
      </c>
      <c r="G925" s="16">
        <f t="shared" si="2772"/>
        <v>49000000</v>
      </c>
      <c r="H925" s="17">
        <f t="shared" ref="H925:J925" si="2773">roundup((XLOOKUP($D925,$T$3:$T$10,$U$3:$U$10)*XLOOKUP(H$2,$AA$3:$AA$5,$AC$3:$AC$5)-ABS(XLOOKUP($C925,$Q$3:$Q$16,$R$3:$R$16)))*$B925,-5)</f>
        <v>22000000</v>
      </c>
      <c r="I925" s="17">
        <f t="shared" si="2773"/>
        <v>55400000</v>
      </c>
      <c r="J925" s="17">
        <f t="shared" si="2773"/>
        <v>59900000</v>
      </c>
      <c r="K925" s="17">
        <f t="shared" ref="K925:M925" si="2774">roundup((XLOOKUP($D925,$T$3:$T$10,$U$3:$U$10)*XLOOKUP(K$2,$AA$3:$AA$5,$AD$3:$AD$5)-ABS(XLOOKUP($C925,$Q$3:$Q$16,$R$3:$R$16)))*$B925,-5)</f>
        <v>25700000</v>
      </c>
      <c r="L925" s="17">
        <f t="shared" si="2774"/>
        <v>62300000</v>
      </c>
      <c r="M925" s="17">
        <f t="shared" si="2774"/>
        <v>67300000</v>
      </c>
    </row>
    <row r="926">
      <c r="A926" s="14" t="s">
        <v>969</v>
      </c>
      <c r="B926" s="14">
        <v>104.0</v>
      </c>
      <c r="C926" s="15">
        <f t="shared" si="4"/>
        <v>11</v>
      </c>
      <c r="D926" s="14" t="s">
        <v>36</v>
      </c>
      <c r="E926" s="16">
        <f t="shared" ref="E926:G926" si="2775">ROUNDUP((XLOOKUP($D926,$T$3:$T$10,$U$3:$U$10)*XLOOKUP(E$2,$AA$3:$AA$5,$AB$3:$AB$5)-ABS(XLOOKUP($C926,$Q$3:$Q$16,$R$3:$R$16)))*$B926,-5)</f>
        <v>27300000</v>
      </c>
      <c r="F926" s="16">
        <f t="shared" si="2775"/>
        <v>46900000</v>
      </c>
      <c r="G926" s="16">
        <f t="shared" si="2775"/>
        <v>51000000</v>
      </c>
      <c r="H926" s="17">
        <f t="shared" ref="H926:J926" si="2776">roundup((XLOOKUP($D926,$T$3:$T$10,$U$3:$U$10)*XLOOKUP(H$2,$AA$3:$AA$5,$AC$3:$AC$5)-ABS(XLOOKUP($C926,$Q$3:$Q$16,$R$3:$R$16)))*$B926,-5)</f>
        <v>22900000</v>
      </c>
      <c r="I926" s="17">
        <f t="shared" si="2776"/>
        <v>57600000</v>
      </c>
      <c r="J926" s="17">
        <f t="shared" si="2776"/>
        <v>62300000</v>
      </c>
      <c r="K926" s="17">
        <f t="shared" ref="K926:M926" si="2777">roundup((XLOOKUP($D926,$T$3:$T$10,$U$3:$U$10)*XLOOKUP(K$2,$AA$3:$AA$5,$AD$3:$AD$5)-ABS(XLOOKUP($C926,$Q$3:$Q$16,$R$3:$R$16)))*$B926,-5)</f>
        <v>26700000</v>
      </c>
      <c r="L926" s="17">
        <f t="shared" si="2777"/>
        <v>64800000</v>
      </c>
      <c r="M926" s="17">
        <f t="shared" si="2777"/>
        <v>70000000</v>
      </c>
    </row>
    <row r="927">
      <c r="A927" s="14" t="s">
        <v>970</v>
      </c>
      <c r="B927" s="14">
        <v>119.0</v>
      </c>
      <c r="C927" s="15">
        <f t="shared" si="4"/>
        <v>11</v>
      </c>
      <c r="D927" s="14" t="s">
        <v>36</v>
      </c>
      <c r="E927" s="16">
        <f t="shared" ref="E927:G927" si="2778">ROUNDUP((XLOOKUP($D927,$T$3:$T$10,$U$3:$U$10)*XLOOKUP(E$2,$AA$3:$AA$5,$AB$3:$AB$5)-ABS(XLOOKUP($C927,$Q$3:$Q$16,$R$3:$R$16)))*$B927,-5)</f>
        <v>31200000</v>
      </c>
      <c r="F927" s="16">
        <f t="shared" si="2778"/>
        <v>53700000</v>
      </c>
      <c r="G927" s="16">
        <f t="shared" si="2778"/>
        <v>58300000</v>
      </c>
      <c r="H927" s="17">
        <f t="shared" ref="H927:J927" si="2779">roundup((XLOOKUP($D927,$T$3:$T$10,$U$3:$U$10)*XLOOKUP(H$2,$AA$3:$AA$5,$AC$3:$AC$5)-ABS(XLOOKUP($C927,$Q$3:$Q$16,$R$3:$R$16)))*$B927,-5)</f>
        <v>26100000</v>
      </c>
      <c r="I927" s="17">
        <f t="shared" si="2779"/>
        <v>65900000</v>
      </c>
      <c r="J927" s="17">
        <f t="shared" si="2779"/>
        <v>71300000</v>
      </c>
      <c r="K927" s="17">
        <f t="shared" ref="K927:M927" si="2780">roundup((XLOOKUP($D927,$T$3:$T$10,$U$3:$U$10)*XLOOKUP(K$2,$AA$3:$AA$5,$AD$3:$AD$5)-ABS(XLOOKUP($C927,$Q$3:$Q$16,$R$3:$R$16)))*$B927,-5)</f>
        <v>30600000</v>
      </c>
      <c r="L927" s="17">
        <f t="shared" si="2780"/>
        <v>74100000</v>
      </c>
      <c r="M927" s="17">
        <f t="shared" si="2780"/>
        <v>80100000</v>
      </c>
    </row>
    <row r="928">
      <c r="A928" s="14" t="s">
        <v>971</v>
      </c>
      <c r="B928" s="14">
        <v>122.0</v>
      </c>
      <c r="C928" s="15">
        <f t="shared" si="4"/>
        <v>11</v>
      </c>
      <c r="D928" s="14" t="s">
        <v>33</v>
      </c>
      <c r="E928" s="16">
        <f t="shared" ref="E928:G928" si="2781">ROUNDUP((XLOOKUP($D928,$T$3:$T$10,$U$3:$U$10)*XLOOKUP(E$2,$AA$3:$AA$5,$AB$3:$AB$5)-ABS(XLOOKUP($C928,$Q$3:$Q$16,$R$3:$R$16)))*$B928,-5)</f>
        <v>26500000</v>
      </c>
      <c r="F928" s="16">
        <f t="shared" si="2781"/>
        <v>47000000</v>
      </c>
      <c r="G928" s="16">
        <f t="shared" si="2781"/>
        <v>51200000</v>
      </c>
      <c r="H928" s="17">
        <f t="shared" ref="H928:J928" si="2782">roundup((XLOOKUP($D928,$T$3:$T$10,$U$3:$U$10)*XLOOKUP(H$2,$AA$3:$AA$5,$AC$3:$AC$5)-ABS(XLOOKUP($C928,$Q$3:$Q$16,$R$3:$R$16)))*$B928,-5)</f>
        <v>21800000</v>
      </c>
      <c r="I928" s="17">
        <f t="shared" si="2782"/>
        <v>58200000</v>
      </c>
      <c r="J928" s="17">
        <f t="shared" si="2782"/>
        <v>63100000</v>
      </c>
      <c r="K928" s="17">
        <f t="shared" ref="K928:M928" si="2783">roundup((XLOOKUP($D928,$T$3:$T$10,$U$3:$U$10)*XLOOKUP(K$2,$AA$3:$AA$5,$AD$3:$AD$5)-ABS(XLOOKUP($C928,$Q$3:$Q$16,$R$3:$R$16)))*$B928,-5)</f>
        <v>25800000</v>
      </c>
      <c r="L928" s="17">
        <f t="shared" si="2783"/>
        <v>65700000</v>
      </c>
      <c r="M928" s="17">
        <f t="shared" si="2783"/>
        <v>71200000</v>
      </c>
    </row>
    <row r="929">
      <c r="A929" s="14" t="s">
        <v>972</v>
      </c>
      <c r="B929" s="14">
        <v>189.0</v>
      </c>
      <c r="C929" s="15">
        <f t="shared" si="4"/>
        <v>13</v>
      </c>
      <c r="D929" s="14" t="s">
        <v>36</v>
      </c>
      <c r="E929" s="16">
        <f t="shared" ref="E929:G929" si="2784">ROUNDUP((XLOOKUP($D929,$T$3:$T$10,$U$3:$U$10)*XLOOKUP(E$2,$AA$3:$AA$5,$AB$3:$AB$5)-ABS(XLOOKUP($C929,$Q$3:$Q$16,$R$3:$R$16)))*$B929,-5)</f>
        <v>45800000</v>
      </c>
      <c r="F929" s="16">
        <f t="shared" si="2784"/>
        <v>81400000</v>
      </c>
      <c r="G929" s="16">
        <f t="shared" si="2784"/>
        <v>88800000</v>
      </c>
      <c r="H929" s="17">
        <f t="shared" ref="H929:J929" si="2785">roundup((XLOOKUP($D929,$T$3:$T$10,$U$3:$U$10)*XLOOKUP(H$2,$AA$3:$AA$5,$AC$3:$AC$5)-ABS(XLOOKUP($C929,$Q$3:$Q$16,$R$3:$R$16)))*$B929,-5)</f>
        <v>37700000</v>
      </c>
      <c r="I929" s="17">
        <f t="shared" si="2785"/>
        <v>100800000</v>
      </c>
      <c r="J929" s="17">
        <f t="shared" si="2785"/>
        <v>109400000</v>
      </c>
      <c r="K929" s="17">
        <f t="shared" ref="K929:M929" si="2786">roundup((XLOOKUP($D929,$T$3:$T$10,$U$3:$U$10)*XLOOKUP(K$2,$AA$3:$AA$5,$AD$3:$AD$5)-ABS(XLOOKUP($C929,$Q$3:$Q$16,$R$3:$R$16)))*$B929,-5)</f>
        <v>44700000</v>
      </c>
      <c r="L929" s="17">
        <f t="shared" si="2786"/>
        <v>114000000</v>
      </c>
      <c r="M929" s="17">
        <f t="shared" si="2786"/>
        <v>123400000</v>
      </c>
    </row>
    <row r="930">
      <c r="A930" s="14" t="s">
        <v>973</v>
      </c>
      <c r="B930" s="14">
        <v>156.0</v>
      </c>
      <c r="C930" s="15">
        <f t="shared" si="4"/>
        <v>11</v>
      </c>
      <c r="D930" s="14" t="s">
        <v>36</v>
      </c>
      <c r="E930" s="16">
        <f t="shared" ref="E930:G930" si="2787">ROUNDUP((XLOOKUP($D930,$T$3:$T$10,$U$3:$U$10)*XLOOKUP(E$2,$AA$3:$AA$5,$AB$3:$AB$5)-ABS(XLOOKUP($C930,$Q$3:$Q$16,$R$3:$R$16)))*$B930,-5)</f>
        <v>40900000</v>
      </c>
      <c r="F930" s="16">
        <f t="shared" si="2787"/>
        <v>70300000</v>
      </c>
      <c r="G930" s="16">
        <f t="shared" si="2787"/>
        <v>76400000</v>
      </c>
      <c r="H930" s="17">
        <f t="shared" ref="H930:J930" si="2788">roundup((XLOOKUP($D930,$T$3:$T$10,$U$3:$U$10)*XLOOKUP(H$2,$AA$3:$AA$5,$AC$3:$AC$5)-ABS(XLOOKUP($C930,$Q$3:$Q$16,$R$3:$R$16)))*$B930,-5)</f>
        <v>34300000</v>
      </c>
      <c r="I930" s="17">
        <f t="shared" si="2788"/>
        <v>86300000</v>
      </c>
      <c r="J930" s="17">
        <f t="shared" si="2788"/>
        <v>93400000</v>
      </c>
      <c r="K930" s="17">
        <f t="shared" ref="K930:M930" si="2789">roundup((XLOOKUP($D930,$T$3:$T$10,$U$3:$U$10)*XLOOKUP(K$2,$AA$3:$AA$5,$AD$3:$AD$5)-ABS(XLOOKUP($C930,$Q$3:$Q$16,$R$3:$R$16)))*$B930,-5)</f>
        <v>40000000</v>
      </c>
      <c r="L930" s="17">
        <f t="shared" si="2789"/>
        <v>97200000</v>
      </c>
      <c r="M930" s="17">
        <f t="shared" si="2789"/>
        <v>105000000</v>
      </c>
    </row>
    <row r="931">
      <c r="A931" s="14" t="s">
        <v>974</v>
      </c>
      <c r="B931" s="14">
        <v>151.0</v>
      </c>
      <c r="C931" s="15">
        <f t="shared" si="4"/>
        <v>11</v>
      </c>
      <c r="D931" s="14" t="s">
        <v>36</v>
      </c>
      <c r="E931" s="16">
        <f t="shared" ref="E931:G931" si="2790">ROUNDUP((XLOOKUP($D931,$T$3:$T$10,$U$3:$U$10)*XLOOKUP(E$2,$AA$3:$AA$5,$AB$3:$AB$5)-ABS(XLOOKUP($C931,$Q$3:$Q$16,$R$3:$R$16)))*$B931,-5)</f>
        <v>39600000</v>
      </c>
      <c r="F931" s="16">
        <f t="shared" si="2790"/>
        <v>68100000</v>
      </c>
      <c r="G931" s="16">
        <f t="shared" si="2790"/>
        <v>74000000</v>
      </c>
      <c r="H931" s="17">
        <f t="shared" ref="H931:J931" si="2791">roundup((XLOOKUP($D931,$T$3:$T$10,$U$3:$U$10)*XLOOKUP(H$2,$AA$3:$AA$5,$AC$3:$AC$5)-ABS(XLOOKUP($C931,$Q$3:$Q$16,$R$3:$R$16)))*$B931,-5)</f>
        <v>33200000</v>
      </c>
      <c r="I931" s="17">
        <f t="shared" si="2791"/>
        <v>83600000</v>
      </c>
      <c r="J931" s="17">
        <f t="shared" si="2791"/>
        <v>90400000</v>
      </c>
      <c r="K931" s="17">
        <f t="shared" ref="K931:M931" si="2792">roundup((XLOOKUP($D931,$T$3:$T$10,$U$3:$U$10)*XLOOKUP(K$2,$AA$3:$AA$5,$AD$3:$AD$5)-ABS(XLOOKUP($C931,$Q$3:$Q$16,$R$3:$R$16)))*$B931,-5)</f>
        <v>38800000</v>
      </c>
      <c r="L931" s="17">
        <f t="shared" si="2792"/>
        <v>94100000</v>
      </c>
      <c r="M931" s="17">
        <f t="shared" si="2792"/>
        <v>101600000</v>
      </c>
    </row>
    <row r="932">
      <c r="A932" s="14" t="s">
        <v>975</v>
      </c>
      <c r="B932" s="14">
        <v>248.0</v>
      </c>
      <c r="C932" s="15">
        <f t="shared" si="4"/>
        <v>14</v>
      </c>
      <c r="D932" s="14" t="s">
        <v>36</v>
      </c>
      <c r="E932" s="16">
        <f t="shared" ref="E932:G932" si="2793">ROUNDUP((XLOOKUP($D932,$T$3:$T$10,$U$3:$U$10)*XLOOKUP(E$2,$AA$3:$AA$5,$AB$3:$AB$5)-ABS(XLOOKUP($C932,$Q$3:$Q$16,$R$3:$R$16)))*$B932,-5)</f>
        <v>57900000</v>
      </c>
      <c r="F932" s="16">
        <f t="shared" si="2793"/>
        <v>104600000</v>
      </c>
      <c r="G932" s="16">
        <f t="shared" si="2793"/>
        <v>114300000</v>
      </c>
      <c r="H932" s="17">
        <f t="shared" ref="H932:J932" si="2794">roundup((XLOOKUP($D932,$T$3:$T$10,$U$3:$U$10)*XLOOKUP(H$2,$AA$3:$AA$5,$AC$3:$AC$5)-ABS(XLOOKUP($C932,$Q$3:$Q$16,$R$3:$R$16)))*$B932,-5)</f>
        <v>47200000</v>
      </c>
      <c r="I932" s="17">
        <f t="shared" si="2794"/>
        <v>130000000</v>
      </c>
      <c r="J932" s="17">
        <f t="shared" si="2794"/>
        <v>141300000</v>
      </c>
      <c r="K932" s="17">
        <f t="shared" ref="K932:M932" si="2795">roundup((XLOOKUP($D932,$T$3:$T$10,$U$3:$U$10)*XLOOKUP(K$2,$AA$3:$AA$5,$AD$3:$AD$5)-ABS(XLOOKUP($C932,$Q$3:$Q$16,$R$3:$R$16)))*$B932,-5)</f>
        <v>56400000</v>
      </c>
      <c r="L932" s="17">
        <f t="shared" si="2795"/>
        <v>147300000</v>
      </c>
      <c r="M932" s="17">
        <f t="shared" si="2795"/>
        <v>159700000</v>
      </c>
    </row>
    <row r="933">
      <c r="A933" s="14" t="s">
        <v>976</v>
      </c>
      <c r="B933" s="14">
        <v>308.0</v>
      </c>
      <c r="C933" s="15">
        <f t="shared" si="4"/>
        <v>14</v>
      </c>
      <c r="D933" s="14" t="s">
        <v>36</v>
      </c>
      <c r="E933" s="16">
        <f t="shared" ref="E933:G933" si="2796">ROUNDUP((XLOOKUP($D933,$T$3:$T$10,$U$3:$U$10)*XLOOKUP(E$2,$AA$3:$AA$5,$AB$3:$AB$5)-ABS(XLOOKUP($C933,$Q$3:$Q$16,$R$3:$R$16)))*$B933,-5)</f>
        <v>71900000</v>
      </c>
      <c r="F933" s="16">
        <f t="shared" si="2796"/>
        <v>129900000</v>
      </c>
      <c r="G933" s="16">
        <f t="shared" si="2796"/>
        <v>141900000</v>
      </c>
      <c r="H933" s="17">
        <f t="shared" ref="H933:J933" si="2797">roundup((XLOOKUP($D933,$T$3:$T$10,$U$3:$U$10)*XLOOKUP(H$2,$AA$3:$AA$5,$AC$3:$AC$5)-ABS(XLOOKUP($C933,$Q$3:$Q$16,$R$3:$R$16)))*$B933,-5)</f>
        <v>58700000</v>
      </c>
      <c r="I933" s="17">
        <f t="shared" si="2797"/>
        <v>161500000</v>
      </c>
      <c r="J933" s="17">
        <f t="shared" si="2797"/>
        <v>175500000</v>
      </c>
      <c r="K933" s="17">
        <f t="shared" ref="K933:M933" si="2798">roundup((XLOOKUP($D933,$T$3:$T$10,$U$3:$U$10)*XLOOKUP(K$2,$AA$3:$AA$5,$AD$3:$AD$5)-ABS(XLOOKUP($C933,$Q$3:$Q$16,$R$3:$R$16)))*$B933,-5)</f>
        <v>70100000</v>
      </c>
      <c r="L933" s="17">
        <f t="shared" si="2798"/>
        <v>182900000</v>
      </c>
      <c r="M933" s="17">
        <f t="shared" si="2798"/>
        <v>198300000</v>
      </c>
    </row>
    <row r="934">
      <c r="A934" s="14" t="s">
        <v>977</v>
      </c>
      <c r="B934" s="14">
        <v>234.0</v>
      </c>
      <c r="C934" s="15">
        <f t="shared" si="4"/>
        <v>14</v>
      </c>
      <c r="D934" s="14" t="s">
        <v>33</v>
      </c>
      <c r="E934" s="16">
        <f t="shared" ref="E934:G934" si="2799">ROUNDUP((XLOOKUP($D934,$T$3:$T$10,$U$3:$U$10)*XLOOKUP(E$2,$AA$3:$AA$5,$AB$3:$AB$5)-ABS(XLOOKUP($C934,$Q$3:$Q$16,$R$3:$R$16)))*$B934,-5)</f>
        <v>44000000</v>
      </c>
      <c r="F934" s="16">
        <f t="shared" si="2799"/>
        <v>83300000</v>
      </c>
      <c r="G934" s="16">
        <f t="shared" si="2799"/>
        <v>91400000</v>
      </c>
      <c r="H934" s="17">
        <f t="shared" ref="H934:J934" si="2800">roundup((XLOOKUP($D934,$T$3:$T$10,$U$3:$U$10)*XLOOKUP(H$2,$AA$3:$AA$5,$AC$3:$AC$5)-ABS(XLOOKUP($C934,$Q$3:$Q$16,$R$3:$R$16)))*$B934,-5)</f>
        <v>35000000</v>
      </c>
      <c r="I934" s="17">
        <f t="shared" si="2800"/>
        <v>104700000</v>
      </c>
      <c r="J934" s="17">
        <f t="shared" si="2800"/>
        <v>114200000</v>
      </c>
      <c r="K934" s="17">
        <f t="shared" ref="K934:M934" si="2801">roundup((XLOOKUP($D934,$T$3:$T$10,$U$3:$U$10)*XLOOKUP(K$2,$AA$3:$AA$5,$AD$3:$AD$5)-ABS(XLOOKUP($C934,$Q$3:$Q$16,$R$3:$R$16)))*$B934,-5)</f>
        <v>42700000</v>
      </c>
      <c r="L934" s="17">
        <f t="shared" si="2801"/>
        <v>119200000</v>
      </c>
      <c r="M934" s="17">
        <f t="shared" si="2801"/>
        <v>129700000</v>
      </c>
    </row>
    <row r="935">
      <c r="A935" s="14" t="s">
        <v>978</v>
      </c>
      <c r="B935" s="14">
        <v>254.0</v>
      </c>
      <c r="C935" s="15">
        <f t="shared" si="4"/>
        <v>14</v>
      </c>
      <c r="D935" s="14" t="s">
        <v>33</v>
      </c>
      <c r="E935" s="16">
        <f t="shared" ref="E935:G935" si="2802">ROUNDUP((XLOOKUP($D935,$T$3:$T$10,$U$3:$U$10)*XLOOKUP(E$2,$AA$3:$AA$5,$AB$3:$AB$5)-ABS(XLOOKUP($C935,$Q$3:$Q$16,$R$3:$R$16)))*$B935,-5)</f>
        <v>47700000</v>
      </c>
      <c r="F935" s="16">
        <f t="shared" si="2802"/>
        <v>90400000</v>
      </c>
      <c r="G935" s="16">
        <f t="shared" si="2802"/>
        <v>99200000</v>
      </c>
      <c r="H935" s="17">
        <f t="shared" ref="H935:J935" si="2803">roundup((XLOOKUP($D935,$T$3:$T$10,$U$3:$U$10)*XLOOKUP(H$2,$AA$3:$AA$5,$AC$3:$AC$5)-ABS(XLOOKUP($C935,$Q$3:$Q$16,$R$3:$R$16)))*$B935,-5)</f>
        <v>38000000</v>
      </c>
      <c r="I935" s="17">
        <f t="shared" si="2803"/>
        <v>113700000</v>
      </c>
      <c r="J935" s="17">
        <f t="shared" si="2803"/>
        <v>124000000</v>
      </c>
      <c r="K935" s="17">
        <f t="shared" ref="K935:M935" si="2804">roundup((XLOOKUP($D935,$T$3:$T$10,$U$3:$U$10)*XLOOKUP(K$2,$AA$3:$AA$5,$AD$3:$AD$5)-ABS(XLOOKUP($C935,$Q$3:$Q$16,$R$3:$R$16)))*$B935,-5)</f>
        <v>46400000</v>
      </c>
      <c r="L935" s="17">
        <f t="shared" si="2804"/>
        <v>129400000</v>
      </c>
      <c r="M935" s="17">
        <f t="shared" si="2804"/>
        <v>140700000</v>
      </c>
    </row>
    <row r="936">
      <c r="A936" s="14" t="s">
        <v>979</v>
      </c>
      <c r="B936" s="14">
        <v>222.0</v>
      </c>
      <c r="C936" s="15">
        <f t="shared" si="4"/>
        <v>14</v>
      </c>
      <c r="D936" s="14" t="s">
        <v>36</v>
      </c>
      <c r="E936" s="16">
        <f t="shared" ref="E936:G936" si="2805">ROUNDUP((XLOOKUP($D936,$T$3:$T$10,$U$3:$U$10)*XLOOKUP(E$2,$AA$3:$AA$5,$AB$3:$AB$5)-ABS(XLOOKUP($C936,$Q$3:$Q$16,$R$3:$R$16)))*$B936,-5)</f>
        <v>51800000</v>
      </c>
      <c r="F936" s="16">
        <f t="shared" si="2805"/>
        <v>93600000</v>
      </c>
      <c r="G936" s="16">
        <f t="shared" si="2805"/>
        <v>102300000</v>
      </c>
      <c r="H936" s="17">
        <f t="shared" ref="H936:J936" si="2806">roundup((XLOOKUP($D936,$T$3:$T$10,$U$3:$U$10)*XLOOKUP(H$2,$AA$3:$AA$5,$AC$3:$AC$5)-ABS(XLOOKUP($C936,$Q$3:$Q$16,$R$3:$R$16)))*$B936,-5)</f>
        <v>42300000</v>
      </c>
      <c r="I936" s="17">
        <f t="shared" si="2806"/>
        <v>116400000</v>
      </c>
      <c r="J936" s="17">
        <f t="shared" si="2806"/>
        <v>126500000</v>
      </c>
      <c r="K936" s="17">
        <f t="shared" ref="K936:M936" si="2807">roundup((XLOOKUP($D936,$T$3:$T$10,$U$3:$U$10)*XLOOKUP(K$2,$AA$3:$AA$5,$AD$3:$AD$5)-ABS(XLOOKUP($C936,$Q$3:$Q$16,$R$3:$R$16)))*$B936,-5)</f>
        <v>50500000</v>
      </c>
      <c r="L936" s="17">
        <f t="shared" si="2807"/>
        <v>131800000</v>
      </c>
      <c r="M936" s="17">
        <f t="shared" si="2807"/>
        <v>142900000</v>
      </c>
    </row>
    <row r="937">
      <c r="A937" s="14" t="s">
        <v>980</v>
      </c>
      <c r="B937" s="14">
        <v>301.0</v>
      </c>
      <c r="C937" s="15">
        <f t="shared" si="4"/>
        <v>14</v>
      </c>
      <c r="D937" s="14" t="s">
        <v>36</v>
      </c>
      <c r="E937" s="16">
        <f t="shared" ref="E937:G937" si="2808">ROUNDUP((XLOOKUP($D937,$T$3:$T$10,$U$3:$U$10)*XLOOKUP(E$2,$AA$3:$AA$5,$AB$3:$AB$5)-ABS(XLOOKUP($C937,$Q$3:$Q$16,$R$3:$R$16)))*$B937,-5)</f>
        <v>70200000</v>
      </c>
      <c r="F937" s="16">
        <f t="shared" si="2808"/>
        <v>126900000</v>
      </c>
      <c r="G937" s="16">
        <f t="shared" si="2808"/>
        <v>138700000</v>
      </c>
      <c r="H937" s="17">
        <f t="shared" ref="H937:J937" si="2809">roundup((XLOOKUP($D937,$T$3:$T$10,$U$3:$U$10)*XLOOKUP(H$2,$AA$3:$AA$5,$AC$3:$AC$5)-ABS(XLOOKUP($C937,$Q$3:$Q$16,$R$3:$R$16)))*$B937,-5)</f>
        <v>57300000</v>
      </c>
      <c r="I937" s="17">
        <f t="shared" si="2809"/>
        <v>157800000</v>
      </c>
      <c r="J937" s="17">
        <f t="shared" si="2809"/>
        <v>171500000</v>
      </c>
      <c r="K937" s="17">
        <f t="shared" ref="K937:M937" si="2810">roundup((XLOOKUP($D937,$T$3:$T$10,$U$3:$U$10)*XLOOKUP(K$2,$AA$3:$AA$5,$AD$3:$AD$5)-ABS(XLOOKUP($C937,$Q$3:$Q$16,$R$3:$R$16)))*$B937,-5)</f>
        <v>68500000</v>
      </c>
      <c r="L937" s="17">
        <f t="shared" si="2810"/>
        <v>178700000</v>
      </c>
      <c r="M937" s="17">
        <f t="shared" si="2810"/>
        <v>193800000</v>
      </c>
    </row>
    <row r="938">
      <c r="A938" s="14" t="s">
        <v>981</v>
      </c>
      <c r="B938" s="14">
        <v>135.0</v>
      </c>
      <c r="C938" s="15">
        <f t="shared" si="4"/>
        <v>11</v>
      </c>
      <c r="D938" s="14" t="s">
        <v>36</v>
      </c>
      <c r="E938" s="16">
        <f t="shared" ref="E938:G938" si="2811">ROUNDUP((XLOOKUP($D938,$T$3:$T$10,$U$3:$U$10)*XLOOKUP(E$2,$AA$3:$AA$5,$AB$3:$AB$5)-ABS(XLOOKUP($C938,$Q$3:$Q$16,$R$3:$R$16)))*$B938,-5)</f>
        <v>35400000</v>
      </c>
      <c r="F938" s="16">
        <f t="shared" si="2811"/>
        <v>60900000</v>
      </c>
      <c r="G938" s="16">
        <f t="shared" si="2811"/>
        <v>66100000</v>
      </c>
      <c r="H938" s="17">
        <f t="shared" ref="H938:J938" si="2812">roundup((XLOOKUP($D938,$T$3:$T$10,$U$3:$U$10)*XLOOKUP(H$2,$AA$3:$AA$5,$AC$3:$AC$5)-ABS(XLOOKUP($C938,$Q$3:$Q$16,$R$3:$R$16)))*$B938,-5)</f>
        <v>29700000</v>
      </c>
      <c r="I938" s="17">
        <f t="shared" si="2812"/>
        <v>74700000</v>
      </c>
      <c r="J938" s="17">
        <f t="shared" si="2812"/>
        <v>80900000</v>
      </c>
      <c r="K938" s="17">
        <f t="shared" ref="K938:M938" si="2813">roundup((XLOOKUP($D938,$T$3:$T$10,$U$3:$U$10)*XLOOKUP(K$2,$AA$3:$AA$5,$AD$3:$AD$5)-ABS(XLOOKUP($C938,$Q$3:$Q$16,$R$3:$R$16)))*$B938,-5)</f>
        <v>34700000</v>
      </c>
      <c r="L938" s="17">
        <f t="shared" si="2813"/>
        <v>84100000</v>
      </c>
      <c r="M938" s="17">
        <f t="shared" si="2813"/>
        <v>90900000</v>
      </c>
    </row>
    <row r="939">
      <c r="A939" s="14" t="s">
        <v>982</v>
      </c>
      <c r="B939" s="14">
        <v>228.0</v>
      </c>
      <c r="C939" s="15">
        <f t="shared" si="4"/>
        <v>14</v>
      </c>
      <c r="D939" s="14" t="s">
        <v>36</v>
      </c>
      <c r="E939" s="16">
        <f t="shared" ref="E939:G939" si="2814">ROUNDUP((XLOOKUP($D939,$T$3:$T$10,$U$3:$U$10)*XLOOKUP(E$2,$AA$3:$AA$5,$AB$3:$AB$5)-ABS(XLOOKUP($C939,$Q$3:$Q$16,$R$3:$R$16)))*$B939,-5)</f>
        <v>53200000</v>
      </c>
      <c r="F939" s="16">
        <f t="shared" si="2814"/>
        <v>96200000</v>
      </c>
      <c r="G939" s="16">
        <f t="shared" si="2814"/>
        <v>105000000</v>
      </c>
      <c r="H939" s="17">
        <f t="shared" ref="H939:J939" si="2815">roundup((XLOOKUP($D939,$T$3:$T$10,$U$3:$U$10)*XLOOKUP(H$2,$AA$3:$AA$5,$AC$3:$AC$5)-ABS(XLOOKUP($C939,$Q$3:$Q$16,$R$3:$R$16)))*$B939,-5)</f>
        <v>43400000</v>
      </c>
      <c r="I939" s="17">
        <f t="shared" si="2815"/>
        <v>119600000</v>
      </c>
      <c r="J939" s="17">
        <f t="shared" si="2815"/>
        <v>129900000</v>
      </c>
      <c r="K939" s="17">
        <f t="shared" ref="K939:M939" si="2816">roundup((XLOOKUP($D939,$T$3:$T$10,$U$3:$U$10)*XLOOKUP(K$2,$AA$3:$AA$5,$AD$3:$AD$5)-ABS(XLOOKUP($C939,$Q$3:$Q$16,$R$3:$R$16)))*$B939,-5)</f>
        <v>51900000</v>
      </c>
      <c r="L939" s="17">
        <f t="shared" si="2816"/>
        <v>135400000</v>
      </c>
      <c r="M939" s="17">
        <f t="shared" si="2816"/>
        <v>146800000</v>
      </c>
    </row>
    <row r="940">
      <c r="A940" s="14" t="s">
        <v>983</v>
      </c>
      <c r="B940" s="14">
        <v>223.0</v>
      </c>
      <c r="C940" s="15">
        <f t="shared" si="4"/>
        <v>14</v>
      </c>
      <c r="D940" s="14" t="s">
        <v>33</v>
      </c>
      <c r="E940" s="16">
        <f t="shared" ref="E940:G940" si="2817">ROUNDUP((XLOOKUP($D940,$T$3:$T$10,$U$3:$U$10)*XLOOKUP(E$2,$AA$3:$AA$5,$AB$3:$AB$5)-ABS(XLOOKUP($C940,$Q$3:$Q$16,$R$3:$R$16)))*$B940,-5)</f>
        <v>41900000</v>
      </c>
      <c r="F940" s="16">
        <f t="shared" si="2817"/>
        <v>79400000</v>
      </c>
      <c r="G940" s="16">
        <f t="shared" si="2817"/>
        <v>87100000</v>
      </c>
      <c r="H940" s="17">
        <f t="shared" ref="H940:J940" si="2818">roundup((XLOOKUP($D940,$T$3:$T$10,$U$3:$U$10)*XLOOKUP(H$2,$AA$3:$AA$5,$AC$3:$AC$5)-ABS(XLOOKUP($C940,$Q$3:$Q$16,$R$3:$R$16)))*$B940,-5)</f>
        <v>33400000</v>
      </c>
      <c r="I940" s="17">
        <f t="shared" si="2818"/>
        <v>99800000</v>
      </c>
      <c r="J940" s="17">
        <f t="shared" si="2818"/>
        <v>108800000</v>
      </c>
      <c r="K940" s="17">
        <f t="shared" ref="K940:M940" si="2819">roundup((XLOOKUP($D940,$T$3:$T$10,$U$3:$U$10)*XLOOKUP(K$2,$AA$3:$AA$5,$AD$3:$AD$5)-ABS(XLOOKUP($C940,$Q$3:$Q$16,$R$3:$R$16)))*$B940,-5)</f>
        <v>40700000</v>
      </c>
      <c r="L940" s="17">
        <f t="shared" si="2819"/>
        <v>113600000</v>
      </c>
      <c r="M940" s="17">
        <f t="shared" si="2819"/>
        <v>123600000</v>
      </c>
    </row>
    <row r="941">
      <c r="A941" s="14" t="s">
        <v>984</v>
      </c>
      <c r="B941" s="14">
        <v>327.0</v>
      </c>
      <c r="C941" s="15">
        <f t="shared" si="4"/>
        <v>14</v>
      </c>
      <c r="D941" s="14" t="s">
        <v>36</v>
      </c>
      <c r="E941" s="16">
        <f t="shared" ref="E941:G941" si="2820">ROUNDUP((XLOOKUP($D941,$T$3:$T$10,$U$3:$U$10)*XLOOKUP(E$2,$AA$3:$AA$5,$AB$3:$AB$5)-ABS(XLOOKUP($C941,$Q$3:$Q$16,$R$3:$R$16)))*$B941,-5)</f>
        <v>76300000</v>
      </c>
      <c r="F941" s="16">
        <f t="shared" si="2820"/>
        <v>137900000</v>
      </c>
      <c r="G941" s="16">
        <f t="shared" si="2820"/>
        <v>150600000</v>
      </c>
      <c r="H941" s="17">
        <f t="shared" ref="H941:J941" si="2821">roundup((XLOOKUP($D941,$T$3:$T$10,$U$3:$U$10)*XLOOKUP(H$2,$AA$3:$AA$5,$AC$3:$AC$5)-ABS(XLOOKUP($C941,$Q$3:$Q$16,$R$3:$R$16)))*$B941,-5)</f>
        <v>62300000</v>
      </c>
      <c r="I941" s="17">
        <f t="shared" si="2821"/>
        <v>171400000</v>
      </c>
      <c r="J941" s="17">
        <f t="shared" si="2821"/>
        <v>186300000</v>
      </c>
      <c r="K941" s="17">
        <f t="shared" ref="K941:M941" si="2822">roundup((XLOOKUP($D941,$T$3:$T$10,$U$3:$U$10)*XLOOKUP(K$2,$AA$3:$AA$5,$AD$3:$AD$5)-ABS(XLOOKUP($C941,$Q$3:$Q$16,$R$3:$R$16)))*$B941,-5)</f>
        <v>74400000</v>
      </c>
      <c r="L941" s="17">
        <f t="shared" si="2822"/>
        <v>194200000</v>
      </c>
      <c r="M941" s="17">
        <f t="shared" si="2822"/>
        <v>210500000</v>
      </c>
    </row>
    <row r="942">
      <c r="A942" s="14" t="s">
        <v>985</v>
      </c>
      <c r="B942" s="14">
        <v>280.0</v>
      </c>
      <c r="C942" s="15">
        <f t="shared" si="4"/>
        <v>14</v>
      </c>
      <c r="D942" s="14" t="s">
        <v>36</v>
      </c>
      <c r="E942" s="16">
        <f t="shared" ref="E942:G942" si="2823">ROUNDUP((XLOOKUP($D942,$T$3:$T$10,$U$3:$U$10)*XLOOKUP(E$2,$AA$3:$AA$5,$AB$3:$AB$5)-ABS(XLOOKUP($C942,$Q$3:$Q$16,$R$3:$R$16)))*$B942,-5)</f>
        <v>65300000</v>
      </c>
      <c r="F942" s="16">
        <f t="shared" si="2823"/>
        <v>118100000</v>
      </c>
      <c r="G942" s="16">
        <f t="shared" si="2823"/>
        <v>129000000</v>
      </c>
      <c r="H942" s="17">
        <f t="shared" ref="H942:J942" si="2824">roundup((XLOOKUP($D942,$T$3:$T$10,$U$3:$U$10)*XLOOKUP(H$2,$AA$3:$AA$5,$AC$3:$AC$5)-ABS(XLOOKUP($C942,$Q$3:$Q$16,$R$3:$R$16)))*$B942,-5)</f>
        <v>53300000</v>
      </c>
      <c r="I942" s="17">
        <f t="shared" si="2824"/>
        <v>146800000</v>
      </c>
      <c r="J942" s="17">
        <f t="shared" si="2824"/>
        <v>159500000</v>
      </c>
      <c r="K942" s="17">
        <f t="shared" ref="K942:M942" si="2825">roundup((XLOOKUP($D942,$T$3:$T$10,$U$3:$U$10)*XLOOKUP(K$2,$AA$3:$AA$5,$AD$3:$AD$5)-ABS(XLOOKUP($C942,$Q$3:$Q$16,$R$3:$R$16)))*$B942,-5)</f>
        <v>63700000</v>
      </c>
      <c r="L942" s="17">
        <f t="shared" si="2825"/>
        <v>166300000</v>
      </c>
      <c r="M942" s="17">
        <f t="shared" si="2825"/>
        <v>180300000</v>
      </c>
    </row>
    <row r="943">
      <c r="A943" s="14" t="s">
        <v>986</v>
      </c>
      <c r="B943" s="14">
        <v>228.0</v>
      </c>
      <c r="C943" s="15">
        <f t="shared" si="4"/>
        <v>14</v>
      </c>
      <c r="D943" s="14" t="s">
        <v>36</v>
      </c>
      <c r="E943" s="16">
        <f t="shared" ref="E943:G943" si="2826">ROUNDUP((XLOOKUP($D943,$T$3:$T$10,$U$3:$U$10)*XLOOKUP(E$2,$AA$3:$AA$5,$AB$3:$AB$5)-ABS(XLOOKUP($C943,$Q$3:$Q$16,$R$3:$R$16)))*$B943,-5)</f>
        <v>53200000</v>
      </c>
      <c r="F943" s="16">
        <f t="shared" si="2826"/>
        <v>96200000</v>
      </c>
      <c r="G943" s="16">
        <f t="shared" si="2826"/>
        <v>105000000</v>
      </c>
      <c r="H943" s="17">
        <f t="shared" ref="H943:J943" si="2827">roundup((XLOOKUP($D943,$T$3:$T$10,$U$3:$U$10)*XLOOKUP(H$2,$AA$3:$AA$5,$AC$3:$AC$5)-ABS(XLOOKUP($C943,$Q$3:$Q$16,$R$3:$R$16)))*$B943,-5)</f>
        <v>43400000</v>
      </c>
      <c r="I943" s="17">
        <f t="shared" si="2827"/>
        <v>119600000</v>
      </c>
      <c r="J943" s="17">
        <f t="shared" si="2827"/>
        <v>129900000</v>
      </c>
      <c r="K943" s="17">
        <f t="shared" ref="K943:M943" si="2828">roundup((XLOOKUP($D943,$T$3:$T$10,$U$3:$U$10)*XLOOKUP(K$2,$AA$3:$AA$5,$AD$3:$AD$5)-ABS(XLOOKUP($C943,$Q$3:$Q$16,$R$3:$R$16)))*$B943,-5)</f>
        <v>51900000</v>
      </c>
      <c r="L943" s="17">
        <f t="shared" si="2828"/>
        <v>135400000</v>
      </c>
      <c r="M943" s="17">
        <f t="shared" si="2828"/>
        <v>146800000</v>
      </c>
    </row>
    <row r="944">
      <c r="A944" s="14" t="s">
        <v>987</v>
      </c>
      <c r="B944" s="14">
        <v>162.0</v>
      </c>
      <c r="C944" s="15">
        <f t="shared" si="4"/>
        <v>12</v>
      </c>
      <c r="D944" s="14" t="s">
        <v>33</v>
      </c>
      <c r="E944" s="16">
        <f t="shared" ref="E944:G944" si="2829">ROUNDUP((XLOOKUP($D944,$T$3:$T$10,$U$3:$U$10)*XLOOKUP(E$2,$AA$3:$AA$5,$AB$3:$AB$5)-ABS(XLOOKUP($C944,$Q$3:$Q$16,$R$3:$R$16)))*$B944,-5)</f>
        <v>34300000</v>
      </c>
      <c r="F944" s="16">
        <f t="shared" si="2829"/>
        <v>61600000</v>
      </c>
      <c r="G944" s="16">
        <f t="shared" si="2829"/>
        <v>67200000</v>
      </c>
      <c r="H944" s="17">
        <f t="shared" ref="H944:J944" si="2830">roundup((XLOOKUP($D944,$T$3:$T$10,$U$3:$U$10)*XLOOKUP(H$2,$AA$3:$AA$5,$AC$3:$AC$5)-ABS(XLOOKUP($C944,$Q$3:$Q$16,$R$3:$R$16)))*$B944,-5)</f>
        <v>28100000</v>
      </c>
      <c r="I944" s="17">
        <f t="shared" si="2830"/>
        <v>76400000</v>
      </c>
      <c r="J944" s="17">
        <f t="shared" si="2830"/>
        <v>83000000</v>
      </c>
      <c r="K944" s="17">
        <f t="shared" ref="K944:M944" si="2831">roundup((XLOOKUP($D944,$T$3:$T$10,$U$3:$U$10)*XLOOKUP(K$2,$AA$3:$AA$5,$AD$3:$AD$5)-ABS(XLOOKUP($C944,$Q$3:$Q$16,$R$3:$R$16)))*$B944,-5)</f>
        <v>33500000</v>
      </c>
      <c r="L944" s="17">
        <f t="shared" si="2831"/>
        <v>86400000</v>
      </c>
      <c r="M944" s="17">
        <f t="shared" si="2831"/>
        <v>93700000</v>
      </c>
    </row>
    <row r="945">
      <c r="A945" s="14" t="s">
        <v>988</v>
      </c>
      <c r="B945" s="14">
        <v>257.0</v>
      </c>
      <c r="C945" s="15">
        <f t="shared" si="4"/>
        <v>14</v>
      </c>
      <c r="D945" s="14" t="s">
        <v>33</v>
      </c>
      <c r="E945" s="16">
        <f t="shared" ref="E945:G945" si="2832">ROUNDUP((XLOOKUP($D945,$T$3:$T$10,$U$3:$U$10)*XLOOKUP(E$2,$AA$3:$AA$5,$AB$3:$AB$5)-ABS(XLOOKUP($C945,$Q$3:$Q$16,$R$3:$R$16)))*$B945,-5)</f>
        <v>48300000</v>
      </c>
      <c r="F945" s="16">
        <f t="shared" si="2832"/>
        <v>91500000</v>
      </c>
      <c r="G945" s="16">
        <f t="shared" si="2832"/>
        <v>100400000</v>
      </c>
      <c r="H945" s="17">
        <f t="shared" ref="H945:J945" si="2833">roundup((XLOOKUP($D945,$T$3:$T$10,$U$3:$U$10)*XLOOKUP(H$2,$AA$3:$AA$5,$AC$3:$AC$5)-ABS(XLOOKUP($C945,$Q$3:$Q$16,$R$3:$R$16)))*$B945,-5)</f>
        <v>38500000</v>
      </c>
      <c r="I945" s="17">
        <f t="shared" si="2833"/>
        <v>115000000</v>
      </c>
      <c r="J945" s="17">
        <f t="shared" si="2833"/>
        <v>125400000</v>
      </c>
      <c r="K945" s="17">
        <f t="shared" ref="K945:M945" si="2834">roundup((XLOOKUP($D945,$T$3:$T$10,$U$3:$U$10)*XLOOKUP(K$2,$AA$3:$AA$5,$AD$3:$AD$5)-ABS(XLOOKUP($C945,$Q$3:$Q$16,$R$3:$R$16)))*$B945,-5)</f>
        <v>46900000</v>
      </c>
      <c r="L945" s="17">
        <f t="shared" si="2834"/>
        <v>130900000</v>
      </c>
      <c r="M945" s="17">
        <f t="shared" si="2834"/>
        <v>142400000</v>
      </c>
    </row>
    <row r="946">
      <c r="A946" s="14" t="s">
        <v>989</v>
      </c>
      <c r="B946" s="14">
        <v>172.0</v>
      </c>
      <c r="C946" s="15">
        <f t="shared" si="4"/>
        <v>12</v>
      </c>
      <c r="D946" s="14" t="s">
        <v>36</v>
      </c>
      <c r="E946" s="16">
        <f t="shared" ref="E946:G946" si="2835">ROUNDUP((XLOOKUP($D946,$T$3:$T$10,$U$3:$U$10)*XLOOKUP(E$2,$AA$3:$AA$5,$AB$3:$AB$5)-ABS(XLOOKUP($C946,$Q$3:$Q$16,$R$3:$R$16)))*$B946,-5)</f>
        <v>44300000</v>
      </c>
      <c r="F946" s="16">
        <f t="shared" si="2835"/>
        <v>76700000</v>
      </c>
      <c r="G946" s="16">
        <f t="shared" si="2835"/>
        <v>83400000</v>
      </c>
      <c r="H946" s="17">
        <f t="shared" ref="H946:J946" si="2836">roundup((XLOOKUP($D946,$T$3:$T$10,$U$3:$U$10)*XLOOKUP(H$2,$AA$3:$AA$5,$AC$3:$AC$5)-ABS(XLOOKUP($C946,$Q$3:$Q$16,$R$3:$R$16)))*$B946,-5)</f>
        <v>36900000</v>
      </c>
      <c r="I946" s="17">
        <f t="shared" si="2836"/>
        <v>94300000</v>
      </c>
      <c r="J946" s="17">
        <f t="shared" si="2836"/>
        <v>102200000</v>
      </c>
      <c r="K946" s="17">
        <f t="shared" ref="K946:M946" si="2837">roundup((XLOOKUP($D946,$T$3:$T$10,$U$3:$U$10)*XLOOKUP(K$2,$AA$3:$AA$5,$AD$3:$AD$5)-ABS(XLOOKUP($C946,$Q$3:$Q$16,$R$3:$R$16)))*$B946,-5)</f>
        <v>43300000</v>
      </c>
      <c r="L946" s="17">
        <f t="shared" si="2837"/>
        <v>106300000</v>
      </c>
      <c r="M946" s="17">
        <f t="shared" si="2837"/>
        <v>114900000</v>
      </c>
    </row>
    <row r="947">
      <c r="A947" s="14" t="s">
        <v>990</v>
      </c>
      <c r="B947" s="14">
        <v>275.0</v>
      </c>
      <c r="C947" s="15">
        <f t="shared" si="4"/>
        <v>14</v>
      </c>
      <c r="D947" s="14" t="s">
        <v>36</v>
      </c>
      <c r="E947" s="16">
        <f t="shared" ref="E947:G947" si="2838">ROUNDUP((XLOOKUP($D947,$T$3:$T$10,$U$3:$U$10)*XLOOKUP(E$2,$AA$3:$AA$5,$AB$3:$AB$5)-ABS(XLOOKUP($C947,$Q$3:$Q$16,$R$3:$R$16)))*$B947,-5)</f>
        <v>64200000</v>
      </c>
      <c r="F947" s="16">
        <f t="shared" si="2838"/>
        <v>116000000</v>
      </c>
      <c r="G947" s="16">
        <f t="shared" si="2838"/>
        <v>126700000</v>
      </c>
      <c r="H947" s="17">
        <f t="shared" ref="H947:J947" si="2839">roundup((XLOOKUP($D947,$T$3:$T$10,$U$3:$U$10)*XLOOKUP(H$2,$AA$3:$AA$5,$AC$3:$AC$5)-ABS(XLOOKUP($C947,$Q$3:$Q$16,$R$3:$R$16)))*$B947,-5)</f>
        <v>52400000</v>
      </c>
      <c r="I947" s="17">
        <f t="shared" si="2839"/>
        <v>144200000</v>
      </c>
      <c r="J947" s="17">
        <f t="shared" si="2839"/>
        <v>156700000</v>
      </c>
      <c r="K947" s="17">
        <f t="shared" ref="K947:M947" si="2840">roundup((XLOOKUP($D947,$T$3:$T$10,$U$3:$U$10)*XLOOKUP(K$2,$AA$3:$AA$5,$AD$3:$AD$5)-ABS(XLOOKUP($C947,$Q$3:$Q$16,$R$3:$R$16)))*$B947,-5)</f>
        <v>62600000</v>
      </c>
      <c r="L947" s="17">
        <f t="shared" si="2840"/>
        <v>163300000</v>
      </c>
      <c r="M947" s="17">
        <f t="shared" si="2840"/>
        <v>177100000</v>
      </c>
    </row>
    <row r="948">
      <c r="A948" s="14" t="s">
        <v>991</v>
      </c>
      <c r="B948" s="14">
        <v>312.0</v>
      </c>
      <c r="C948" s="15">
        <f t="shared" si="4"/>
        <v>14</v>
      </c>
      <c r="D948" s="14" t="s">
        <v>33</v>
      </c>
      <c r="E948" s="16">
        <f t="shared" ref="E948:G948" si="2841">ROUNDUP((XLOOKUP($D948,$T$3:$T$10,$U$3:$U$10)*XLOOKUP(E$2,$AA$3:$AA$5,$AB$3:$AB$5)-ABS(XLOOKUP($C948,$Q$3:$Q$16,$R$3:$R$16)))*$B948,-5)</f>
        <v>58600000</v>
      </c>
      <c r="F948" s="16">
        <f t="shared" si="2841"/>
        <v>111000000</v>
      </c>
      <c r="G948" s="16">
        <f t="shared" si="2841"/>
        <v>121900000</v>
      </c>
      <c r="H948" s="17">
        <f t="shared" ref="H948:J948" si="2842">roundup((XLOOKUP($D948,$T$3:$T$10,$U$3:$U$10)*XLOOKUP(H$2,$AA$3:$AA$5,$AC$3:$AC$5)-ABS(XLOOKUP($C948,$Q$3:$Q$16,$R$3:$R$16)))*$B948,-5)</f>
        <v>46700000</v>
      </c>
      <c r="I948" s="17">
        <f t="shared" si="2842"/>
        <v>139600000</v>
      </c>
      <c r="J948" s="17">
        <f t="shared" si="2842"/>
        <v>152300000</v>
      </c>
      <c r="K948" s="17">
        <f t="shared" ref="K948:M948" si="2843">roundup((XLOOKUP($D948,$T$3:$T$10,$U$3:$U$10)*XLOOKUP(K$2,$AA$3:$AA$5,$AD$3:$AD$5)-ABS(XLOOKUP($C948,$Q$3:$Q$16,$R$3:$R$16)))*$B948,-5)</f>
        <v>57000000</v>
      </c>
      <c r="L948" s="17">
        <f t="shared" si="2843"/>
        <v>159000000</v>
      </c>
      <c r="M948" s="17">
        <f t="shared" si="2843"/>
        <v>172900000</v>
      </c>
    </row>
    <row r="949">
      <c r="A949" s="14" t="s">
        <v>992</v>
      </c>
      <c r="B949" s="14">
        <v>213.0</v>
      </c>
      <c r="C949" s="15">
        <f t="shared" si="4"/>
        <v>13</v>
      </c>
      <c r="D949" s="14" t="s">
        <v>36</v>
      </c>
      <c r="E949" s="16">
        <f t="shared" ref="E949:G949" si="2844">ROUNDUP((XLOOKUP($D949,$T$3:$T$10,$U$3:$U$10)*XLOOKUP(E$2,$AA$3:$AA$5,$AB$3:$AB$5)-ABS(XLOOKUP($C949,$Q$3:$Q$16,$R$3:$R$16)))*$B949,-5)</f>
        <v>51600000</v>
      </c>
      <c r="F949" s="16">
        <f t="shared" si="2844"/>
        <v>91800000</v>
      </c>
      <c r="G949" s="16">
        <f t="shared" si="2844"/>
        <v>100100000</v>
      </c>
      <c r="H949" s="17">
        <f t="shared" ref="H949:J949" si="2845">roundup((XLOOKUP($D949,$T$3:$T$10,$U$3:$U$10)*XLOOKUP(H$2,$AA$3:$AA$5,$AC$3:$AC$5)-ABS(XLOOKUP($C949,$Q$3:$Q$16,$R$3:$R$16)))*$B949,-5)</f>
        <v>42500000</v>
      </c>
      <c r="I949" s="17">
        <f t="shared" si="2845"/>
        <v>113600000</v>
      </c>
      <c r="J949" s="17">
        <f t="shared" si="2845"/>
        <v>123300000</v>
      </c>
      <c r="K949" s="17">
        <f t="shared" ref="K949:M949" si="2846">roundup((XLOOKUP($D949,$T$3:$T$10,$U$3:$U$10)*XLOOKUP(K$2,$AA$3:$AA$5,$AD$3:$AD$5)-ABS(XLOOKUP($C949,$Q$3:$Q$16,$R$3:$R$16)))*$B949,-5)</f>
        <v>50400000</v>
      </c>
      <c r="L949" s="17">
        <f t="shared" si="2846"/>
        <v>128400000</v>
      </c>
      <c r="M949" s="17">
        <f t="shared" si="2846"/>
        <v>139100000</v>
      </c>
    </row>
    <row r="950">
      <c r="A950" s="14" t="s">
        <v>993</v>
      </c>
      <c r="B950" s="14">
        <v>134.0</v>
      </c>
      <c r="C950" s="15">
        <f t="shared" si="4"/>
        <v>11</v>
      </c>
      <c r="D950" s="14" t="s">
        <v>33</v>
      </c>
      <c r="E950" s="16">
        <f t="shared" ref="E950:G950" si="2847">ROUNDUP((XLOOKUP($D950,$T$3:$T$10,$U$3:$U$10)*XLOOKUP(E$2,$AA$3:$AA$5,$AB$3:$AB$5)-ABS(XLOOKUP($C950,$Q$3:$Q$16,$R$3:$R$16)))*$B950,-5)</f>
        <v>29100000</v>
      </c>
      <c r="F950" s="16">
        <f t="shared" si="2847"/>
        <v>51600000</v>
      </c>
      <c r="G950" s="16">
        <f t="shared" si="2847"/>
        <v>56300000</v>
      </c>
      <c r="H950" s="17">
        <f t="shared" ref="H950:J950" si="2848">roundup((XLOOKUP($D950,$T$3:$T$10,$U$3:$U$10)*XLOOKUP(H$2,$AA$3:$AA$5,$AC$3:$AC$5)-ABS(XLOOKUP($C950,$Q$3:$Q$16,$R$3:$R$16)))*$B950,-5)</f>
        <v>24000000</v>
      </c>
      <c r="I950" s="17">
        <f t="shared" si="2848"/>
        <v>63900000</v>
      </c>
      <c r="J950" s="17">
        <f t="shared" si="2848"/>
        <v>69300000</v>
      </c>
      <c r="K950" s="17">
        <f t="shared" ref="K950:M950" si="2849">roundup((XLOOKUP($D950,$T$3:$T$10,$U$3:$U$10)*XLOOKUP(K$2,$AA$3:$AA$5,$AD$3:$AD$5)-ABS(XLOOKUP($C950,$Q$3:$Q$16,$R$3:$R$16)))*$B950,-5)</f>
        <v>28400000</v>
      </c>
      <c r="L950" s="17">
        <f t="shared" si="2849"/>
        <v>72200000</v>
      </c>
      <c r="M950" s="17">
        <f t="shared" si="2849"/>
        <v>78200000</v>
      </c>
    </row>
    <row r="951">
      <c r="A951" s="14" t="s">
        <v>994</v>
      </c>
      <c r="B951" s="14">
        <v>150.0</v>
      </c>
      <c r="C951" s="15">
        <f t="shared" si="4"/>
        <v>11</v>
      </c>
      <c r="D951" s="14" t="s">
        <v>33</v>
      </c>
      <c r="E951" s="16">
        <f t="shared" ref="E951:G951" si="2850">ROUNDUP((XLOOKUP($D951,$T$3:$T$10,$U$3:$U$10)*XLOOKUP(E$2,$AA$3:$AA$5,$AB$3:$AB$5)-ABS(XLOOKUP($C951,$Q$3:$Q$16,$R$3:$R$16)))*$B951,-5)</f>
        <v>32600000</v>
      </c>
      <c r="F951" s="16">
        <f t="shared" si="2850"/>
        <v>57800000</v>
      </c>
      <c r="G951" s="16">
        <f t="shared" si="2850"/>
        <v>63000000</v>
      </c>
      <c r="H951" s="17">
        <f t="shared" ref="H951:J951" si="2851">roundup((XLOOKUP($D951,$T$3:$T$10,$U$3:$U$10)*XLOOKUP(H$2,$AA$3:$AA$5,$AC$3:$AC$5)-ABS(XLOOKUP($C951,$Q$3:$Q$16,$R$3:$R$16)))*$B951,-5)</f>
        <v>26800000</v>
      </c>
      <c r="I951" s="17">
        <f t="shared" si="2851"/>
        <v>71500000</v>
      </c>
      <c r="J951" s="17">
        <f t="shared" si="2851"/>
        <v>77600000</v>
      </c>
      <c r="K951" s="17">
        <f t="shared" ref="K951:M951" si="2852">roundup((XLOOKUP($D951,$T$3:$T$10,$U$3:$U$10)*XLOOKUP(K$2,$AA$3:$AA$5,$AD$3:$AD$5)-ABS(XLOOKUP($C951,$Q$3:$Q$16,$R$3:$R$16)))*$B951,-5)</f>
        <v>31800000</v>
      </c>
      <c r="L951" s="17">
        <f t="shared" si="2852"/>
        <v>80800000</v>
      </c>
      <c r="M951" s="17">
        <f t="shared" si="2852"/>
        <v>87500000</v>
      </c>
    </row>
    <row r="952">
      <c r="A952" s="14" t="s">
        <v>995</v>
      </c>
      <c r="B952" s="14">
        <v>158.0</v>
      </c>
      <c r="C952" s="15">
        <f t="shared" si="4"/>
        <v>11</v>
      </c>
      <c r="D952" s="14" t="s">
        <v>36</v>
      </c>
      <c r="E952" s="16">
        <f t="shared" ref="E952:G952" si="2853">ROUNDUP((XLOOKUP($D952,$T$3:$T$10,$U$3:$U$10)*XLOOKUP(E$2,$AA$3:$AA$5,$AB$3:$AB$5)-ABS(XLOOKUP($C952,$Q$3:$Q$16,$R$3:$R$16)))*$B952,-5)</f>
        <v>41500000</v>
      </c>
      <c r="F952" s="16">
        <f t="shared" si="2853"/>
        <v>71200000</v>
      </c>
      <c r="G952" s="16">
        <f t="shared" si="2853"/>
        <v>77400000</v>
      </c>
      <c r="H952" s="17">
        <f t="shared" ref="H952:J952" si="2854">roundup((XLOOKUP($D952,$T$3:$T$10,$U$3:$U$10)*XLOOKUP(H$2,$AA$3:$AA$5,$AC$3:$AC$5)-ABS(XLOOKUP($C952,$Q$3:$Q$16,$R$3:$R$16)))*$B952,-5)</f>
        <v>34700000</v>
      </c>
      <c r="I952" s="17">
        <f t="shared" si="2854"/>
        <v>87400000</v>
      </c>
      <c r="J952" s="17">
        <f t="shared" si="2854"/>
        <v>94600000</v>
      </c>
      <c r="K952" s="17">
        <f t="shared" ref="K952:M952" si="2855">roundup((XLOOKUP($D952,$T$3:$T$10,$U$3:$U$10)*XLOOKUP(K$2,$AA$3:$AA$5,$AD$3:$AD$5)-ABS(XLOOKUP($C952,$Q$3:$Q$16,$R$3:$R$16)))*$B952,-5)</f>
        <v>40600000</v>
      </c>
      <c r="L952" s="17">
        <f t="shared" si="2855"/>
        <v>98400000</v>
      </c>
      <c r="M952" s="17">
        <f t="shared" si="2855"/>
        <v>106300000</v>
      </c>
    </row>
    <row r="953">
      <c r="A953" s="14" t="s">
        <v>996</v>
      </c>
      <c r="B953" s="14">
        <v>144.0</v>
      </c>
      <c r="C953" s="15">
        <f t="shared" si="4"/>
        <v>11</v>
      </c>
      <c r="D953" s="14" t="s">
        <v>36</v>
      </c>
      <c r="E953" s="16">
        <f t="shared" ref="E953:G953" si="2856">ROUNDUP((XLOOKUP($D953,$T$3:$T$10,$U$3:$U$10)*XLOOKUP(E$2,$AA$3:$AA$5,$AB$3:$AB$5)-ABS(XLOOKUP($C953,$Q$3:$Q$16,$R$3:$R$16)))*$B953,-5)</f>
        <v>37800000</v>
      </c>
      <c r="F953" s="16">
        <f t="shared" si="2856"/>
        <v>64900000</v>
      </c>
      <c r="G953" s="16">
        <f t="shared" si="2856"/>
        <v>70500000</v>
      </c>
      <c r="H953" s="17">
        <f t="shared" ref="H953:J953" si="2857">roundup((XLOOKUP($D953,$T$3:$T$10,$U$3:$U$10)*XLOOKUP(H$2,$AA$3:$AA$5,$AC$3:$AC$5)-ABS(XLOOKUP($C953,$Q$3:$Q$16,$R$3:$R$16)))*$B953,-5)</f>
        <v>31600000</v>
      </c>
      <c r="I953" s="17">
        <f t="shared" si="2857"/>
        <v>79700000</v>
      </c>
      <c r="J953" s="17">
        <f t="shared" si="2857"/>
        <v>86300000</v>
      </c>
      <c r="K953" s="17">
        <f t="shared" ref="K953:M953" si="2858">roundup((XLOOKUP($D953,$T$3:$T$10,$U$3:$U$10)*XLOOKUP(K$2,$AA$3:$AA$5,$AD$3:$AD$5)-ABS(XLOOKUP($C953,$Q$3:$Q$16,$R$3:$R$16)))*$B953,-5)</f>
        <v>37000000</v>
      </c>
      <c r="L953" s="17">
        <f t="shared" si="2858"/>
        <v>89700000</v>
      </c>
      <c r="M953" s="17">
        <f t="shared" si="2858"/>
        <v>96900000</v>
      </c>
    </row>
    <row r="954">
      <c r="A954" s="14" t="s">
        <v>997</v>
      </c>
      <c r="B954" s="14">
        <v>157.0</v>
      </c>
      <c r="C954" s="15">
        <f t="shared" si="4"/>
        <v>11</v>
      </c>
      <c r="D954" s="14" t="s">
        <v>36</v>
      </c>
      <c r="E954" s="16">
        <f t="shared" ref="E954:G954" si="2859">ROUNDUP((XLOOKUP($D954,$T$3:$T$10,$U$3:$U$10)*XLOOKUP(E$2,$AA$3:$AA$5,$AB$3:$AB$5)-ABS(XLOOKUP($C954,$Q$3:$Q$16,$R$3:$R$16)))*$B954,-5)</f>
        <v>41200000</v>
      </c>
      <c r="F954" s="16">
        <f t="shared" si="2859"/>
        <v>70800000</v>
      </c>
      <c r="G954" s="16">
        <f t="shared" si="2859"/>
        <v>76900000</v>
      </c>
      <c r="H954" s="17">
        <f t="shared" ref="H954:J954" si="2860">roundup((XLOOKUP($D954,$T$3:$T$10,$U$3:$U$10)*XLOOKUP(H$2,$AA$3:$AA$5,$AC$3:$AC$5)-ABS(XLOOKUP($C954,$Q$3:$Q$16,$R$3:$R$16)))*$B954,-5)</f>
        <v>34500000</v>
      </c>
      <c r="I954" s="17">
        <f t="shared" si="2860"/>
        <v>86900000</v>
      </c>
      <c r="J954" s="17">
        <f t="shared" si="2860"/>
        <v>94000000</v>
      </c>
      <c r="K954" s="17">
        <f t="shared" ref="K954:M954" si="2861">roundup((XLOOKUP($D954,$T$3:$T$10,$U$3:$U$10)*XLOOKUP(K$2,$AA$3:$AA$5,$AD$3:$AD$5)-ABS(XLOOKUP($C954,$Q$3:$Q$16,$R$3:$R$16)))*$B954,-5)</f>
        <v>40300000</v>
      </c>
      <c r="L954" s="17">
        <f t="shared" si="2861"/>
        <v>97800000</v>
      </c>
      <c r="M954" s="17">
        <f t="shared" si="2861"/>
        <v>105700000</v>
      </c>
    </row>
    <row r="955">
      <c r="A955" s="14" t="s">
        <v>998</v>
      </c>
      <c r="B955" s="14">
        <v>150.0</v>
      </c>
      <c r="C955" s="15">
        <f t="shared" si="4"/>
        <v>11</v>
      </c>
      <c r="D955" s="14" t="s">
        <v>36</v>
      </c>
      <c r="E955" s="16">
        <f t="shared" ref="E955:G955" si="2862">ROUNDUP((XLOOKUP($D955,$T$3:$T$10,$U$3:$U$10)*XLOOKUP(E$2,$AA$3:$AA$5,$AB$3:$AB$5)-ABS(XLOOKUP($C955,$Q$3:$Q$16,$R$3:$R$16)))*$B955,-5)</f>
        <v>39400000</v>
      </c>
      <c r="F955" s="16">
        <f t="shared" si="2862"/>
        <v>67600000</v>
      </c>
      <c r="G955" s="16">
        <f t="shared" si="2862"/>
        <v>73500000</v>
      </c>
      <c r="H955" s="17">
        <f t="shared" ref="H955:J955" si="2863">roundup((XLOOKUP($D955,$T$3:$T$10,$U$3:$U$10)*XLOOKUP(H$2,$AA$3:$AA$5,$AC$3:$AC$5)-ABS(XLOOKUP($C955,$Q$3:$Q$16,$R$3:$R$16)))*$B955,-5)</f>
        <v>32900000</v>
      </c>
      <c r="I955" s="17">
        <f t="shared" si="2863"/>
        <v>83000000</v>
      </c>
      <c r="J955" s="17">
        <f t="shared" si="2863"/>
        <v>89800000</v>
      </c>
      <c r="K955" s="17">
        <f t="shared" ref="K955:M955" si="2864">roundup((XLOOKUP($D955,$T$3:$T$10,$U$3:$U$10)*XLOOKUP(K$2,$AA$3:$AA$5,$AD$3:$AD$5)-ABS(XLOOKUP($C955,$Q$3:$Q$16,$R$3:$R$16)))*$B955,-5)</f>
        <v>38500000</v>
      </c>
      <c r="L955" s="17">
        <f t="shared" si="2864"/>
        <v>93400000</v>
      </c>
      <c r="M955" s="17">
        <f t="shared" si="2864"/>
        <v>100900000</v>
      </c>
    </row>
    <row r="956">
      <c r="A956" s="14" t="s">
        <v>999</v>
      </c>
      <c r="B956" s="14">
        <v>136.0</v>
      </c>
      <c r="C956" s="15">
        <f t="shared" si="4"/>
        <v>11</v>
      </c>
      <c r="D956" s="14" t="s">
        <v>36</v>
      </c>
      <c r="E956" s="16">
        <f t="shared" ref="E956:G956" si="2865">ROUNDUP((XLOOKUP($D956,$T$3:$T$10,$U$3:$U$10)*XLOOKUP(E$2,$AA$3:$AA$5,$AB$3:$AB$5)-ABS(XLOOKUP($C956,$Q$3:$Q$16,$R$3:$R$16)))*$B956,-5)</f>
        <v>35700000</v>
      </c>
      <c r="F956" s="16">
        <f t="shared" si="2865"/>
        <v>61300000</v>
      </c>
      <c r="G956" s="16">
        <f t="shared" si="2865"/>
        <v>66600000</v>
      </c>
      <c r="H956" s="17">
        <f t="shared" ref="H956:J956" si="2866">roundup((XLOOKUP($D956,$T$3:$T$10,$U$3:$U$10)*XLOOKUP(H$2,$AA$3:$AA$5,$AC$3:$AC$5)-ABS(XLOOKUP($C956,$Q$3:$Q$16,$R$3:$R$16)))*$B956,-5)</f>
        <v>29900000</v>
      </c>
      <c r="I956" s="17">
        <f t="shared" si="2866"/>
        <v>75300000</v>
      </c>
      <c r="J956" s="17">
        <f t="shared" si="2866"/>
        <v>81500000</v>
      </c>
      <c r="K956" s="17">
        <f t="shared" ref="K956:M956" si="2867">roundup((XLOOKUP($D956,$T$3:$T$10,$U$3:$U$10)*XLOOKUP(K$2,$AA$3:$AA$5,$AD$3:$AD$5)-ABS(XLOOKUP($C956,$Q$3:$Q$16,$R$3:$R$16)))*$B956,-5)</f>
        <v>34900000</v>
      </c>
      <c r="L956" s="17">
        <f t="shared" si="2867"/>
        <v>84700000</v>
      </c>
      <c r="M956" s="17">
        <f t="shared" si="2867"/>
        <v>91500000</v>
      </c>
    </row>
    <row r="957">
      <c r="A957" s="14" t="s">
        <v>1000</v>
      </c>
      <c r="B957" s="14">
        <v>136.0</v>
      </c>
      <c r="C957" s="15">
        <f t="shared" si="4"/>
        <v>11</v>
      </c>
      <c r="D957" s="14" t="s">
        <v>33</v>
      </c>
      <c r="E957" s="16">
        <f t="shared" ref="E957:G957" si="2868">ROUNDUP((XLOOKUP($D957,$T$3:$T$10,$U$3:$U$10)*XLOOKUP(E$2,$AA$3:$AA$5,$AB$3:$AB$5)-ABS(XLOOKUP($C957,$Q$3:$Q$16,$R$3:$R$16)))*$B957,-5)</f>
        <v>29500000</v>
      </c>
      <c r="F957" s="16">
        <f t="shared" si="2868"/>
        <v>52400000</v>
      </c>
      <c r="G957" s="16">
        <f t="shared" si="2868"/>
        <v>57100000</v>
      </c>
      <c r="H957" s="17">
        <f t="shared" ref="H957:J957" si="2869">roundup((XLOOKUP($D957,$T$3:$T$10,$U$3:$U$10)*XLOOKUP(H$2,$AA$3:$AA$5,$AC$3:$AC$5)-ABS(XLOOKUP($C957,$Q$3:$Q$16,$R$3:$R$16)))*$B957,-5)</f>
        <v>24300000</v>
      </c>
      <c r="I957" s="17">
        <f t="shared" si="2869"/>
        <v>64800000</v>
      </c>
      <c r="J957" s="17">
        <f t="shared" si="2869"/>
        <v>70300000</v>
      </c>
      <c r="K957" s="17">
        <f t="shared" ref="K957:M957" si="2870">roundup((XLOOKUP($D957,$T$3:$T$10,$U$3:$U$10)*XLOOKUP(K$2,$AA$3:$AA$5,$AD$3:$AD$5)-ABS(XLOOKUP($C957,$Q$3:$Q$16,$R$3:$R$16)))*$B957,-5)</f>
        <v>28800000</v>
      </c>
      <c r="L957" s="17">
        <f t="shared" si="2870"/>
        <v>73300000</v>
      </c>
      <c r="M957" s="17">
        <f t="shared" si="2870"/>
        <v>79300000</v>
      </c>
    </row>
    <row r="958">
      <c r="A958" s="14" t="s">
        <v>1001</v>
      </c>
      <c r="B958" s="14">
        <v>261.0</v>
      </c>
      <c r="C958" s="15">
        <f t="shared" si="4"/>
        <v>14</v>
      </c>
      <c r="D958" s="14" t="s">
        <v>36</v>
      </c>
      <c r="E958" s="16">
        <f t="shared" ref="E958:G958" si="2871">ROUNDUP((XLOOKUP($D958,$T$3:$T$10,$U$3:$U$10)*XLOOKUP(E$2,$AA$3:$AA$5,$AB$3:$AB$5)-ABS(XLOOKUP($C958,$Q$3:$Q$16,$R$3:$R$16)))*$B958,-5)</f>
        <v>60900000</v>
      </c>
      <c r="F958" s="16">
        <f t="shared" si="2871"/>
        <v>110100000</v>
      </c>
      <c r="G958" s="16">
        <f t="shared" si="2871"/>
        <v>120200000</v>
      </c>
      <c r="H958" s="17">
        <f t="shared" ref="H958:J958" si="2872">roundup((XLOOKUP($D958,$T$3:$T$10,$U$3:$U$10)*XLOOKUP(H$2,$AA$3:$AA$5,$AC$3:$AC$5)-ABS(XLOOKUP($C958,$Q$3:$Q$16,$R$3:$R$16)))*$B958,-5)</f>
        <v>49700000</v>
      </c>
      <c r="I958" s="17">
        <f t="shared" si="2872"/>
        <v>136900000</v>
      </c>
      <c r="J958" s="17">
        <f t="shared" si="2872"/>
        <v>148700000</v>
      </c>
      <c r="K958" s="17">
        <f t="shared" ref="K958:M958" si="2873">roundup((XLOOKUP($D958,$T$3:$T$10,$U$3:$U$10)*XLOOKUP(K$2,$AA$3:$AA$5,$AD$3:$AD$5)-ABS(XLOOKUP($C958,$Q$3:$Q$16,$R$3:$R$16)))*$B958,-5)</f>
        <v>59400000</v>
      </c>
      <c r="L958" s="17">
        <f t="shared" si="2873"/>
        <v>155000000</v>
      </c>
      <c r="M958" s="17">
        <f t="shared" si="2873"/>
        <v>168000000</v>
      </c>
    </row>
    <row r="959">
      <c r="A959" s="14" t="s">
        <v>1002</v>
      </c>
      <c r="B959" s="14">
        <v>234.0</v>
      </c>
      <c r="C959" s="15">
        <f t="shared" si="4"/>
        <v>14</v>
      </c>
      <c r="D959" s="14" t="s">
        <v>33</v>
      </c>
      <c r="E959" s="16">
        <f t="shared" ref="E959:G959" si="2874">ROUNDUP((XLOOKUP($D959,$T$3:$T$10,$U$3:$U$10)*XLOOKUP(E$2,$AA$3:$AA$5,$AB$3:$AB$5)-ABS(XLOOKUP($C959,$Q$3:$Q$16,$R$3:$R$16)))*$B959,-5)</f>
        <v>44000000</v>
      </c>
      <c r="F959" s="16">
        <f t="shared" si="2874"/>
        <v>83300000</v>
      </c>
      <c r="G959" s="16">
        <f t="shared" si="2874"/>
        <v>91400000</v>
      </c>
      <c r="H959" s="17">
        <f t="shared" ref="H959:J959" si="2875">roundup((XLOOKUP($D959,$T$3:$T$10,$U$3:$U$10)*XLOOKUP(H$2,$AA$3:$AA$5,$AC$3:$AC$5)-ABS(XLOOKUP($C959,$Q$3:$Q$16,$R$3:$R$16)))*$B959,-5)</f>
        <v>35000000</v>
      </c>
      <c r="I959" s="17">
        <f t="shared" si="2875"/>
        <v>104700000</v>
      </c>
      <c r="J959" s="17">
        <f t="shared" si="2875"/>
        <v>114200000</v>
      </c>
      <c r="K959" s="17">
        <f t="shared" ref="K959:M959" si="2876">roundup((XLOOKUP($D959,$T$3:$T$10,$U$3:$U$10)*XLOOKUP(K$2,$AA$3:$AA$5,$AD$3:$AD$5)-ABS(XLOOKUP($C959,$Q$3:$Q$16,$R$3:$R$16)))*$B959,-5)</f>
        <v>42700000</v>
      </c>
      <c r="L959" s="17">
        <f t="shared" si="2876"/>
        <v>119200000</v>
      </c>
      <c r="M959" s="17">
        <f t="shared" si="2876"/>
        <v>129700000</v>
      </c>
    </row>
    <row r="960">
      <c r="A960" s="14" t="s">
        <v>1003</v>
      </c>
      <c r="B960" s="14">
        <v>222.0</v>
      </c>
      <c r="C960" s="15">
        <f t="shared" si="4"/>
        <v>14</v>
      </c>
      <c r="D960" s="14" t="s">
        <v>33</v>
      </c>
      <c r="E960" s="16">
        <f t="shared" ref="E960:G960" si="2877">ROUNDUP((XLOOKUP($D960,$T$3:$T$10,$U$3:$U$10)*XLOOKUP(E$2,$AA$3:$AA$5,$AB$3:$AB$5)-ABS(XLOOKUP($C960,$Q$3:$Q$16,$R$3:$R$16)))*$B960,-5)</f>
        <v>41700000</v>
      </c>
      <c r="F960" s="16">
        <f t="shared" si="2877"/>
        <v>79000000</v>
      </c>
      <c r="G960" s="16">
        <f t="shared" si="2877"/>
        <v>86700000</v>
      </c>
      <c r="H960" s="17">
        <f t="shared" ref="H960:J960" si="2878">roundup((XLOOKUP($D960,$T$3:$T$10,$U$3:$U$10)*XLOOKUP(H$2,$AA$3:$AA$5,$AC$3:$AC$5)-ABS(XLOOKUP($C960,$Q$3:$Q$16,$R$3:$R$16)))*$B960,-5)</f>
        <v>33200000</v>
      </c>
      <c r="I960" s="17">
        <f t="shared" si="2878"/>
        <v>99300000</v>
      </c>
      <c r="J960" s="17">
        <f t="shared" si="2878"/>
        <v>108400000</v>
      </c>
      <c r="K960" s="17">
        <f t="shared" ref="K960:M960" si="2879">roundup((XLOOKUP($D960,$T$3:$T$10,$U$3:$U$10)*XLOOKUP(K$2,$AA$3:$AA$5,$AD$3:$AD$5)-ABS(XLOOKUP($C960,$Q$3:$Q$16,$R$3:$R$16)))*$B960,-5)</f>
        <v>40600000</v>
      </c>
      <c r="L960" s="17">
        <f t="shared" si="2879"/>
        <v>113100000</v>
      </c>
      <c r="M960" s="17">
        <f t="shared" si="2879"/>
        <v>123000000</v>
      </c>
    </row>
    <row r="961">
      <c r="A961" s="14" t="s">
        <v>1004</v>
      </c>
      <c r="B961" s="14">
        <v>259.0</v>
      </c>
      <c r="C961" s="15">
        <f t="shared" si="4"/>
        <v>14</v>
      </c>
      <c r="D961" s="14" t="s">
        <v>36</v>
      </c>
      <c r="E961" s="16">
        <f t="shared" ref="E961:G961" si="2880">ROUNDUP((XLOOKUP($D961,$T$3:$T$10,$U$3:$U$10)*XLOOKUP(E$2,$AA$3:$AA$5,$AB$3:$AB$5)-ABS(XLOOKUP($C961,$Q$3:$Q$16,$R$3:$R$16)))*$B961,-5)</f>
        <v>60400000</v>
      </c>
      <c r="F961" s="16">
        <f t="shared" si="2880"/>
        <v>109200000</v>
      </c>
      <c r="G961" s="16">
        <f t="shared" si="2880"/>
        <v>119300000</v>
      </c>
      <c r="H961" s="17">
        <f t="shared" ref="H961:J961" si="2881">roundup((XLOOKUP($D961,$T$3:$T$10,$U$3:$U$10)*XLOOKUP(H$2,$AA$3:$AA$5,$AC$3:$AC$5)-ABS(XLOOKUP($C961,$Q$3:$Q$16,$R$3:$R$16)))*$B961,-5)</f>
        <v>49300000</v>
      </c>
      <c r="I961" s="17">
        <f t="shared" si="2881"/>
        <v>135800000</v>
      </c>
      <c r="J961" s="17">
        <f t="shared" si="2881"/>
        <v>147600000</v>
      </c>
      <c r="K961" s="17">
        <f t="shared" ref="K961:M961" si="2882">roundup((XLOOKUP($D961,$T$3:$T$10,$U$3:$U$10)*XLOOKUP(K$2,$AA$3:$AA$5,$AD$3:$AD$5)-ABS(XLOOKUP($C961,$Q$3:$Q$16,$R$3:$R$16)))*$B961,-5)</f>
        <v>58900000</v>
      </c>
      <c r="L961" s="17">
        <f t="shared" si="2882"/>
        <v>153800000</v>
      </c>
      <c r="M961" s="17">
        <f t="shared" si="2882"/>
        <v>166800000</v>
      </c>
    </row>
    <row r="962">
      <c r="A962" s="14" t="s">
        <v>1005</v>
      </c>
      <c r="B962" s="14">
        <v>288.0</v>
      </c>
      <c r="C962" s="15">
        <f t="shared" si="4"/>
        <v>14</v>
      </c>
      <c r="D962" s="14" t="s">
        <v>33</v>
      </c>
      <c r="E962" s="16">
        <f t="shared" ref="E962:G962" si="2883">ROUNDUP((XLOOKUP($D962,$T$3:$T$10,$U$3:$U$10)*XLOOKUP(E$2,$AA$3:$AA$5,$AB$3:$AB$5)-ABS(XLOOKUP($C962,$Q$3:$Q$16,$R$3:$R$16)))*$B962,-5)</f>
        <v>54100000</v>
      </c>
      <c r="F962" s="16">
        <f t="shared" si="2883"/>
        <v>102500000</v>
      </c>
      <c r="G962" s="16">
        <f t="shared" si="2883"/>
        <v>112500000</v>
      </c>
      <c r="H962" s="17">
        <f t="shared" ref="H962:J962" si="2884">roundup((XLOOKUP($D962,$T$3:$T$10,$U$3:$U$10)*XLOOKUP(H$2,$AA$3:$AA$5,$AC$3:$AC$5)-ABS(XLOOKUP($C962,$Q$3:$Q$16,$R$3:$R$16)))*$B962,-5)</f>
        <v>43100000</v>
      </c>
      <c r="I962" s="17">
        <f t="shared" si="2884"/>
        <v>128900000</v>
      </c>
      <c r="J962" s="17">
        <f t="shared" si="2884"/>
        <v>140600000</v>
      </c>
      <c r="K962" s="17">
        <f t="shared" ref="K962:M962" si="2885">roundup((XLOOKUP($D962,$T$3:$T$10,$U$3:$U$10)*XLOOKUP(K$2,$AA$3:$AA$5,$AD$3:$AD$5)-ABS(XLOOKUP($C962,$Q$3:$Q$16,$R$3:$R$16)))*$B962,-5)</f>
        <v>52600000</v>
      </c>
      <c r="L962" s="17">
        <f t="shared" si="2885"/>
        <v>146700000</v>
      </c>
      <c r="M962" s="17">
        <f t="shared" si="2885"/>
        <v>159600000</v>
      </c>
    </row>
    <row r="963">
      <c r="A963" s="14" t="s">
        <v>1006</v>
      </c>
      <c r="B963" s="14">
        <v>214.0</v>
      </c>
      <c r="C963" s="15">
        <f t="shared" si="4"/>
        <v>13</v>
      </c>
      <c r="D963" s="14" t="s">
        <v>33</v>
      </c>
      <c r="E963" s="16">
        <f t="shared" ref="E963:G963" si="2886">ROUNDUP((XLOOKUP($D963,$T$3:$T$10,$U$3:$U$10)*XLOOKUP(E$2,$AA$3:$AA$5,$AB$3:$AB$5)-ABS(XLOOKUP($C963,$Q$3:$Q$16,$R$3:$R$16)))*$B963,-5)</f>
        <v>42100000</v>
      </c>
      <c r="F963" s="16">
        <f t="shared" si="2886"/>
        <v>78100000</v>
      </c>
      <c r="G963" s="16">
        <f t="shared" si="2886"/>
        <v>85500000</v>
      </c>
      <c r="H963" s="17">
        <f t="shared" ref="H963:J963" si="2887">roundup((XLOOKUP($D963,$T$3:$T$10,$U$3:$U$10)*XLOOKUP(H$2,$AA$3:$AA$5,$AC$3:$AC$5)-ABS(XLOOKUP($C963,$Q$3:$Q$16,$R$3:$R$16)))*$B963,-5)</f>
        <v>34000000</v>
      </c>
      <c r="I963" s="17">
        <f t="shared" si="2887"/>
        <v>97700000</v>
      </c>
      <c r="J963" s="17">
        <f t="shared" si="2887"/>
        <v>106400000</v>
      </c>
      <c r="K963" s="17">
        <f t="shared" ref="K963:M963" si="2888">roundup((XLOOKUP($D963,$T$3:$T$10,$U$3:$U$10)*XLOOKUP(K$2,$AA$3:$AA$5,$AD$3:$AD$5)-ABS(XLOOKUP($C963,$Q$3:$Q$16,$R$3:$R$16)))*$B963,-5)</f>
        <v>41000000</v>
      </c>
      <c r="L963" s="17">
        <f t="shared" si="2888"/>
        <v>111000000</v>
      </c>
      <c r="M963" s="17">
        <f t="shared" si="2888"/>
        <v>120500000</v>
      </c>
    </row>
    <row r="964">
      <c r="A964" s="14" t="s">
        <v>1007</v>
      </c>
      <c r="B964" s="14">
        <v>279.0</v>
      </c>
      <c r="C964" s="15">
        <f t="shared" si="4"/>
        <v>14</v>
      </c>
      <c r="D964" s="14" t="s">
        <v>36</v>
      </c>
      <c r="E964" s="16">
        <f t="shared" ref="E964:G964" si="2889">ROUNDUP((XLOOKUP($D964,$T$3:$T$10,$U$3:$U$10)*XLOOKUP(E$2,$AA$3:$AA$5,$AB$3:$AB$5)-ABS(XLOOKUP($C964,$Q$3:$Q$16,$R$3:$R$16)))*$B964,-5)</f>
        <v>65100000</v>
      </c>
      <c r="F964" s="16">
        <f t="shared" si="2889"/>
        <v>117700000</v>
      </c>
      <c r="G964" s="16">
        <f t="shared" si="2889"/>
        <v>128500000</v>
      </c>
      <c r="H964" s="17">
        <f t="shared" ref="H964:J964" si="2890">roundup((XLOOKUP($D964,$T$3:$T$10,$U$3:$U$10)*XLOOKUP(H$2,$AA$3:$AA$5,$AC$3:$AC$5)-ABS(XLOOKUP($C964,$Q$3:$Q$16,$R$3:$R$16)))*$B964,-5)</f>
        <v>53100000</v>
      </c>
      <c r="I964" s="17">
        <f t="shared" si="2890"/>
        <v>146300000</v>
      </c>
      <c r="J964" s="17">
        <f t="shared" si="2890"/>
        <v>159000000</v>
      </c>
      <c r="K964" s="17">
        <f t="shared" ref="K964:M964" si="2891">roundup((XLOOKUP($D964,$T$3:$T$10,$U$3:$U$10)*XLOOKUP(K$2,$AA$3:$AA$5,$AD$3:$AD$5)-ABS(XLOOKUP($C964,$Q$3:$Q$16,$R$3:$R$16)))*$B964,-5)</f>
        <v>63500000</v>
      </c>
      <c r="L964" s="17">
        <f t="shared" si="2891"/>
        <v>165700000</v>
      </c>
      <c r="M964" s="17">
        <f t="shared" si="2891"/>
        <v>179600000</v>
      </c>
    </row>
    <row r="965">
      <c r="A965" s="14" t="s">
        <v>1008</v>
      </c>
      <c r="B965" s="14">
        <v>280.0</v>
      </c>
      <c r="C965" s="15">
        <f t="shared" si="4"/>
        <v>14</v>
      </c>
      <c r="D965" s="14" t="s">
        <v>33</v>
      </c>
      <c r="E965" s="16">
        <f t="shared" ref="E965:G965" si="2892">ROUNDUP((XLOOKUP($D965,$T$3:$T$10,$U$3:$U$10)*XLOOKUP(E$2,$AA$3:$AA$5,$AB$3:$AB$5)-ABS(XLOOKUP($C965,$Q$3:$Q$16,$R$3:$R$16)))*$B965,-5)</f>
        <v>52600000</v>
      </c>
      <c r="F965" s="16">
        <f t="shared" si="2892"/>
        <v>99700000</v>
      </c>
      <c r="G965" s="16">
        <f t="shared" si="2892"/>
        <v>109400000</v>
      </c>
      <c r="H965" s="17">
        <f t="shared" ref="H965:J965" si="2893">roundup((XLOOKUP($D965,$T$3:$T$10,$U$3:$U$10)*XLOOKUP(H$2,$AA$3:$AA$5,$AC$3:$AC$5)-ABS(XLOOKUP($C965,$Q$3:$Q$16,$R$3:$R$16)))*$B965,-5)</f>
        <v>41900000</v>
      </c>
      <c r="I965" s="17">
        <f t="shared" si="2893"/>
        <v>125300000</v>
      </c>
      <c r="J965" s="17">
        <f t="shared" si="2893"/>
        <v>136600000</v>
      </c>
      <c r="K965" s="17">
        <f t="shared" ref="K965:M965" si="2894">roundup((XLOOKUP($D965,$T$3:$T$10,$U$3:$U$10)*XLOOKUP(K$2,$AA$3:$AA$5,$AD$3:$AD$5)-ABS(XLOOKUP($C965,$Q$3:$Q$16,$R$3:$R$16)))*$B965,-5)</f>
        <v>51100000</v>
      </c>
      <c r="L965" s="17">
        <f t="shared" si="2894"/>
        <v>142700000</v>
      </c>
      <c r="M965" s="17">
        <f t="shared" si="2894"/>
        <v>155100000</v>
      </c>
    </row>
    <row r="966">
      <c r="A966" s="14" t="s">
        <v>1009</v>
      </c>
      <c r="B966" s="14">
        <v>384.0</v>
      </c>
      <c r="C966" s="15">
        <f t="shared" si="4"/>
        <v>14</v>
      </c>
      <c r="D966" s="14" t="s">
        <v>36</v>
      </c>
      <c r="E966" s="16">
        <f t="shared" ref="E966:G966" si="2895">ROUNDUP((XLOOKUP($D966,$T$3:$T$10,$U$3:$U$10)*XLOOKUP(E$2,$AA$3:$AA$5,$AB$3:$AB$5)-ABS(XLOOKUP($C966,$Q$3:$Q$16,$R$3:$R$16)))*$B966,-5)</f>
        <v>89600000</v>
      </c>
      <c r="F966" s="16">
        <f t="shared" si="2895"/>
        <v>161900000</v>
      </c>
      <c r="G966" s="16">
        <f t="shared" si="2895"/>
        <v>176900000</v>
      </c>
      <c r="H966" s="17">
        <f t="shared" ref="H966:J966" si="2896">roundup((XLOOKUP($D966,$T$3:$T$10,$U$3:$U$10)*XLOOKUP(H$2,$AA$3:$AA$5,$AC$3:$AC$5)-ABS(XLOOKUP($C966,$Q$3:$Q$16,$R$3:$R$16)))*$B966,-5)</f>
        <v>73100000</v>
      </c>
      <c r="I966" s="17">
        <f t="shared" si="2896"/>
        <v>201300000</v>
      </c>
      <c r="J966" s="17">
        <f t="shared" si="2896"/>
        <v>218800000</v>
      </c>
      <c r="K966" s="17">
        <f t="shared" ref="K966:M966" si="2897">roundup((XLOOKUP($D966,$T$3:$T$10,$U$3:$U$10)*XLOOKUP(K$2,$AA$3:$AA$5,$AD$3:$AD$5)-ABS(XLOOKUP($C966,$Q$3:$Q$16,$R$3:$R$16)))*$B966,-5)</f>
        <v>87300000</v>
      </c>
      <c r="L966" s="17">
        <f t="shared" si="2897"/>
        <v>228000000</v>
      </c>
      <c r="M966" s="17">
        <f t="shared" si="2897"/>
        <v>247200000</v>
      </c>
    </row>
    <row r="967">
      <c r="A967" s="14" t="s">
        <v>1010</v>
      </c>
      <c r="B967" s="14">
        <v>225.0</v>
      </c>
      <c r="C967" s="15">
        <f t="shared" si="4"/>
        <v>14</v>
      </c>
      <c r="D967" s="14" t="s">
        <v>36</v>
      </c>
      <c r="E967" s="16">
        <f t="shared" ref="E967:G967" si="2898">ROUNDUP((XLOOKUP($D967,$T$3:$T$10,$U$3:$U$10)*XLOOKUP(E$2,$AA$3:$AA$5,$AB$3:$AB$5)-ABS(XLOOKUP($C967,$Q$3:$Q$16,$R$3:$R$16)))*$B967,-5)</f>
        <v>52500000</v>
      </c>
      <c r="F967" s="16">
        <f t="shared" si="2898"/>
        <v>94900000</v>
      </c>
      <c r="G967" s="16">
        <f t="shared" si="2898"/>
        <v>103700000</v>
      </c>
      <c r="H967" s="17">
        <f t="shared" ref="H967:J967" si="2899">roundup((XLOOKUP($D967,$T$3:$T$10,$U$3:$U$10)*XLOOKUP(H$2,$AA$3:$AA$5,$AC$3:$AC$5)-ABS(XLOOKUP($C967,$Q$3:$Q$16,$R$3:$R$16)))*$B967,-5)</f>
        <v>42900000</v>
      </c>
      <c r="I967" s="17">
        <f t="shared" si="2899"/>
        <v>118000000</v>
      </c>
      <c r="J967" s="17">
        <f t="shared" si="2899"/>
        <v>128200000</v>
      </c>
      <c r="K967" s="17">
        <f t="shared" ref="K967:M967" si="2900">roundup((XLOOKUP($D967,$T$3:$T$10,$U$3:$U$10)*XLOOKUP(K$2,$AA$3:$AA$5,$AD$3:$AD$5)-ABS(XLOOKUP($C967,$Q$3:$Q$16,$R$3:$R$16)))*$B967,-5)</f>
        <v>51200000</v>
      </c>
      <c r="L967" s="17">
        <f t="shared" si="2900"/>
        <v>133600000</v>
      </c>
      <c r="M967" s="17">
        <f t="shared" si="2900"/>
        <v>144900000</v>
      </c>
    </row>
    <row r="968">
      <c r="A968" s="14" t="s">
        <v>1011</v>
      </c>
      <c r="B968" s="14">
        <v>169.0</v>
      </c>
      <c r="C968" s="15">
        <f t="shared" si="4"/>
        <v>12</v>
      </c>
      <c r="D968" s="14" t="s">
        <v>33</v>
      </c>
      <c r="E968" s="16">
        <f t="shared" ref="E968:G968" si="2901">ROUNDUP((XLOOKUP($D968,$T$3:$T$10,$U$3:$U$10)*XLOOKUP(E$2,$AA$3:$AA$5,$AB$3:$AB$5)-ABS(XLOOKUP($C968,$Q$3:$Q$16,$R$3:$R$16)))*$B968,-5)</f>
        <v>35800000</v>
      </c>
      <c r="F968" s="16">
        <f t="shared" si="2901"/>
        <v>64200000</v>
      </c>
      <c r="G968" s="16">
        <f t="shared" si="2901"/>
        <v>70100000</v>
      </c>
      <c r="H968" s="17">
        <f t="shared" ref="H968:J968" si="2902">roundup((XLOOKUP($D968,$T$3:$T$10,$U$3:$U$10)*XLOOKUP(H$2,$AA$3:$AA$5,$AC$3:$AC$5)-ABS(XLOOKUP($C968,$Q$3:$Q$16,$R$3:$R$16)))*$B968,-5)</f>
        <v>29400000</v>
      </c>
      <c r="I968" s="17">
        <f t="shared" si="2902"/>
        <v>79700000</v>
      </c>
      <c r="J968" s="17">
        <f t="shared" si="2902"/>
        <v>86600000</v>
      </c>
      <c r="K968" s="17">
        <f t="shared" ref="K968:M968" si="2903">roundup((XLOOKUP($D968,$T$3:$T$10,$U$3:$U$10)*XLOOKUP(K$2,$AA$3:$AA$5,$AD$3:$AD$5)-ABS(XLOOKUP($C968,$Q$3:$Q$16,$R$3:$R$16)))*$B968,-5)</f>
        <v>34900000</v>
      </c>
      <c r="L968" s="17">
        <f t="shared" si="2903"/>
        <v>90200000</v>
      </c>
      <c r="M968" s="17">
        <f t="shared" si="2903"/>
        <v>97700000</v>
      </c>
    </row>
    <row r="969">
      <c r="A969" s="14" t="s">
        <v>1012</v>
      </c>
      <c r="B969" s="14">
        <v>204.0</v>
      </c>
      <c r="C969" s="15">
        <f t="shared" si="4"/>
        <v>13</v>
      </c>
      <c r="D969" s="14" t="s">
        <v>36</v>
      </c>
      <c r="E969" s="16">
        <f t="shared" ref="E969:G969" si="2904">ROUNDUP((XLOOKUP($D969,$T$3:$T$10,$U$3:$U$10)*XLOOKUP(E$2,$AA$3:$AA$5,$AB$3:$AB$5)-ABS(XLOOKUP($C969,$Q$3:$Q$16,$R$3:$R$16)))*$B969,-5)</f>
        <v>49500000</v>
      </c>
      <c r="F969" s="16">
        <f t="shared" si="2904"/>
        <v>87900000</v>
      </c>
      <c r="G969" s="16">
        <f t="shared" si="2904"/>
        <v>95800000</v>
      </c>
      <c r="H969" s="17">
        <f t="shared" ref="H969:J969" si="2905">roundup((XLOOKUP($D969,$T$3:$T$10,$U$3:$U$10)*XLOOKUP(H$2,$AA$3:$AA$5,$AC$3:$AC$5)-ABS(XLOOKUP($C969,$Q$3:$Q$16,$R$3:$R$16)))*$B969,-5)</f>
        <v>40700000</v>
      </c>
      <c r="I969" s="17">
        <f t="shared" si="2905"/>
        <v>108800000</v>
      </c>
      <c r="J969" s="17">
        <f t="shared" si="2905"/>
        <v>118100000</v>
      </c>
      <c r="K969" s="17">
        <f t="shared" ref="K969:M969" si="2906">roundup((XLOOKUP($D969,$T$3:$T$10,$U$3:$U$10)*XLOOKUP(K$2,$AA$3:$AA$5,$AD$3:$AD$5)-ABS(XLOOKUP($C969,$Q$3:$Q$16,$R$3:$R$16)))*$B969,-5)</f>
        <v>48300000</v>
      </c>
      <c r="L969" s="17">
        <f t="shared" si="2906"/>
        <v>123000000</v>
      </c>
      <c r="M969" s="17">
        <f t="shared" si="2906"/>
        <v>133200000</v>
      </c>
    </row>
    <row r="970">
      <c r="A970" s="14" t="s">
        <v>1013</v>
      </c>
      <c r="B970" s="14">
        <v>192.0</v>
      </c>
      <c r="C970" s="15">
        <f t="shared" si="4"/>
        <v>13</v>
      </c>
      <c r="D970" s="14" t="s">
        <v>36</v>
      </c>
      <c r="E970" s="16">
        <f t="shared" ref="E970:G970" si="2907">ROUNDUP((XLOOKUP($D970,$T$3:$T$10,$U$3:$U$10)*XLOOKUP(E$2,$AA$3:$AA$5,$AB$3:$AB$5)-ABS(XLOOKUP($C970,$Q$3:$Q$16,$R$3:$R$16)))*$B970,-5)</f>
        <v>46500000</v>
      </c>
      <c r="F970" s="16">
        <f t="shared" si="2907"/>
        <v>82700000</v>
      </c>
      <c r="G970" s="16">
        <f t="shared" si="2907"/>
        <v>90200000</v>
      </c>
      <c r="H970" s="17">
        <f t="shared" ref="H970:J970" si="2908">roundup((XLOOKUP($D970,$T$3:$T$10,$U$3:$U$10)*XLOOKUP(H$2,$AA$3:$AA$5,$AC$3:$AC$5)-ABS(XLOOKUP($C970,$Q$3:$Q$16,$R$3:$R$16)))*$B970,-5)</f>
        <v>38300000</v>
      </c>
      <c r="I970" s="17">
        <f t="shared" si="2908"/>
        <v>102400000</v>
      </c>
      <c r="J970" s="17">
        <f t="shared" si="2908"/>
        <v>111100000</v>
      </c>
      <c r="K970" s="17">
        <f t="shared" ref="K970:M970" si="2909">roundup((XLOOKUP($D970,$T$3:$T$10,$U$3:$U$10)*XLOOKUP(K$2,$AA$3:$AA$5,$AD$3:$AD$5)-ABS(XLOOKUP($C970,$Q$3:$Q$16,$R$3:$R$16)))*$B970,-5)</f>
        <v>45400000</v>
      </c>
      <c r="L970" s="17">
        <f t="shared" si="2909"/>
        <v>115800000</v>
      </c>
      <c r="M970" s="17">
        <f t="shared" si="2909"/>
        <v>125400000</v>
      </c>
    </row>
    <row r="971">
      <c r="A971" s="14" t="s">
        <v>1014</v>
      </c>
      <c r="B971" s="14">
        <v>176.0</v>
      </c>
      <c r="C971" s="15">
        <f t="shared" si="4"/>
        <v>12</v>
      </c>
      <c r="D971" s="14" t="s">
        <v>36</v>
      </c>
      <c r="E971" s="16">
        <f t="shared" ref="E971:G971" si="2910">ROUNDUP((XLOOKUP($D971,$T$3:$T$10,$U$3:$U$10)*XLOOKUP(E$2,$AA$3:$AA$5,$AB$3:$AB$5)-ABS(XLOOKUP($C971,$Q$3:$Q$16,$R$3:$R$16)))*$B971,-5)</f>
        <v>45300000</v>
      </c>
      <c r="F971" s="16">
        <f t="shared" si="2910"/>
        <v>78500000</v>
      </c>
      <c r="G971" s="16">
        <f t="shared" si="2910"/>
        <v>85300000</v>
      </c>
      <c r="H971" s="17">
        <f t="shared" ref="H971:J971" si="2911">roundup((XLOOKUP($D971,$T$3:$T$10,$U$3:$U$10)*XLOOKUP(H$2,$AA$3:$AA$5,$AC$3:$AC$5)-ABS(XLOOKUP($C971,$Q$3:$Q$16,$R$3:$R$16)))*$B971,-5)</f>
        <v>37800000</v>
      </c>
      <c r="I971" s="17">
        <f t="shared" si="2911"/>
        <v>96500000</v>
      </c>
      <c r="J971" s="17">
        <f t="shared" si="2911"/>
        <v>104500000</v>
      </c>
      <c r="K971" s="17">
        <f t="shared" ref="K971:M971" si="2912">roundup((XLOOKUP($D971,$T$3:$T$10,$U$3:$U$10)*XLOOKUP(K$2,$AA$3:$AA$5,$AD$3:$AD$5)-ABS(XLOOKUP($C971,$Q$3:$Q$16,$R$3:$R$16)))*$B971,-5)</f>
        <v>44300000</v>
      </c>
      <c r="L971" s="17">
        <f t="shared" si="2912"/>
        <v>108800000</v>
      </c>
      <c r="M971" s="17">
        <f t="shared" si="2912"/>
        <v>117600000</v>
      </c>
    </row>
    <row r="972">
      <c r="A972" s="14" t="s">
        <v>1015</v>
      </c>
      <c r="B972" s="14">
        <v>224.0</v>
      </c>
      <c r="C972" s="15">
        <f t="shared" si="4"/>
        <v>14</v>
      </c>
      <c r="D972" s="14" t="s">
        <v>33</v>
      </c>
      <c r="E972" s="16">
        <f t="shared" ref="E972:G972" si="2913">ROUNDUP((XLOOKUP($D972,$T$3:$T$10,$U$3:$U$10)*XLOOKUP(E$2,$AA$3:$AA$5,$AB$3:$AB$5)-ABS(XLOOKUP($C972,$Q$3:$Q$16,$R$3:$R$16)))*$B972,-5)</f>
        <v>42100000</v>
      </c>
      <c r="F972" s="16">
        <f t="shared" si="2913"/>
        <v>79700000</v>
      </c>
      <c r="G972" s="16">
        <f t="shared" si="2913"/>
        <v>87500000</v>
      </c>
      <c r="H972" s="17">
        <f t="shared" ref="H972:J972" si="2914">roundup((XLOOKUP($D972,$T$3:$T$10,$U$3:$U$10)*XLOOKUP(H$2,$AA$3:$AA$5,$AC$3:$AC$5)-ABS(XLOOKUP($C972,$Q$3:$Q$16,$R$3:$R$16)))*$B972,-5)</f>
        <v>33500000</v>
      </c>
      <c r="I972" s="17">
        <f t="shared" si="2914"/>
        <v>100200000</v>
      </c>
      <c r="J972" s="17">
        <f t="shared" si="2914"/>
        <v>109300000</v>
      </c>
      <c r="K972" s="17">
        <f t="shared" ref="K972:M972" si="2915">roundup((XLOOKUP($D972,$T$3:$T$10,$U$3:$U$10)*XLOOKUP(K$2,$AA$3:$AA$5,$AD$3:$AD$5)-ABS(XLOOKUP($C972,$Q$3:$Q$16,$R$3:$R$16)))*$B972,-5)</f>
        <v>40900000</v>
      </c>
      <c r="L972" s="17">
        <f t="shared" si="2915"/>
        <v>114100000</v>
      </c>
      <c r="M972" s="17">
        <f t="shared" si="2915"/>
        <v>124100000</v>
      </c>
    </row>
    <row r="973">
      <c r="A973" s="14" t="s">
        <v>1016</v>
      </c>
      <c r="B973" s="14">
        <v>275.0</v>
      </c>
      <c r="C973" s="15">
        <f t="shared" si="4"/>
        <v>14</v>
      </c>
      <c r="D973" s="14" t="s">
        <v>36</v>
      </c>
      <c r="E973" s="16">
        <f t="shared" ref="E973:G973" si="2916">ROUNDUP((XLOOKUP($D973,$T$3:$T$10,$U$3:$U$10)*XLOOKUP(E$2,$AA$3:$AA$5,$AB$3:$AB$5)-ABS(XLOOKUP($C973,$Q$3:$Q$16,$R$3:$R$16)))*$B973,-5)</f>
        <v>64200000</v>
      </c>
      <c r="F973" s="16">
        <f t="shared" si="2916"/>
        <v>116000000</v>
      </c>
      <c r="G973" s="16">
        <f t="shared" si="2916"/>
        <v>126700000</v>
      </c>
      <c r="H973" s="17">
        <f t="shared" ref="H973:J973" si="2917">roundup((XLOOKUP($D973,$T$3:$T$10,$U$3:$U$10)*XLOOKUP(H$2,$AA$3:$AA$5,$AC$3:$AC$5)-ABS(XLOOKUP($C973,$Q$3:$Q$16,$R$3:$R$16)))*$B973,-5)</f>
        <v>52400000</v>
      </c>
      <c r="I973" s="17">
        <f t="shared" si="2917"/>
        <v>144200000</v>
      </c>
      <c r="J973" s="17">
        <f t="shared" si="2917"/>
        <v>156700000</v>
      </c>
      <c r="K973" s="17">
        <f t="shared" ref="K973:M973" si="2918">roundup((XLOOKUP($D973,$T$3:$T$10,$U$3:$U$10)*XLOOKUP(K$2,$AA$3:$AA$5,$AD$3:$AD$5)-ABS(XLOOKUP($C973,$Q$3:$Q$16,$R$3:$R$16)))*$B973,-5)</f>
        <v>62600000</v>
      </c>
      <c r="L973" s="17">
        <f t="shared" si="2918"/>
        <v>163300000</v>
      </c>
      <c r="M973" s="17">
        <f t="shared" si="2918"/>
        <v>177100000</v>
      </c>
    </row>
    <row r="974">
      <c r="A974" s="14" t="s">
        <v>1017</v>
      </c>
      <c r="B974" s="14">
        <v>261.0</v>
      </c>
      <c r="C974" s="15">
        <f t="shared" si="4"/>
        <v>14</v>
      </c>
      <c r="D974" s="14" t="s">
        <v>33</v>
      </c>
      <c r="E974" s="16">
        <f t="shared" ref="E974:G974" si="2919">ROUNDUP((XLOOKUP($D974,$T$3:$T$10,$U$3:$U$10)*XLOOKUP(E$2,$AA$3:$AA$5,$AB$3:$AB$5)-ABS(XLOOKUP($C974,$Q$3:$Q$16,$R$3:$R$16)))*$B974,-5)</f>
        <v>49000000</v>
      </c>
      <c r="F974" s="16">
        <f t="shared" si="2919"/>
        <v>92900000</v>
      </c>
      <c r="G974" s="16">
        <f t="shared" si="2919"/>
        <v>102000000</v>
      </c>
      <c r="H974" s="17">
        <f t="shared" ref="H974:J974" si="2920">roundup((XLOOKUP($D974,$T$3:$T$10,$U$3:$U$10)*XLOOKUP(H$2,$AA$3:$AA$5,$AC$3:$AC$5)-ABS(XLOOKUP($C974,$Q$3:$Q$16,$R$3:$R$16)))*$B974,-5)</f>
        <v>39100000</v>
      </c>
      <c r="I974" s="17">
        <f t="shared" si="2920"/>
        <v>116800000</v>
      </c>
      <c r="J974" s="17">
        <f t="shared" si="2920"/>
        <v>127400000</v>
      </c>
      <c r="K974" s="17">
        <f t="shared" ref="K974:M974" si="2921">roundup((XLOOKUP($D974,$T$3:$T$10,$U$3:$U$10)*XLOOKUP(K$2,$AA$3:$AA$5,$AD$3:$AD$5)-ABS(XLOOKUP($C974,$Q$3:$Q$16,$R$3:$R$16)))*$B974,-5)</f>
        <v>47700000</v>
      </c>
      <c r="L974" s="17">
        <f t="shared" si="2921"/>
        <v>133000000</v>
      </c>
      <c r="M974" s="17">
        <f t="shared" si="2921"/>
        <v>144600000</v>
      </c>
    </row>
    <row r="975">
      <c r="A975" s="14" t="s">
        <v>1018</v>
      </c>
      <c r="B975" s="14">
        <v>260.0</v>
      </c>
      <c r="C975" s="15">
        <f t="shared" si="4"/>
        <v>14</v>
      </c>
      <c r="D975" s="14" t="s">
        <v>36</v>
      </c>
      <c r="E975" s="16">
        <f t="shared" ref="E975:G975" si="2922">ROUNDUP((XLOOKUP($D975,$T$3:$T$10,$U$3:$U$10)*XLOOKUP(E$2,$AA$3:$AA$5,$AB$3:$AB$5)-ABS(XLOOKUP($C975,$Q$3:$Q$16,$R$3:$R$16)))*$B975,-5)</f>
        <v>60700000</v>
      </c>
      <c r="F975" s="16">
        <f t="shared" si="2922"/>
        <v>109600000</v>
      </c>
      <c r="G975" s="16">
        <f t="shared" si="2922"/>
        <v>119800000</v>
      </c>
      <c r="H975" s="17">
        <f t="shared" ref="H975:J975" si="2923">roundup((XLOOKUP($D975,$T$3:$T$10,$U$3:$U$10)*XLOOKUP(H$2,$AA$3:$AA$5,$AC$3:$AC$5)-ABS(XLOOKUP($C975,$Q$3:$Q$16,$R$3:$R$16)))*$B975,-5)</f>
        <v>49500000</v>
      </c>
      <c r="I975" s="17">
        <f t="shared" si="2923"/>
        <v>136300000</v>
      </c>
      <c r="J975" s="17">
        <f t="shared" si="2923"/>
        <v>148200000</v>
      </c>
      <c r="K975" s="17">
        <f t="shared" ref="K975:M975" si="2924">roundup((XLOOKUP($D975,$T$3:$T$10,$U$3:$U$10)*XLOOKUP(K$2,$AA$3:$AA$5,$AD$3:$AD$5)-ABS(XLOOKUP($C975,$Q$3:$Q$16,$R$3:$R$16)))*$B975,-5)</f>
        <v>59200000</v>
      </c>
      <c r="L975" s="17">
        <f t="shared" si="2924"/>
        <v>154400000</v>
      </c>
      <c r="M975" s="17">
        <f t="shared" si="2924"/>
        <v>167400000</v>
      </c>
    </row>
    <row r="976">
      <c r="A976" s="14" t="s">
        <v>1019</v>
      </c>
      <c r="B976" s="14">
        <v>218.0</v>
      </c>
      <c r="C976" s="15">
        <f t="shared" si="4"/>
        <v>13</v>
      </c>
      <c r="D976" s="14" t="s">
        <v>33</v>
      </c>
      <c r="E976" s="16">
        <f t="shared" ref="E976:G976" si="2925">ROUNDUP((XLOOKUP($D976,$T$3:$T$10,$U$3:$U$10)*XLOOKUP(E$2,$AA$3:$AA$5,$AB$3:$AB$5)-ABS(XLOOKUP($C976,$Q$3:$Q$16,$R$3:$R$16)))*$B976,-5)</f>
        <v>42900000</v>
      </c>
      <c r="F976" s="16">
        <f t="shared" si="2925"/>
        <v>79600000</v>
      </c>
      <c r="G976" s="16">
        <f t="shared" si="2925"/>
        <v>87100000</v>
      </c>
      <c r="H976" s="17">
        <f t="shared" ref="H976:J976" si="2926">roundup((XLOOKUP($D976,$T$3:$T$10,$U$3:$U$10)*XLOOKUP(H$2,$AA$3:$AA$5,$AC$3:$AC$5)-ABS(XLOOKUP($C976,$Q$3:$Q$16,$R$3:$R$16)))*$B976,-5)</f>
        <v>34600000</v>
      </c>
      <c r="I976" s="17">
        <f t="shared" si="2926"/>
        <v>99500000</v>
      </c>
      <c r="J976" s="17">
        <f t="shared" si="2926"/>
        <v>108400000</v>
      </c>
      <c r="K976" s="17">
        <f t="shared" ref="K976:M976" si="2927">roundup((XLOOKUP($D976,$T$3:$T$10,$U$3:$U$10)*XLOOKUP(K$2,$AA$3:$AA$5,$AD$3:$AD$5)-ABS(XLOOKUP($C976,$Q$3:$Q$16,$R$3:$R$16)))*$B976,-5)</f>
        <v>41800000</v>
      </c>
      <c r="L976" s="17">
        <f t="shared" si="2927"/>
        <v>113000000</v>
      </c>
      <c r="M976" s="17">
        <f t="shared" si="2927"/>
        <v>122800000</v>
      </c>
    </row>
    <row r="977">
      <c r="A977" s="14" t="s">
        <v>1020</v>
      </c>
      <c r="B977" s="14">
        <v>495.0</v>
      </c>
      <c r="C977" s="15">
        <f t="shared" si="4"/>
        <v>14</v>
      </c>
      <c r="D977" s="14" t="s">
        <v>33</v>
      </c>
      <c r="E977" s="16">
        <f t="shared" ref="E977:G977" si="2928">ROUNDUP((XLOOKUP($D977,$T$3:$T$10,$U$3:$U$10)*XLOOKUP(E$2,$AA$3:$AA$5,$AB$3:$AB$5)-ABS(XLOOKUP($C977,$Q$3:$Q$16,$R$3:$R$16)))*$B977,-5)</f>
        <v>92900000</v>
      </c>
      <c r="F977" s="16">
        <f t="shared" si="2928"/>
        <v>176100000</v>
      </c>
      <c r="G977" s="16">
        <f t="shared" si="2928"/>
        <v>193300000</v>
      </c>
      <c r="H977" s="17">
        <f t="shared" ref="H977:J977" si="2929">roundup((XLOOKUP($D977,$T$3:$T$10,$U$3:$U$10)*XLOOKUP(H$2,$AA$3:$AA$5,$AC$3:$AC$5)-ABS(XLOOKUP($C977,$Q$3:$Q$16,$R$3:$R$16)))*$B977,-5)</f>
        <v>74000000</v>
      </c>
      <c r="I977" s="17">
        <f t="shared" si="2929"/>
        <v>221500000</v>
      </c>
      <c r="J977" s="17">
        <f t="shared" si="2929"/>
        <v>241500000</v>
      </c>
      <c r="K977" s="17">
        <f t="shared" ref="K977:M977" si="2930">roundup((XLOOKUP($D977,$T$3:$T$10,$U$3:$U$10)*XLOOKUP(K$2,$AA$3:$AA$5,$AD$3:$AD$5)-ABS(XLOOKUP($C977,$Q$3:$Q$16,$R$3:$R$16)))*$B977,-5)</f>
        <v>90400000</v>
      </c>
      <c r="L977" s="17">
        <f t="shared" si="2930"/>
        <v>252200000</v>
      </c>
      <c r="M977" s="17">
        <f t="shared" si="2930"/>
        <v>274200000</v>
      </c>
    </row>
    <row r="978">
      <c r="A978" s="14" t="s">
        <v>1021</v>
      </c>
      <c r="B978" s="14">
        <v>375.0</v>
      </c>
      <c r="C978" s="15">
        <f t="shared" si="4"/>
        <v>14</v>
      </c>
      <c r="D978" s="14" t="s">
        <v>36</v>
      </c>
      <c r="E978" s="16">
        <f t="shared" ref="E978:G978" si="2931">ROUNDUP((XLOOKUP($D978,$T$3:$T$10,$U$3:$U$10)*XLOOKUP(E$2,$AA$3:$AA$5,$AB$3:$AB$5)-ABS(XLOOKUP($C978,$Q$3:$Q$16,$R$3:$R$16)))*$B978,-5)</f>
        <v>87500000</v>
      </c>
      <c r="F978" s="16">
        <f t="shared" si="2931"/>
        <v>158100000</v>
      </c>
      <c r="G978" s="16">
        <f t="shared" si="2931"/>
        <v>172700000</v>
      </c>
      <c r="H978" s="17">
        <f t="shared" ref="H978:J978" si="2932">roundup((XLOOKUP($D978,$T$3:$T$10,$U$3:$U$10)*XLOOKUP(H$2,$AA$3:$AA$5,$AC$3:$AC$5)-ABS(XLOOKUP($C978,$Q$3:$Q$16,$R$3:$R$16)))*$B978,-5)</f>
        <v>71400000</v>
      </c>
      <c r="I978" s="17">
        <f t="shared" si="2932"/>
        <v>196600000</v>
      </c>
      <c r="J978" s="17">
        <f t="shared" si="2932"/>
        <v>213700000</v>
      </c>
      <c r="K978" s="17">
        <f t="shared" ref="K978:M978" si="2933">roundup((XLOOKUP($D978,$T$3:$T$10,$U$3:$U$10)*XLOOKUP(K$2,$AA$3:$AA$5,$AD$3:$AD$5)-ABS(XLOOKUP($C978,$Q$3:$Q$16,$R$3:$R$16)))*$B978,-5)</f>
        <v>85300000</v>
      </c>
      <c r="L978" s="17">
        <f t="shared" si="2933"/>
        <v>222700000</v>
      </c>
      <c r="M978" s="17">
        <f t="shared" si="2933"/>
        <v>241400000</v>
      </c>
    </row>
    <row r="979">
      <c r="A979" s="14" t="s">
        <v>1022</v>
      </c>
      <c r="B979" s="14">
        <v>228.0</v>
      </c>
      <c r="C979" s="15">
        <f t="shared" si="4"/>
        <v>14</v>
      </c>
      <c r="D979" s="14" t="s">
        <v>36</v>
      </c>
      <c r="E979" s="16">
        <f t="shared" ref="E979:G979" si="2934">ROUNDUP((XLOOKUP($D979,$T$3:$T$10,$U$3:$U$10)*XLOOKUP(E$2,$AA$3:$AA$5,$AB$3:$AB$5)-ABS(XLOOKUP($C979,$Q$3:$Q$16,$R$3:$R$16)))*$B979,-5)</f>
        <v>53200000</v>
      </c>
      <c r="F979" s="16">
        <f t="shared" si="2934"/>
        <v>96200000</v>
      </c>
      <c r="G979" s="16">
        <f t="shared" si="2934"/>
        <v>105000000</v>
      </c>
      <c r="H979" s="17">
        <f t="shared" ref="H979:J979" si="2935">roundup((XLOOKUP($D979,$T$3:$T$10,$U$3:$U$10)*XLOOKUP(H$2,$AA$3:$AA$5,$AC$3:$AC$5)-ABS(XLOOKUP($C979,$Q$3:$Q$16,$R$3:$R$16)))*$B979,-5)</f>
        <v>43400000</v>
      </c>
      <c r="I979" s="17">
        <f t="shared" si="2935"/>
        <v>119600000</v>
      </c>
      <c r="J979" s="17">
        <f t="shared" si="2935"/>
        <v>129900000</v>
      </c>
      <c r="K979" s="17">
        <f t="shared" ref="K979:M979" si="2936">roundup((XLOOKUP($D979,$T$3:$T$10,$U$3:$U$10)*XLOOKUP(K$2,$AA$3:$AA$5,$AD$3:$AD$5)-ABS(XLOOKUP($C979,$Q$3:$Q$16,$R$3:$R$16)))*$B979,-5)</f>
        <v>51900000</v>
      </c>
      <c r="L979" s="17">
        <f t="shared" si="2936"/>
        <v>135400000</v>
      </c>
      <c r="M979" s="17">
        <f t="shared" si="2936"/>
        <v>146800000</v>
      </c>
    </row>
    <row r="980">
      <c r="A980" s="14" t="s">
        <v>1023</v>
      </c>
      <c r="B980" s="14">
        <v>340.0</v>
      </c>
      <c r="C980" s="15">
        <f t="shared" si="4"/>
        <v>14</v>
      </c>
      <c r="D980" s="14" t="s">
        <v>36</v>
      </c>
      <c r="E980" s="16">
        <f t="shared" ref="E980:G980" si="2937">ROUNDUP((XLOOKUP($D980,$T$3:$T$10,$U$3:$U$10)*XLOOKUP(E$2,$AA$3:$AA$5,$AB$3:$AB$5)-ABS(XLOOKUP($C980,$Q$3:$Q$16,$R$3:$R$16)))*$B980,-5)</f>
        <v>79300000</v>
      </c>
      <c r="F980" s="16">
        <f t="shared" si="2937"/>
        <v>143400000</v>
      </c>
      <c r="G980" s="16">
        <f t="shared" si="2937"/>
        <v>156600000</v>
      </c>
      <c r="H980" s="17">
        <f t="shared" ref="H980:J980" si="2938">roundup((XLOOKUP($D980,$T$3:$T$10,$U$3:$U$10)*XLOOKUP(H$2,$AA$3:$AA$5,$AC$3:$AC$5)-ABS(XLOOKUP($C980,$Q$3:$Q$16,$R$3:$R$16)))*$B980,-5)</f>
        <v>64800000</v>
      </c>
      <c r="I980" s="17">
        <f t="shared" si="2938"/>
        <v>178300000</v>
      </c>
      <c r="J980" s="17">
        <f t="shared" si="2938"/>
        <v>193700000</v>
      </c>
      <c r="K980" s="17">
        <f t="shared" ref="K980:M980" si="2939">roundup((XLOOKUP($D980,$T$3:$T$10,$U$3:$U$10)*XLOOKUP(K$2,$AA$3:$AA$5,$AD$3:$AD$5)-ABS(XLOOKUP($C980,$Q$3:$Q$16,$R$3:$R$16)))*$B980,-5)</f>
        <v>77300000</v>
      </c>
      <c r="L980" s="17">
        <f t="shared" si="2939"/>
        <v>201900000</v>
      </c>
      <c r="M980" s="17">
        <f t="shared" si="2939"/>
        <v>218900000</v>
      </c>
    </row>
    <row r="981">
      <c r="A981" s="14" t="s">
        <v>1024</v>
      </c>
      <c r="B981" s="14">
        <v>296.0</v>
      </c>
      <c r="C981" s="15">
        <f t="shared" si="4"/>
        <v>14</v>
      </c>
      <c r="D981" s="14" t="s">
        <v>36</v>
      </c>
      <c r="E981" s="16">
        <f t="shared" ref="E981:G981" si="2940">ROUNDUP((XLOOKUP($D981,$T$3:$T$10,$U$3:$U$10)*XLOOKUP(E$2,$AA$3:$AA$5,$AB$3:$AB$5)-ABS(XLOOKUP($C981,$Q$3:$Q$16,$R$3:$R$16)))*$B981,-5)</f>
        <v>69100000</v>
      </c>
      <c r="F981" s="16">
        <f t="shared" si="2940"/>
        <v>124800000</v>
      </c>
      <c r="G981" s="16">
        <f t="shared" si="2940"/>
        <v>136400000</v>
      </c>
      <c r="H981" s="17">
        <f t="shared" ref="H981:J981" si="2941">roundup((XLOOKUP($D981,$T$3:$T$10,$U$3:$U$10)*XLOOKUP(H$2,$AA$3:$AA$5,$AC$3:$AC$5)-ABS(XLOOKUP($C981,$Q$3:$Q$16,$R$3:$R$16)))*$B981,-5)</f>
        <v>56400000</v>
      </c>
      <c r="I981" s="17">
        <f t="shared" si="2941"/>
        <v>155200000</v>
      </c>
      <c r="J981" s="17">
        <f t="shared" si="2941"/>
        <v>168700000</v>
      </c>
      <c r="K981" s="17">
        <f t="shared" ref="K981:M981" si="2942">roundup((XLOOKUP($D981,$T$3:$T$10,$U$3:$U$10)*XLOOKUP(K$2,$AA$3:$AA$5,$AD$3:$AD$5)-ABS(XLOOKUP($C981,$Q$3:$Q$16,$R$3:$R$16)))*$B981,-5)</f>
        <v>67300000</v>
      </c>
      <c r="L981" s="17">
        <f t="shared" si="2942"/>
        <v>175800000</v>
      </c>
      <c r="M981" s="17">
        <f t="shared" si="2942"/>
        <v>190600000</v>
      </c>
    </row>
    <row r="982">
      <c r="A982" s="14" t="s">
        <v>1025</v>
      </c>
      <c r="B982" s="14">
        <v>238.0</v>
      </c>
      <c r="C982" s="15">
        <f t="shared" si="4"/>
        <v>14</v>
      </c>
      <c r="D982" s="14" t="s">
        <v>36</v>
      </c>
      <c r="E982" s="16">
        <f t="shared" ref="E982:G982" si="2943">ROUNDUP((XLOOKUP($D982,$T$3:$T$10,$U$3:$U$10)*XLOOKUP(E$2,$AA$3:$AA$5,$AB$3:$AB$5)-ABS(XLOOKUP($C982,$Q$3:$Q$16,$R$3:$R$16)))*$B982,-5)</f>
        <v>55500000</v>
      </c>
      <c r="F982" s="16">
        <f t="shared" si="2943"/>
        <v>100400000</v>
      </c>
      <c r="G982" s="16">
        <f t="shared" si="2943"/>
        <v>109600000</v>
      </c>
      <c r="H982" s="17">
        <f t="shared" ref="H982:J982" si="2944">roundup((XLOOKUP($D982,$T$3:$T$10,$U$3:$U$10)*XLOOKUP(H$2,$AA$3:$AA$5,$AC$3:$AC$5)-ABS(XLOOKUP($C982,$Q$3:$Q$16,$R$3:$R$16)))*$B982,-5)</f>
        <v>45300000</v>
      </c>
      <c r="I982" s="17">
        <f t="shared" si="2944"/>
        <v>124800000</v>
      </c>
      <c r="J982" s="17">
        <f t="shared" si="2944"/>
        <v>135600000</v>
      </c>
      <c r="K982" s="17">
        <f t="shared" ref="K982:M982" si="2945">roundup((XLOOKUP($D982,$T$3:$T$10,$U$3:$U$10)*XLOOKUP(K$2,$AA$3:$AA$5,$AD$3:$AD$5)-ABS(XLOOKUP($C982,$Q$3:$Q$16,$R$3:$R$16)))*$B982,-5)</f>
        <v>54200000</v>
      </c>
      <c r="L982" s="17">
        <f t="shared" si="2945"/>
        <v>141300000</v>
      </c>
      <c r="M982" s="17">
        <f t="shared" si="2945"/>
        <v>153200000</v>
      </c>
    </row>
    <row r="983">
      <c r="A983" s="14" t="s">
        <v>1026</v>
      </c>
      <c r="B983" s="14">
        <v>235.0</v>
      </c>
      <c r="C983" s="15">
        <f t="shared" si="4"/>
        <v>14</v>
      </c>
      <c r="D983" s="14" t="s">
        <v>36</v>
      </c>
      <c r="E983" s="16">
        <f t="shared" ref="E983:G983" si="2946">ROUNDUP((XLOOKUP($D983,$T$3:$T$10,$U$3:$U$10)*XLOOKUP(E$2,$AA$3:$AA$5,$AB$3:$AB$5)-ABS(XLOOKUP($C983,$Q$3:$Q$16,$R$3:$R$16)))*$B983,-5)</f>
        <v>54800000</v>
      </c>
      <c r="F983" s="16">
        <f t="shared" si="2946"/>
        <v>99100000</v>
      </c>
      <c r="G983" s="16">
        <f t="shared" si="2946"/>
        <v>108300000</v>
      </c>
      <c r="H983" s="17">
        <f t="shared" ref="H983:J983" si="2947">roundup((XLOOKUP($D983,$T$3:$T$10,$U$3:$U$10)*XLOOKUP(H$2,$AA$3:$AA$5,$AC$3:$AC$5)-ABS(XLOOKUP($C983,$Q$3:$Q$16,$R$3:$R$16)))*$B983,-5)</f>
        <v>44800000</v>
      </c>
      <c r="I983" s="17">
        <f t="shared" si="2947"/>
        <v>123200000</v>
      </c>
      <c r="J983" s="17">
        <f t="shared" si="2947"/>
        <v>133900000</v>
      </c>
      <c r="K983" s="17">
        <f t="shared" ref="K983:M983" si="2948">roundup((XLOOKUP($D983,$T$3:$T$10,$U$3:$U$10)*XLOOKUP(K$2,$AA$3:$AA$5,$AD$3:$AD$5)-ABS(XLOOKUP($C983,$Q$3:$Q$16,$R$3:$R$16)))*$B983,-5)</f>
        <v>53500000</v>
      </c>
      <c r="L983" s="17">
        <f t="shared" si="2948"/>
        <v>139600000</v>
      </c>
      <c r="M983" s="17">
        <f t="shared" si="2948"/>
        <v>151300000</v>
      </c>
    </row>
    <row r="984">
      <c r="A984" s="14" t="s">
        <v>1027</v>
      </c>
      <c r="B984" s="14">
        <v>208.0</v>
      </c>
      <c r="C984" s="15">
        <f t="shared" si="4"/>
        <v>13</v>
      </c>
      <c r="D984" s="14" t="s">
        <v>36</v>
      </c>
      <c r="E984" s="16">
        <f t="shared" ref="E984:G984" si="2949">ROUNDUP((XLOOKUP($D984,$T$3:$T$10,$U$3:$U$10)*XLOOKUP(E$2,$AA$3:$AA$5,$AB$3:$AB$5)-ABS(XLOOKUP($C984,$Q$3:$Q$16,$R$3:$R$16)))*$B984,-5)</f>
        <v>50400000</v>
      </c>
      <c r="F984" s="16">
        <f t="shared" si="2949"/>
        <v>89600000</v>
      </c>
      <c r="G984" s="16">
        <f t="shared" si="2949"/>
        <v>97700000</v>
      </c>
      <c r="H984" s="17">
        <f t="shared" ref="H984:J984" si="2950">roundup((XLOOKUP($D984,$T$3:$T$10,$U$3:$U$10)*XLOOKUP(H$2,$AA$3:$AA$5,$AC$3:$AC$5)-ABS(XLOOKUP($C984,$Q$3:$Q$16,$R$3:$R$16)))*$B984,-5)</f>
        <v>41500000</v>
      </c>
      <c r="I984" s="17">
        <f t="shared" si="2950"/>
        <v>110900000</v>
      </c>
      <c r="J984" s="17">
        <f t="shared" si="2950"/>
        <v>120400000</v>
      </c>
      <c r="K984" s="17">
        <f t="shared" ref="K984:M984" si="2951">roundup((XLOOKUP($D984,$T$3:$T$10,$U$3:$U$10)*XLOOKUP(K$2,$AA$3:$AA$5,$AD$3:$AD$5)-ABS(XLOOKUP($C984,$Q$3:$Q$16,$R$3:$R$16)))*$B984,-5)</f>
        <v>49200000</v>
      </c>
      <c r="L984" s="17">
        <f t="shared" si="2951"/>
        <v>125400000</v>
      </c>
      <c r="M984" s="17">
        <f t="shared" si="2951"/>
        <v>135800000</v>
      </c>
    </row>
    <row r="985">
      <c r="A985" s="14" t="s">
        <v>1028</v>
      </c>
      <c r="B985" s="14">
        <v>278.0</v>
      </c>
      <c r="C985" s="15">
        <f t="shared" si="4"/>
        <v>14</v>
      </c>
      <c r="D985" s="14" t="s">
        <v>36</v>
      </c>
      <c r="E985" s="16">
        <f t="shared" ref="E985:G985" si="2952">ROUNDUP((XLOOKUP($D985,$T$3:$T$10,$U$3:$U$10)*XLOOKUP(E$2,$AA$3:$AA$5,$AB$3:$AB$5)-ABS(XLOOKUP($C985,$Q$3:$Q$16,$R$3:$R$16)))*$B985,-5)</f>
        <v>64900000</v>
      </c>
      <c r="F985" s="16">
        <f t="shared" si="2952"/>
        <v>117200000</v>
      </c>
      <c r="G985" s="16">
        <f t="shared" si="2952"/>
        <v>128100000</v>
      </c>
      <c r="H985" s="17">
        <f t="shared" ref="H985:J985" si="2953">roundup((XLOOKUP($D985,$T$3:$T$10,$U$3:$U$10)*XLOOKUP(H$2,$AA$3:$AA$5,$AC$3:$AC$5)-ABS(XLOOKUP($C985,$Q$3:$Q$16,$R$3:$R$16)))*$B985,-5)</f>
        <v>53000000</v>
      </c>
      <c r="I985" s="17">
        <f t="shared" si="2953"/>
        <v>145800000</v>
      </c>
      <c r="J985" s="17">
        <f t="shared" si="2953"/>
        <v>158400000</v>
      </c>
      <c r="K985" s="17">
        <f t="shared" ref="K985:M985" si="2954">roundup((XLOOKUP($D985,$T$3:$T$10,$U$3:$U$10)*XLOOKUP(K$2,$AA$3:$AA$5,$AD$3:$AD$5)-ABS(XLOOKUP($C985,$Q$3:$Q$16,$R$3:$R$16)))*$B985,-5)</f>
        <v>63200000</v>
      </c>
      <c r="L985" s="17">
        <f t="shared" si="2954"/>
        <v>165100000</v>
      </c>
      <c r="M985" s="17">
        <f t="shared" si="2954"/>
        <v>179000000</v>
      </c>
    </row>
    <row r="986">
      <c r="A986" s="14" t="s">
        <v>1029</v>
      </c>
      <c r="B986" s="14">
        <v>498.0</v>
      </c>
      <c r="C986" s="15">
        <f t="shared" si="4"/>
        <v>14</v>
      </c>
      <c r="D986" s="14" t="s">
        <v>36</v>
      </c>
      <c r="E986" s="16">
        <f t="shared" ref="E986:G986" si="2955">ROUNDUP((XLOOKUP($D986,$T$3:$T$10,$U$3:$U$10)*XLOOKUP(E$2,$AA$3:$AA$5,$AB$3:$AB$5)-ABS(XLOOKUP($C986,$Q$3:$Q$16,$R$3:$R$16)))*$B986,-5)</f>
        <v>116200000</v>
      </c>
      <c r="F986" s="16">
        <f t="shared" si="2955"/>
        <v>210000000</v>
      </c>
      <c r="G986" s="16">
        <f t="shared" si="2955"/>
        <v>229400000</v>
      </c>
      <c r="H986" s="17">
        <f t="shared" ref="H986:J986" si="2956">roundup((XLOOKUP($D986,$T$3:$T$10,$U$3:$U$10)*XLOOKUP(H$2,$AA$3:$AA$5,$AC$3:$AC$5)-ABS(XLOOKUP($C986,$Q$3:$Q$16,$R$3:$R$16)))*$B986,-5)</f>
        <v>94800000</v>
      </c>
      <c r="I986" s="17">
        <f t="shared" si="2956"/>
        <v>261100000</v>
      </c>
      <c r="J986" s="17">
        <f t="shared" si="2956"/>
        <v>283700000</v>
      </c>
      <c r="K986" s="17">
        <f t="shared" ref="K986:M986" si="2957">roundup((XLOOKUP($D986,$T$3:$T$10,$U$3:$U$10)*XLOOKUP(K$2,$AA$3:$AA$5,$AD$3:$AD$5)-ABS(XLOOKUP($C986,$Q$3:$Q$16,$R$3:$R$16)))*$B986,-5)</f>
        <v>113300000</v>
      </c>
      <c r="L986" s="17">
        <f t="shared" si="2957"/>
        <v>295700000</v>
      </c>
      <c r="M986" s="17">
        <f t="shared" si="2957"/>
        <v>320600000</v>
      </c>
    </row>
    <row r="987">
      <c r="A987" s="14" t="s">
        <v>1030</v>
      </c>
      <c r="B987" s="14">
        <v>336.0</v>
      </c>
      <c r="C987" s="15">
        <f t="shared" si="4"/>
        <v>14</v>
      </c>
      <c r="D987" s="14" t="s">
        <v>36</v>
      </c>
      <c r="E987" s="16">
        <f t="shared" ref="E987:G987" si="2958">ROUNDUP((XLOOKUP($D987,$T$3:$T$10,$U$3:$U$10)*XLOOKUP(E$2,$AA$3:$AA$5,$AB$3:$AB$5)-ABS(XLOOKUP($C987,$Q$3:$Q$16,$R$3:$R$16)))*$B987,-5)</f>
        <v>78400000</v>
      </c>
      <c r="F987" s="16">
        <f t="shared" si="2958"/>
        <v>141700000</v>
      </c>
      <c r="G987" s="16">
        <f t="shared" si="2958"/>
        <v>154800000</v>
      </c>
      <c r="H987" s="17">
        <f t="shared" ref="H987:J987" si="2959">roundup((XLOOKUP($D987,$T$3:$T$10,$U$3:$U$10)*XLOOKUP(H$2,$AA$3:$AA$5,$AC$3:$AC$5)-ABS(XLOOKUP($C987,$Q$3:$Q$16,$R$3:$R$16)))*$B987,-5)</f>
        <v>64000000</v>
      </c>
      <c r="I987" s="17">
        <f t="shared" si="2959"/>
        <v>176200000</v>
      </c>
      <c r="J987" s="17">
        <f t="shared" si="2959"/>
        <v>191400000</v>
      </c>
      <c r="K987" s="17">
        <f t="shared" ref="K987:M987" si="2960">roundup((XLOOKUP($D987,$T$3:$T$10,$U$3:$U$10)*XLOOKUP(K$2,$AA$3:$AA$5,$AD$3:$AD$5)-ABS(XLOOKUP($C987,$Q$3:$Q$16,$R$3:$R$16)))*$B987,-5)</f>
        <v>76400000</v>
      </c>
      <c r="L987" s="17">
        <f t="shared" si="2960"/>
        <v>199500000</v>
      </c>
      <c r="M987" s="17">
        <f t="shared" si="2960"/>
        <v>216300000</v>
      </c>
    </row>
    <row r="988">
      <c r="A988" s="14" t="s">
        <v>1031</v>
      </c>
      <c r="B988" s="14">
        <v>231.0</v>
      </c>
      <c r="C988" s="15">
        <f t="shared" si="4"/>
        <v>14</v>
      </c>
      <c r="D988" s="14" t="s">
        <v>33</v>
      </c>
      <c r="E988" s="16">
        <f t="shared" ref="E988:G988" si="2961">ROUNDUP((XLOOKUP($D988,$T$3:$T$10,$U$3:$U$10)*XLOOKUP(E$2,$AA$3:$AA$5,$AB$3:$AB$5)-ABS(XLOOKUP($C988,$Q$3:$Q$16,$R$3:$R$16)))*$B988,-5)</f>
        <v>43400000</v>
      </c>
      <c r="F988" s="16">
        <f t="shared" si="2961"/>
        <v>82200000</v>
      </c>
      <c r="G988" s="16">
        <f t="shared" si="2961"/>
        <v>90300000</v>
      </c>
      <c r="H988" s="17">
        <f t="shared" ref="H988:J988" si="2962">roundup((XLOOKUP($D988,$T$3:$T$10,$U$3:$U$10)*XLOOKUP(H$2,$AA$3:$AA$5,$AC$3:$AC$5)-ABS(XLOOKUP($C988,$Q$3:$Q$16,$R$3:$R$16)))*$B988,-5)</f>
        <v>34600000</v>
      </c>
      <c r="I988" s="17">
        <f t="shared" si="2962"/>
        <v>103400000</v>
      </c>
      <c r="J988" s="17">
        <f t="shared" si="2962"/>
        <v>112700000</v>
      </c>
      <c r="K988" s="17">
        <f t="shared" ref="K988:M988" si="2963">roundup((XLOOKUP($D988,$T$3:$T$10,$U$3:$U$10)*XLOOKUP(K$2,$AA$3:$AA$5,$AD$3:$AD$5)-ABS(XLOOKUP($C988,$Q$3:$Q$16,$R$3:$R$16)))*$B988,-5)</f>
        <v>42200000</v>
      </c>
      <c r="L988" s="17">
        <f t="shared" si="2963"/>
        <v>117700000</v>
      </c>
      <c r="M988" s="17">
        <f t="shared" si="2963"/>
        <v>128000000</v>
      </c>
    </row>
    <row r="989">
      <c r="A989" s="14" t="s">
        <v>1032</v>
      </c>
      <c r="B989" s="14">
        <v>249.0</v>
      </c>
      <c r="C989" s="15">
        <f t="shared" si="4"/>
        <v>14</v>
      </c>
      <c r="D989" s="14" t="s">
        <v>36</v>
      </c>
      <c r="E989" s="16">
        <f t="shared" ref="E989:G989" si="2964">ROUNDUP((XLOOKUP($D989,$T$3:$T$10,$U$3:$U$10)*XLOOKUP(E$2,$AA$3:$AA$5,$AB$3:$AB$5)-ABS(XLOOKUP($C989,$Q$3:$Q$16,$R$3:$R$16)))*$B989,-5)</f>
        <v>58100000</v>
      </c>
      <c r="F989" s="16">
        <f t="shared" si="2964"/>
        <v>105000000</v>
      </c>
      <c r="G989" s="16">
        <f t="shared" si="2964"/>
        <v>114700000</v>
      </c>
      <c r="H989" s="17">
        <f t="shared" ref="H989:J989" si="2965">roundup((XLOOKUP($D989,$T$3:$T$10,$U$3:$U$10)*XLOOKUP(H$2,$AA$3:$AA$5,$AC$3:$AC$5)-ABS(XLOOKUP($C989,$Q$3:$Q$16,$R$3:$R$16)))*$B989,-5)</f>
        <v>47400000</v>
      </c>
      <c r="I989" s="17">
        <f t="shared" si="2965"/>
        <v>130600000</v>
      </c>
      <c r="J989" s="17">
        <f t="shared" si="2965"/>
        <v>141900000</v>
      </c>
      <c r="K989" s="17">
        <f t="shared" ref="K989:M989" si="2966">roundup((XLOOKUP($D989,$T$3:$T$10,$U$3:$U$10)*XLOOKUP(K$2,$AA$3:$AA$5,$AD$3:$AD$5)-ABS(XLOOKUP($C989,$Q$3:$Q$16,$R$3:$R$16)))*$B989,-5)</f>
        <v>56700000</v>
      </c>
      <c r="L989" s="17">
        <f t="shared" si="2966"/>
        <v>147900000</v>
      </c>
      <c r="M989" s="17">
        <f t="shared" si="2966"/>
        <v>160300000</v>
      </c>
    </row>
    <row r="990">
      <c r="A990" s="14" t="s">
        <v>1033</v>
      </c>
      <c r="B990" s="14">
        <v>234.0</v>
      </c>
      <c r="C990" s="15">
        <f t="shared" si="4"/>
        <v>14</v>
      </c>
      <c r="D990" s="14" t="s">
        <v>33</v>
      </c>
      <c r="E990" s="16">
        <f t="shared" ref="E990:G990" si="2967">ROUNDUP((XLOOKUP($D990,$T$3:$T$10,$U$3:$U$10)*XLOOKUP(E$2,$AA$3:$AA$5,$AB$3:$AB$5)-ABS(XLOOKUP($C990,$Q$3:$Q$16,$R$3:$R$16)))*$B990,-5)</f>
        <v>44000000</v>
      </c>
      <c r="F990" s="16">
        <f t="shared" si="2967"/>
        <v>83300000</v>
      </c>
      <c r="G990" s="16">
        <f t="shared" si="2967"/>
        <v>91400000</v>
      </c>
      <c r="H990" s="17">
        <f t="shared" ref="H990:J990" si="2968">roundup((XLOOKUP($D990,$T$3:$T$10,$U$3:$U$10)*XLOOKUP(H$2,$AA$3:$AA$5,$AC$3:$AC$5)-ABS(XLOOKUP($C990,$Q$3:$Q$16,$R$3:$R$16)))*$B990,-5)</f>
        <v>35000000</v>
      </c>
      <c r="I990" s="17">
        <f t="shared" si="2968"/>
        <v>104700000</v>
      </c>
      <c r="J990" s="17">
        <f t="shared" si="2968"/>
        <v>114200000</v>
      </c>
      <c r="K990" s="17">
        <f t="shared" ref="K990:M990" si="2969">roundup((XLOOKUP($D990,$T$3:$T$10,$U$3:$U$10)*XLOOKUP(K$2,$AA$3:$AA$5,$AD$3:$AD$5)-ABS(XLOOKUP($C990,$Q$3:$Q$16,$R$3:$R$16)))*$B990,-5)</f>
        <v>42700000</v>
      </c>
      <c r="L990" s="17">
        <f t="shared" si="2969"/>
        <v>119200000</v>
      </c>
      <c r="M990" s="17">
        <f t="shared" si="2969"/>
        <v>129700000</v>
      </c>
    </row>
    <row r="991">
      <c r="A991" s="14" t="s">
        <v>1034</v>
      </c>
      <c r="B991" s="14">
        <v>274.0</v>
      </c>
      <c r="C991" s="15">
        <f t="shared" si="4"/>
        <v>14</v>
      </c>
      <c r="D991" s="14" t="s">
        <v>33</v>
      </c>
      <c r="E991" s="16">
        <f t="shared" ref="E991:G991" si="2970">ROUNDUP((XLOOKUP($D991,$T$3:$T$10,$U$3:$U$10)*XLOOKUP(E$2,$AA$3:$AA$5,$AB$3:$AB$5)-ABS(XLOOKUP($C991,$Q$3:$Q$16,$R$3:$R$16)))*$B991,-5)</f>
        <v>51500000</v>
      </c>
      <c r="F991" s="16">
        <f t="shared" si="2970"/>
        <v>97500000</v>
      </c>
      <c r="G991" s="16">
        <f t="shared" si="2970"/>
        <v>107000000</v>
      </c>
      <c r="H991" s="17">
        <f t="shared" ref="H991:J991" si="2971">roundup((XLOOKUP($D991,$T$3:$T$10,$U$3:$U$10)*XLOOKUP(H$2,$AA$3:$AA$5,$AC$3:$AC$5)-ABS(XLOOKUP($C991,$Q$3:$Q$16,$R$3:$R$16)))*$B991,-5)</f>
        <v>41000000</v>
      </c>
      <c r="I991" s="17">
        <f t="shared" si="2971"/>
        <v>122600000</v>
      </c>
      <c r="J991" s="17">
        <f t="shared" si="2971"/>
        <v>133700000</v>
      </c>
      <c r="K991" s="17">
        <f t="shared" ref="K991:M991" si="2972">roundup((XLOOKUP($D991,$T$3:$T$10,$U$3:$U$10)*XLOOKUP(K$2,$AA$3:$AA$5,$AD$3:$AD$5)-ABS(XLOOKUP($C991,$Q$3:$Q$16,$R$3:$R$16)))*$B991,-5)</f>
        <v>50000000</v>
      </c>
      <c r="L991" s="17">
        <f t="shared" si="2972"/>
        <v>139600000</v>
      </c>
      <c r="M991" s="17">
        <f t="shared" si="2972"/>
        <v>151800000</v>
      </c>
    </row>
    <row r="992">
      <c r="A992" s="14" t="s">
        <v>1035</v>
      </c>
      <c r="B992" s="14">
        <v>275.0</v>
      </c>
      <c r="C992" s="15">
        <f t="shared" si="4"/>
        <v>14</v>
      </c>
      <c r="D992" s="14" t="s">
        <v>36</v>
      </c>
      <c r="E992" s="16">
        <f t="shared" ref="E992:G992" si="2973">ROUNDUP((XLOOKUP($D992,$T$3:$T$10,$U$3:$U$10)*XLOOKUP(E$2,$AA$3:$AA$5,$AB$3:$AB$5)-ABS(XLOOKUP($C992,$Q$3:$Q$16,$R$3:$R$16)))*$B992,-5)</f>
        <v>64200000</v>
      </c>
      <c r="F992" s="16">
        <f t="shared" si="2973"/>
        <v>116000000</v>
      </c>
      <c r="G992" s="16">
        <f t="shared" si="2973"/>
        <v>126700000</v>
      </c>
      <c r="H992" s="17">
        <f t="shared" ref="H992:J992" si="2974">roundup((XLOOKUP($D992,$T$3:$T$10,$U$3:$U$10)*XLOOKUP(H$2,$AA$3:$AA$5,$AC$3:$AC$5)-ABS(XLOOKUP($C992,$Q$3:$Q$16,$R$3:$R$16)))*$B992,-5)</f>
        <v>52400000</v>
      </c>
      <c r="I992" s="17">
        <f t="shared" si="2974"/>
        <v>144200000</v>
      </c>
      <c r="J992" s="17">
        <f t="shared" si="2974"/>
        <v>156700000</v>
      </c>
      <c r="K992" s="17">
        <f t="shared" ref="K992:M992" si="2975">roundup((XLOOKUP($D992,$T$3:$T$10,$U$3:$U$10)*XLOOKUP(K$2,$AA$3:$AA$5,$AD$3:$AD$5)-ABS(XLOOKUP($C992,$Q$3:$Q$16,$R$3:$R$16)))*$B992,-5)</f>
        <v>62600000</v>
      </c>
      <c r="L992" s="17">
        <f t="shared" si="2975"/>
        <v>163300000</v>
      </c>
      <c r="M992" s="17">
        <f t="shared" si="2975"/>
        <v>177100000</v>
      </c>
    </row>
    <row r="993">
      <c r="A993" s="14" t="s">
        <v>1036</v>
      </c>
      <c r="B993" s="14">
        <v>363.0</v>
      </c>
      <c r="C993" s="15">
        <f t="shared" si="4"/>
        <v>14</v>
      </c>
      <c r="D993" s="14" t="s">
        <v>36</v>
      </c>
      <c r="E993" s="16">
        <f t="shared" ref="E993:G993" si="2976">ROUNDUP((XLOOKUP($D993,$T$3:$T$10,$U$3:$U$10)*XLOOKUP(E$2,$AA$3:$AA$5,$AB$3:$AB$5)-ABS(XLOOKUP($C993,$Q$3:$Q$16,$R$3:$R$16)))*$B993,-5)</f>
        <v>84700000</v>
      </c>
      <c r="F993" s="16">
        <f t="shared" si="2976"/>
        <v>153100000</v>
      </c>
      <c r="G993" s="16">
        <f t="shared" si="2976"/>
        <v>167200000</v>
      </c>
      <c r="H993" s="17">
        <f t="shared" ref="H993:J993" si="2977">roundup((XLOOKUP($D993,$T$3:$T$10,$U$3:$U$10)*XLOOKUP(H$2,$AA$3:$AA$5,$AC$3:$AC$5)-ABS(XLOOKUP($C993,$Q$3:$Q$16,$R$3:$R$16)))*$B993,-5)</f>
        <v>69100000</v>
      </c>
      <c r="I993" s="17">
        <f t="shared" si="2977"/>
        <v>190300000</v>
      </c>
      <c r="J993" s="17">
        <f t="shared" si="2977"/>
        <v>206800000</v>
      </c>
      <c r="K993" s="17">
        <f t="shared" ref="K993:M993" si="2978">roundup((XLOOKUP($D993,$T$3:$T$10,$U$3:$U$10)*XLOOKUP(K$2,$AA$3:$AA$5,$AD$3:$AD$5)-ABS(XLOOKUP($C993,$Q$3:$Q$16,$R$3:$R$16)))*$B993,-5)</f>
        <v>82600000</v>
      </c>
      <c r="L993" s="17">
        <f t="shared" si="2978"/>
        <v>215500000</v>
      </c>
      <c r="M993" s="17">
        <f t="shared" si="2978"/>
        <v>233700000</v>
      </c>
    </row>
    <row r="994">
      <c r="A994" s="14" t="s">
        <v>1037</v>
      </c>
      <c r="B994" s="14">
        <v>282.0</v>
      </c>
      <c r="C994" s="15">
        <f t="shared" si="4"/>
        <v>14</v>
      </c>
      <c r="D994" s="14" t="s">
        <v>33</v>
      </c>
      <c r="E994" s="16">
        <f t="shared" ref="E994:G994" si="2979">ROUNDUP((XLOOKUP($D994,$T$3:$T$10,$U$3:$U$10)*XLOOKUP(E$2,$AA$3:$AA$5,$AB$3:$AB$5)-ABS(XLOOKUP($C994,$Q$3:$Q$16,$R$3:$R$16)))*$B994,-5)</f>
        <v>53000000</v>
      </c>
      <c r="F994" s="16">
        <f t="shared" si="2979"/>
        <v>100400000</v>
      </c>
      <c r="G994" s="16">
        <f t="shared" si="2979"/>
        <v>110200000</v>
      </c>
      <c r="H994" s="17">
        <f t="shared" ref="H994:J994" si="2980">roundup((XLOOKUP($D994,$T$3:$T$10,$U$3:$U$10)*XLOOKUP(H$2,$AA$3:$AA$5,$AC$3:$AC$5)-ABS(XLOOKUP($C994,$Q$3:$Q$16,$R$3:$R$16)))*$B994,-5)</f>
        <v>42200000</v>
      </c>
      <c r="I994" s="17">
        <f t="shared" si="2980"/>
        <v>126200000</v>
      </c>
      <c r="J994" s="17">
        <f t="shared" si="2980"/>
        <v>137600000</v>
      </c>
      <c r="K994" s="17">
        <f t="shared" ref="K994:M994" si="2981">roundup((XLOOKUP($D994,$T$3:$T$10,$U$3:$U$10)*XLOOKUP(K$2,$AA$3:$AA$5,$AD$3:$AD$5)-ABS(XLOOKUP($C994,$Q$3:$Q$16,$R$3:$R$16)))*$B994,-5)</f>
        <v>51500000</v>
      </c>
      <c r="L994" s="17">
        <f t="shared" si="2981"/>
        <v>143700000</v>
      </c>
      <c r="M994" s="17">
        <f t="shared" si="2981"/>
        <v>156300000</v>
      </c>
    </row>
    <row r="995">
      <c r="A995" s="14" t="s">
        <v>1038</v>
      </c>
      <c r="B995" s="14">
        <v>227.0</v>
      </c>
      <c r="C995" s="15">
        <f t="shared" si="4"/>
        <v>14</v>
      </c>
      <c r="D995" s="14" t="s">
        <v>36</v>
      </c>
      <c r="E995" s="16">
        <f t="shared" ref="E995:G995" si="2982">ROUNDUP((XLOOKUP($D995,$T$3:$T$10,$U$3:$U$10)*XLOOKUP(E$2,$AA$3:$AA$5,$AB$3:$AB$5)-ABS(XLOOKUP($C995,$Q$3:$Q$16,$R$3:$R$16)))*$B995,-5)</f>
        <v>53000000</v>
      </c>
      <c r="F995" s="16">
        <f t="shared" si="2982"/>
        <v>95700000</v>
      </c>
      <c r="G995" s="16">
        <f t="shared" si="2982"/>
        <v>104600000</v>
      </c>
      <c r="H995" s="17">
        <f t="shared" ref="H995:J995" si="2983">roundup((XLOOKUP($D995,$T$3:$T$10,$U$3:$U$10)*XLOOKUP(H$2,$AA$3:$AA$5,$AC$3:$AC$5)-ABS(XLOOKUP($C995,$Q$3:$Q$16,$R$3:$R$16)))*$B995,-5)</f>
        <v>43200000</v>
      </c>
      <c r="I995" s="17">
        <f t="shared" si="2983"/>
        <v>119000000</v>
      </c>
      <c r="J995" s="17">
        <f t="shared" si="2983"/>
        <v>129400000</v>
      </c>
      <c r="K995" s="17">
        <f t="shared" ref="K995:M995" si="2984">roundup((XLOOKUP($D995,$T$3:$T$10,$U$3:$U$10)*XLOOKUP(K$2,$AA$3:$AA$5,$AD$3:$AD$5)-ABS(XLOOKUP($C995,$Q$3:$Q$16,$R$3:$R$16)))*$B995,-5)</f>
        <v>51700000</v>
      </c>
      <c r="L995" s="17">
        <f t="shared" si="2984"/>
        <v>134800000</v>
      </c>
      <c r="M995" s="17">
        <f t="shared" si="2984"/>
        <v>146200000</v>
      </c>
    </row>
    <row r="996">
      <c r="A996" s="14" t="s">
        <v>1039</v>
      </c>
      <c r="B996" s="14">
        <v>194.0</v>
      </c>
      <c r="C996" s="15">
        <f t="shared" si="4"/>
        <v>13</v>
      </c>
      <c r="D996" s="14" t="s">
        <v>36</v>
      </c>
      <c r="E996" s="16">
        <f t="shared" ref="E996:G996" si="2985">ROUNDUP((XLOOKUP($D996,$T$3:$T$10,$U$3:$U$10)*XLOOKUP(E$2,$AA$3:$AA$5,$AB$3:$AB$5)-ABS(XLOOKUP($C996,$Q$3:$Q$16,$R$3:$R$16)))*$B996,-5)</f>
        <v>47000000</v>
      </c>
      <c r="F996" s="16">
        <f t="shared" si="2985"/>
        <v>83600000</v>
      </c>
      <c r="G996" s="16">
        <f t="shared" si="2985"/>
        <v>91100000</v>
      </c>
      <c r="H996" s="17">
        <f t="shared" ref="H996:J996" si="2986">roundup((XLOOKUP($D996,$T$3:$T$10,$U$3:$U$10)*XLOOKUP(H$2,$AA$3:$AA$5,$AC$3:$AC$5)-ABS(XLOOKUP($C996,$Q$3:$Q$16,$R$3:$R$16)))*$B996,-5)</f>
        <v>38700000</v>
      </c>
      <c r="I996" s="17">
        <f t="shared" si="2986"/>
        <v>103500000</v>
      </c>
      <c r="J996" s="17">
        <f t="shared" si="2986"/>
        <v>112300000</v>
      </c>
      <c r="K996" s="17">
        <f t="shared" ref="K996:M996" si="2987">roundup((XLOOKUP($D996,$T$3:$T$10,$U$3:$U$10)*XLOOKUP(K$2,$AA$3:$AA$5,$AD$3:$AD$5)-ABS(XLOOKUP($C996,$Q$3:$Q$16,$R$3:$R$16)))*$B996,-5)</f>
        <v>45900000</v>
      </c>
      <c r="L996" s="17">
        <f t="shared" si="2987"/>
        <v>117000000</v>
      </c>
      <c r="M996" s="17">
        <f t="shared" si="2987"/>
        <v>126700000</v>
      </c>
    </row>
    <row r="997">
      <c r="A997" s="14" t="s">
        <v>1040</v>
      </c>
      <c r="B997" s="14">
        <v>318.0</v>
      </c>
      <c r="C997" s="15">
        <f t="shared" si="4"/>
        <v>14</v>
      </c>
      <c r="D997" s="14" t="s">
        <v>36</v>
      </c>
      <c r="E997" s="16">
        <f t="shared" ref="E997:G997" si="2988">ROUNDUP((XLOOKUP($D997,$T$3:$T$10,$U$3:$U$10)*XLOOKUP(E$2,$AA$3:$AA$5,$AB$3:$AB$5)-ABS(XLOOKUP($C997,$Q$3:$Q$16,$R$3:$R$16)))*$B997,-5)</f>
        <v>74200000</v>
      </c>
      <c r="F997" s="16">
        <f t="shared" si="2988"/>
        <v>134100000</v>
      </c>
      <c r="G997" s="16">
        <f t="shared" si="2988"/>
        <v>146500000</v>
      </c>
      <c r="H997" s="17">
        <f t="shared" ref="H997:J997" si="2989">roundup((XLOOKUP($D997,$T$3:$T$10,$U$3:$U$10)*XLOOKUP(H$2,$AA$3:$AA$5,$AC$3:$AC$5)-ABS(XLOOKUP($C997,$Q$3:$Q$16,$R$3:$R$16)))*$B997,-5)</f>
        <v>60600000</v>
      </c>
      <c r="I997" s="17">
        <f t="shared" si="2989"/>
        <v>166700000</v>
      </c>
      <c r="J997" s="17">
        <f t="shared" si="2989"/>
        <v>181200000</v>
      </c>
      <c r="K997" s="17">
        <f t="shared" ref="K997:M997" si="2990">roundup((XLOOKUP($D997,$T$3:$T$10,$U$3:$U$10)*XLOOKUP(K$2,$AA$3:$AA$5,$AD$3:$AD$5)-ABS(XLOOKUP($C997,$Q$3:$Q$16,$R$3:$R$16)))*$B997,-5)</f>
        <v>72300000</v>
      </c>
      <c r="L997" s="17">
        <f t="shared" si="2990"/>
        <v>188800000</v>
      </c>
      <c r="M997" s="17">
        <f t="shared" si="2990"/>
        <v>204700000</v>
      </c>
    </row>
    <row r="998">
      <c r="A998" s="14" t="s">
        <v>1041</v>
      </c>
      <c r="B998" s="14">
        <v>245.0</v>
      </c>
      <c r="C998" s="15">
        <f t="shared" si="4"/>
        <v>14</v>
      </c>
      <c r="D998" s="14" t="s">
        <v>33</v>
      </c>
      <c r="E998" s="16">
        <f t="shared" ref="E998:G998" si="2991">ROUNDUP((XLOOKUP($D998,$T$3:$T$10,$U$3:$U$10)*XLOOKUP(E$2,$AA$3:$AA$5,$AB$3:$AB$5)-ABS(XLOOKUP($C998,$Q$3:$Q$16,$R$3:$R$16)))*$B998,-5)</f>
        <v>46000000</v>
      </c>
      <c r="F998" s="16">
        <f t="shared" si="2991"/>
        <v>87200000</v>
      </c>
      <c r="G998" s="16">
        <f t="shared" si="2991"/>
        <v>95700000</v>
      </c>
      <c r="H998" s="17">
        <f t="shared" ref="H998:J998" si="2992">roundup((XLOOKUP($D998,$T$3:$T$10,$U$3:$U$10)*XLOOKUP(H$2,$AA$3:$AA$5,$AC$3:$AC$5)-ABS(XLOOKUP($C998,$Q$3:$Q$16,$R$3:$R$16)))*$B998,-5)</f>
        <v>36700000</v>
      </c>
      <c r="I998" s="17">
        <f t="shared" si="2992"/>
        <v>109600000</v>
      </c>
      <c r="J998" s="17">
        <f t="shared" si="2992"/>
        <v>119600000</v>
      </c>
      <c r="K998" s="17">
        <f t="shared" ref="K998:M998" si="2993">roundup((XLOOKUP($D998,$T$3:$T$10,$U$3:$U$10)*XLOOKUP(K$2,$AA$3:$AA$5,$AD$3:$AD$5)-ABS(XLOOKUP($C998,$Q$3:$Q$16,$R$3:$R$16)))*$B998,-5)</f>
        <v>44800000</v>
      </c>
      <c r="L998" s="17">
        <f t="shared" si="2993"/>
        <v>124800000</v>
      </c>
      <c r="M998" s="17">
        <f t="shared" si="2993"/>
        <v>135800000</v>
      </c>
    </row>
    <row r="999">
      <c r="A999" s="14" t="s">
        <v>1042</v>
      </c>
      <c r="B999" s="14">
        <v>217.0</v>
      </c>
      <c r="C999" s="15">
        <f t="shared" si="4"/>
        <v>13</v>
      </c>
      <c r="D999" s="14" t="s">
        <v>36</v>
      </c>
      <c r="E999" s="16">
        <f t="shared" ref="E999:G999" si="2994">ROUNDUP((XLOOKUP($D999,$T$3:$T$10,$U$3:$U$10)*XLOOKUP(E$2,$AA$3:$AA$5,$AB$3:$AB$5)-ABS(XLOOKUP($C999,$Q$3:$Q$16,$R$3:$R$16)))*$B999,-5)</f>
        <v>52600000</v>
      </c>
      <c r="F999" s="16">
        <f t="shared" si="2994"/>
        <v>93500000</v>
      </c>
      <c r="G999" s="16">
        <f t="shared" si="2994"/>
        <v>101900000</v>
      </c>
      <c r="H999" s="17">
        <f t="shared" ref="H999:J999" si="2995">roundup((XLOOKUP($D999,$T$3:$T$10,$U$3:$U$10)*XLOOKUP(H$2,$AA$3:$AA$5,$AC$3:$AC$5)-ABS(XLOOKUP($C999,$Q$3:$Q$16,$R$3:$R$16)))*$B999,-5)</f>
        <v>43300000</v>
      </c>
      <c r="I999" s="17">
        <f t="shared" si="2995"/>
        <v>115700000</v>
      </c>
      <c r="J999" s="17">
        <f t="shared" si="2995"/>
        <v>125600000</v>
      </c>
      <c r="K999" s="17">
        <f t="shared" ref="K999:M999" si="2996">roundup((XLOOKUP($D999,$T$3:$T$10,$U$3:$U$10)*XLOOKUP(K$2,$AA$3:$AA$5,$AD$3:$AD$5)-ABS(XLOOKUP($C999,$Q$3:$Q$16,$R$3:$R$16)))*$B999,-5)</f>
        <v>51300000</v>
      </c>
      <c r="L999" s="17">
        <f t="shared" si="2996"/>
        <v>130800000</v>
      </c>
      <c r="M999" s="17">
        <f t="shared" si="2996"/>
        <v>141700000</v>
      </c>
    </row>
    <row r="1000">
      <c r="A1000" s="14" t="s">
        <v>1043</v>
      </c>
      <c r="B1000" s="14">
        <v>180.0</v>
      </c>
      <c r="C1000" s="15">
        <f t="shared" si="4"/>
        <v>12</v>
      </c>
      <c r="D1000" s="14" t="s">
        <v>36</v>
      </c>
      <c r="E1000" s="16">
        <f t="shared" ref="E1000:G1000" si="2997">ROUNDUP((XLOOKUP($D1000,$T$3:$T$10,$U$3:$U$10)*XLOOKUP(E$2,$AA$3:$AA$5,$AB$3:$AB$5)-ABS(XLOOKUP($C1000,$Q$3:$Q$16,$R$3:$R$16)))*$B1000,-5)</f>
        <v>46300000</v>
      </c>
      <c r="F1000" s="16">
        <f t="shared" si="2997"/>
        <v>80200000</v>
      </c>
      <c r="G1000" s="16">
        <f t="shared" si="2997"/>
        <v>87300000</v>
      </c>
      <c r="H1000" s="17">
        <f t="shared" ref="H1000:J1000" si="2998">roundup((XLOOKUP($D1000,$T$3:$T$10,$U$3:$U$10)*XLOOKUP(H$2,$AA$3:$AA$5,$AC$3:$AC$5)-ABS(XLOOKUP($C1000,$Q$3:$Q$16,$R$3:$R$16)))*$B1000,-5)</f>
        <v>38600000</v>
      </c>
      <c r="I1000" s="17">
        <f t="shared" si="2998"/>
        <v>98700000</v>
      </c>
      <c r="J1000" s="17">
        <f t="shared" si="2998"/>
        <v>106900000</v>
      </c>
      <c r="K1000" s="17">
        <f t="shared" ref="K1000:M1000" si="2999">roundup((XLOOKUP($D1000,$T$3:$T$10,$U$3:$U$10)*XLOOKUP(K$2,$AA$3:$AA$5,$AD$3:$AD$5)-ABS(XLOOKUP($C1000,$Q$3:$Q$16,$R$3:$R$16)))*$B1000,-5)</f>
        <v>45300000</v>
      </c>
      <c r="L1000" s="17">
        <f t="shared" si="2999"/>
        <v>111200000</v>
      </c>
      <c r="M1000" s="17">
        <f t="shared" si="2999"/>
        <v>120200000</v>
      </c>
    </row>
    <row r="1001">
      <c r="A1001" s="14" t="s">
        <v>1044</v>
      </c>
      <c r="B1001" s="14">
        <v>150.0</v>
      </c>
      <c r="C1001" s="15">
        <f t="shared" si="4"/>
        <v>11</v>
      </c>
      <c r="D1001" s="14" t="s">
        <v>36</v>
      </c>
      <c r="E1001" s="16">
        <f t="shared" ref="E1001:G1001" si="3000">ROUNDUP((XLOOKUP($D1001,$T$3:$T$10,$U$3:$U$10)*XLOOKUP(E$2,$AA$3:$AA$5,$AB$3:$AB$5)-ABS(XLOOKUP($C1001,$Q$3:$Q$16,$R$3:$R$16)))*$B1001,-5)</f>
        <v>39400000</v>
      </c>
      <c r="F1001" s="16">
        <f t="shared" si="3000"/>
        <v>67600000</v>
      </c>
      <c r="G1001" s="16">
        <f t="shared" si="3000"/>
        <v>73500000</v>
      </c>
      <c r="H1001" s="17">
        <f t="shared" ref="H1001:J1001" si="3001">roundup((XLOOKUP($D1001,$T$3:$T$10,$U$3:$U$10)*XLOOKUP(H$2,$AA$3:$AA$5,$AC$3:$AC$5)-ABS(XLOOKUP($C1001,$Q$3:$Q$16,$R$3:$R$16)))*$B1001,-5)</f>
        <v>32900000</v>
      </c>
      <c r="I1001" s="17">
        <f t="shared" si="3001"/>
        <v>83000000</v>
      </c>
      <c r="J1001" s="17">
        <f t="shared" si="3001"/>
        <v>89800000</v>
      </c>
      <c r="K1001" s="17">
        <f t="shared" ref="K1001:M1001" si="3002">roundup((XLOOKUP($D1001,$T$3:$T$10,$U$3:$U$10)*XLOOKUP(K$2,$AA$3:$AA$5,$AD$3:$AD$5)-ABS(XLOOKUP($C1001,$Q$3:$Q$16,$R$3:$R$16)))*$B1001,-5)</f>
        <v>38500000</v>
      </c>
      <c r="L1001" s="17">
        <f t="shared" si="3002"/>
        <v>93400000</v>
      </c>
      <c r="M1001" s="17">
        <f t="shared" si="3002"/>
        <v>100900000</v>
      </c>
    </row>
    <row r="1002">
      <c r="A1002" s="14" t="s">
        <v>1045</v>
      </c>
      <c r="B1002" s="14">
        <v>115.0</v>
      </c>
      <c r="C1002" s="15">
        <f t="shared" si="4"/>
        <v>11</v>
      </c>
      <c r="D1002" s="14" t="s">
        <v>36</v>
      </c>
      <c r="E1002" s="16">
        <f t="shared" ref="E1002:G1002" si="3003">ROUNDUP((XLOOKUP($D1002,$T$3:$T$10,$U$3:$U$10)*XLOOKUP(E$2,$AA$3:$AA$5,$AB$3:$AB$5)-ABS(XLOOKUP($C1002,$Q$3:$Q$16,$R$3:$R$16)))*$B1002,-5)</f>
        <v>30200000</v>
      </c>
      <c r="F1002" s="16">
        <f t="shared" si="3003"/>
        <v>51900000</v>
      </c>
      <c r="G1002" s="16">
        <f t="shared" si="3003"/>
        <v>56300000</v>
      </c>
      <c r="H1002" s="17">
        <f t="shared" ref="H1002:J1002" si="3004">roundup((XLOOKUP($D1002,$T$3:$T$10,$U$3:$U$10)*XLOOKUP(H$2,$AA$3:$AA$5,$AC$3:$AC$5)-ABS(XLOOKUP($C1002,$Q$3:$Q$16,$R$3:$R$16)))*$B1002,-5)</f>
        <v>25300000</v>
      </c>
      <c r="I1002" s="17">
        <f t="shared" si="3004"/>
        <v>63700000</v>
      </c>
      <c r="J1002" s="17">
        <f t="shared" si="3004"/>
        <v>68900000</v>
      </c>
      <c r="K1002" s="17">
        <f t="shared" ref="K1002:M1002" si="3005">roundup((XLOOKUP($D1002,$T$3:$T$10,$U$3:$U$10)*XLOOKUP(K$2,$AA$3:$AA$5,$AD$3:$AD$5)-ABS(XLOOKUP($C1002,$Q$3:$Q$16,$R$3:$R$16)))*$B1002,-5)</f>
        <v>29500000</v>
      </c>
      <c r="L1002" s="17">
        <f t="shared" si="3005"/>
        <v>71700000</v>
      </c>
      <c r="M1002" s="17">
        <f t="shared" si="3005"/>
        <v>77400000</v>
      </c>
    </row>
    <row r="1003">
      <c r="A1003" s="14" t="s">
        <v>1046</v>
      </c>
      <c r="B1003" s="14">
        <v>143.0</v>
      </c>
      <c r="C1003" s="15">
        <f t="shared" si="4"/>
        <v>11</v>
      </c>
      <c r="D1003" s="14" t="s">
        <v>36</v>
      </c>
      <c r="E1003" s="16">
        <f t="shared" ref="E1003:G1003" si="3006">ROUNDUP((XLOOKUP($D1003,$T$3:$T$10,$U$3:$U$10)*XLOOKUP(E$2,$AA$3:$AA$5,$AB$3:$AB$5)-ABS(XLOOKUP($C1003,$Q$3:$Q$16,$R$3:$R$16)))*$B1003,-5)</f>
        <v>37500000</v>
      </c>
      <c r="F1003" s="16">
        <f t="shared" si="3006"/>
        <v>64500000</v>
      </c>
      <c r="G1003" s="16">
        <f t="shared" si="3006"/>
        <v>70000000</v>
      </c>
      <c r="H1003" s="17">
        <f t="shared" ref="H1003:J1003" si="3007">roundup((XLOOKUP($D1003,$T$3:$T$10,$U$3:$U$10)*XLOOKUP(H$2,$AA$3:$AA$5,$AC$3:$AC$5)-ABS(XLOOKUP($C1003,$Q$3:$Q$16,$R$3:$R$16)))*$B1003,-5)</f>
        <v>31400000</v>
      </c>
      <c r="I1003" s="17">
        <f t="shared" si="3007"/>
        <v>79200000</v>
      </c>
      <c r="J1003" s="17">
        <f t="shared" si="3007"/>
        <v>85700000</v>
      </c>
      <c r="K1003" s="17">
        <f t="shared" ref="K1003:M1003" si="3008">roundup((XLOOKUP($D1003,$T$3:$T$10,$U$3:$U$10)*XLOOKUP(K$2,$AA$3:$AA$5,$AD$3:$AD$5)-ABS(XLOOKUP($C1003,$Q$3:$Q$16,$R$3:$R$16)))*$B1003,-5)</f>
        <v>36700000</v>
      </c>
      <c r="L1003" s="17">
        <f t="shared" si="3008"/>
        <v>89100000</v>
      </c>
      <c r="M1003" s="17">
        <f t="shared" si="3008"/>
        <v>96200000</v>
      </c>
    </row>
    <row r="1004">
      <c r="A1004" s="14" t="s">
        <v>1047</v>
      </c>
      <c r="B1004" s="14">
        <v>482.0</v>
      </c>
      <c r="C1004" s="15">
        <f t="shared" si="4"/>
        <v>14</v>
      </c>
      <c r="D1004" s="14" t="s">
        <v>36</v>
      </c>
      <c r="E1004" s="16">
        <f t="shared" ref="E1004:G1004" si="3009">ROUNDUP((XLOOKUP($D1004,$T$3:$T$10,$U$3:$U$10)*XLOOKUP(E$2,$AA$3:$AA$5,$AB$3:$AB$5)-ABS(XLOOKUP($C1004,$Q$3:$Q$16,$R$3:$R$16)))*$B1004,-5)</f>
        <v>112400000</v>
      </c>
      <c r="F1004" s="16">
        <f t="shared" si="3009"/>
        <v>203200000</v>
      </c>
      <c r="G1004" s="16">
        <f t="shared" si="3009"/>
        <v>222000000</v>
      </c>
      <c r="H1004" s="17">
        <f t="shared" ref="H1004:J1004" si="3010">roundup((XLOOKUP($D1004,$T$3:$T$10,$U$3:$U$10)*XLOOKUP(H$2,$AA$3:$AA$5,$AC$3:$AC$5)-ABS(XLOOKUP($C1004,$Q$3:$Q$16,$R$3:$R$16)))*$B1004,-5)</f>
        <v>91800000</v>
      </c>
      <c r="I1004" s="17">
        <f t="shared" si="3010"/>
        <v>252700000</v>
      </c>
      <c r="J1004" s="17">
        <f t="shared" si="3010"/>
        <v>274600000</v>
      </c>
      <c r="K1004" s="17">
        <f t="shared" ref="K1004:M1004" si="3011">roundup((XLOOKUP($D1004,$T$3:$T$10,$U$3:$U$10)*XLOOKUP(K$2,$AA$3:$AA$5,$AD$3:$AD$5)-ABS(XLOOKUP($C1004,$Q$3:$Q$16,$R$3:$R$16)))*$B1004,-5)</f>
        <v>109600000</v>
      </c>
      <c r="L1004" s="17">
        <f t="shared" si="3011"/>
        <v>286200000</v>
      </c>
      <c r="M1004" s="17">
        <f t="shared" si="3011"/>
        <v>310300000</v>
      </c>
    </row>
    <row r="1005">
      <c r="A1005" s="14" t="s">
        <v>1048</v>
      </c>
      <c r="B1005" s="14">
        <v>238.0</v>
      </c>
      <c r="C1005" s="15">
        <f t="shared" si="4"/>
        <v>14</v>
      </c>
      <c r="D1005" s="14" t="s">
        <v>33</v>
      </c>
      <c r="E1005" s="16">
        <f t="shared" ref="E1005:G1005" si="3012">ROUNDUP((XLOOKUP($D1005,$T$3:$T$10,$U$3:$U$10)*XLOOKUP(E$2,$AA$3:$AA$5,$AB$3:$AB$5)-ABS(XLOOKUP($C1005,$Q$3:$Q$16,$R$3:$R$16)))*$B1005,-5)</f>
        <v>44700000</v>
      </c>
      <c r="F1005" s="16">
        <f t="shared" si="3012"/>
        <v>84700000</v>
      </c>
      <c r="G1005" s="16">
        <f t="shared" si="3012"/>
        <v>93000000</v>
      </c>
      <c r="H1005" s="17">
        <f t="shared" ref="H1005:J1005" si="3013">roundup((XLOOKUP($D1005,$T$3:$T$10,$U$3:$U$10)*XLOOKUP(H$2,$AA$3:$AA$5,$AC$3:$AC$5)-ABS(XLOOKUP($C1005,$Q$3:$Q$16,$R$3:$R$16)))*$B1005,-5)</f>
        <v>35600000</v>
      </c>
      <c r="I1005" s="17">
        <f t="shared" si="3013"/>
        <v>106500000</v>
      </c>
      <c r="J1005" s="17">
        <f t="shared" si="3013"/>
        <v>116200000</v>
      </c>
      <c r="K1005" s="17">
        <f t="shared" ref="K1005:M1005" si="3014">roundup((XLOOKUP($D1005,$T$3:$T$10,$U$3:$U$10)*XLOOKUP(K$2,$AA$3:$AA$5,$AD$3:$AD$5)-ABS(XLOOKUP($C1005,$Q$3:$Q$16,$R$3:$R$16)))*$B1005,-5)</f>
        <v>43500000</v>
      </c>
      <c r="L1005" s="17">
        <f t="shared" si="3014"/>
        <v>121300000</v>
      </c>
      <c r="M1005" s="17">
        <f t="shared" si="3014"/>
        <v>131900000</v>
      </c>
    </row>
    <row r="1006">
      <c r="A1006" s="14" t="s">
        <v>1049</v>
      </c>
      <c r="B1006" s="14">
        <v>171.0</v>
      </c>
      <c r="C1006" s="15">
        <f t="shared" si="4"/>
        <v>12</v>
      </c>
      <c r="D1006" s="14" t="s">
        <v>36</v>
      </c>
      <c r="E1006" s="16">
        <f t="shared" ref="E1006:G1006" si="3015">ROUNDUP((XLOOKUP($D1006,$T$3:$T$10,$U$3:$U$10)*XLOOKUP(E$2,$AA$3:$AA$5,$AB$3:$AB$5)-ABS(XLOOKUP($C1006,$Q$3:$Q$16,$R$3:$R$16)))*$B1006,-5)</f>
        <v>44000000</v>
      </c>
      <c r="F1006" s="16">
        <f t="shared" si="3015"/>
        <v>76200000</v>
      </c>
      <c r="G1006" s="16">
        <f t="shared" si="3015"/>
        <v>82900000</v>
      </c>
      <c r="H1006" s="17">
        <f t="shared" ref="H1006:J1006" si="3016">roundup((XLOOKUP($D1006,$T$3:$T$10,$U$3:$U$10)*XLOOKUP(H$2,$AA$3:$AA$5,$AC$3:$AC$5)-ABS(XLOOKUP($C1006,$Q$3:$Q$16,$R$3:$R$16)))*$B1006,-5)</f>
        <v>36700000</v>
      </c>
      <c r="I1006" s="17">
        <f t="shared" si="3016"/>
        <v>93800000</v>
      </c>
      <c r="J1006" s="17">
        <f t="shared" si="3016"/>
        <v>101600000</v>
      </c>
      <c r="K1006" s="17">
        <f t="shared" ref="K1006:M1006" si="3017">roundup((XLOOKUP($D1006,$T$3:$T$10,$U$3:$U$10)*XLOOKUP(K$2,$AA$3:$AA$5,$AD$3:$AD$5)-ABS(XLOOKUP($C1006,$Q$3:$Q$16,$R$3:$R$16)))*$B1006,-5)</f>
        <v>43000000</v>
      </c>
      <c r="L1006" s="17">
        <f t="shared" si="3017"/>
        <v>105700000</v>
      </c>
      <c r="M1006" s="17">
        <f t="shared" si="3017"/>
        <v>114200000</v>
      </c>
    </row>
    <row r="1007">
      <c r="A1007" s="14" t="s">
        <v>1050</v>
      </c>
      <c r="B1007" s="14">
        <v>328.0</v>
      </c>
      <c r="C1007" s="15">
        <f t="shared" si="4"/>
        <v>14</v>
      </c>
      <c r="D1007" s="14" t="s">
        <v>33</v>
      </c>
      <c r="E1007" s="16">
        <f t="shared" ref="E1007:G1007" si="3018">ROUNDUP((XLOOKUP($D1007,$T$3:$T$10,$U$3:$U$10)*XLOOKUP(E$2,$AA$3:$AA$5,$AB$3:$AB$5)-ABS(XLOOKUP($C1007,$Q$3:$Q$16,$R$3:$R$16)))*$B1007,-5)</f>
        <v>61600000</v>
      </c>
      <c r="F1007" s="16">
        <f t="shared" si="3018"/>
        <v>116700000</v>
      </c>
      <c r="G1007" s="16">
        <f t="shared" si="3018"/>
        <v>128100000</v>
      </c>
      <c r="H1007" s="17">
        <f t="shared" ref="H1007:J1007" si="3019">roundup((XLOOKUP($D1007,$T$3:$T$10,$U$3:$U$10)*XLOOKUP(H$2,$AA$3:$AA$5,$AC$3:$AC$5)-ABS(XLOOKUP($C1007,$Q$3:$Q$16,$R$3:$R$16)))*$B1007,-5)</f>
        <v>49100000</v>
      </c>
      <c r="I1007" s="17">
        <f t="shared" si="3019"/>
        <v>146800000</v>
      </c>
      <c r="J1007" s="17">
        <f t="shared" si="3019"/>
        <v>160100000</v>
      </c>
      <c r="K1007" s="17">
        <f t="shared" ref="K1007:M1007" si="3020">roundup((XLOOKUP($D1007,$T$3:$T$10,$U$3:$U$10)*XLOOKUP(K$2,$AA$3:$AA$5,$AD$3:$AD$5)-ABS(XLOOKUP($C1007,$Q$3:$Q$16,$R$3:$R$16)))*$B1007,-5)</f>
        <v>59900000</v>
      </c>
      <c r="L1007" s="17">
        <f t="shared" si="3020"/>
        <v>167100000</v>
      </c>
      <c r="M1007" s="17">
        <f t="shared" si="3020"/>
        <v>181700000</v>
      </c>
    </row>
    <row r="1008">
      <c r="A1008" s="14" t="s">
        <v>1051</v>
      </c>
      <c r="B1008" s="14">
        <v>252.0</v>
      </c>
      <c r="C1008" s="15">
        <f t="shared" si="4"/>
        <v>14</v>
      </c>
      <c r="D1008" s="14" t="s">
        <v>36</v>
      </c>
      <c r="E1008" s="16">
        <f t="shared" ref="E1008:G1008" si="3021">ROUNDUP((XLOOKUP($D1008,$T$3:$T$10,$U$3:$U$10)*XLOOKUP(E$2,$AA$3:$AA$5,$AB$3:$AB$5)-ABS(XLOOKUP($C1008,$Q$3:$Q$16,$R$3:$R$16)))*$B1008,-5)</f>
        <v>58800000</v>
      </c>
      <c r="F1008" s="16">
        <f t="shared" si="3021"/>
        <v>106300000</v>
      </c>
      <c r="G1008" s="16">
        <f t="shared" si="3021"/>
        <v>116100000</v>
      </c>
      <c r="H1008" s="17">
        <f t="shared" ref="H1008:J1008" si="3022">roundup((XLOOKUP($D1008,$T$3:$T$10,$U$3:$U$10)*XLOOKUP(H$2,$AA$3:$AA$5,$AC$3:$AC$5)-ABS(XLOOKUP($C1008,$Q$3:$Q$16,$R$3:$R$16)))*$B1008,-5)</f>
        <v>48000000</v>
      </c>
      <c r="I1008" s="17">
        <f t="shared" si="3022"/>
        <v>132100000</v>
      </c>
      <c r="J1008" s="17">
        <f t="shared" si="3022"/>
        <v>143600000</v>
      </c>
      <c r="K1008" s="17">
        <f t="shared" ref="K1008:M1008" si="3023">roundup((XLOOKUP($D1008,$T$3:$T$10,$U$3:$U$10)*XLOOKUP(K$2,$AA$3:$AA$5,$AD$3:$AD$5)-ABS(XLOOKUP($C1008,$Q$3:$Q$16,$R$3:$R$16)))*$B1008,-5)</f>
        <v>57300000</v>
      </c>
      <c r="L1008" s="17">
        <f t="shared" si="3023"/>
        <v>149600000</v>
      </c>
      <c r="M1008" s="17">
        <f t="shared" si="3023"/>
        <v>162300000</v>
      </c>
    </row>
    <row r="1009">
      <c r="A1009" s="14" t="s">
        <v>1052</v>
      </c>
      <c r="B1009" s="14">
        <v>265.0</v>
      </c>
      <c r="C1009" s="15">
        <f t="shared" si="4"/>
        <v>14</v>
      </c>
      <c r="D1009" s="14" t="s">
        <v>36</v>
      </c>
      <c r="E1009" s="16">
        <f t="shared" ref="E1009:G1009" si="3024">ROUNDUP((XLOOKUP($D1009,$T$3:$T$10,$U$3:$U$10)*XLOOKUP(E$2,$AA$3:$AA$5,$AB$3:$AB$5)-ABS(XLOOKUP($C1009,$Q$3:$Q$16,$R$3:$R$16)))*$B1009,-5)</f>
        <v>61800000</v>
      </c>
      <c r="F1009" s="16">
        <f t="shared" si="3024"/>
        <v>111800000</v>
      </c>
      <c r="G1009" s="16">
        <f t="shared" si="3024"/>
        <v>122100000</v>
      </c>
      <c r="H1009" s="17">
        <f t="shared" ref="H1009:J1009" si="3025">roundup((XLOOKUP($D1009,$T$3:$T$10,$U$3:$U$10)*XLOOKUP(H$2,$AA$3:$AA$5,$AC$3:$AC$5)-ABS(XLOOKUP($C1009,$Q$3:$Q$16,$R$3:$R$16)))*$B1009,-5)</f>
        <v>50500000</v>
      </c>
      <c r="I1009" s="17">
        <f t="shared" si="3025"/>
        <v>139000000</v>
      </c>
      <c r="J1009" s="17">
        <f t="shared" si="3025"/>
        <v>151000000</v>
      </c>
      <c r="K1009" s="17">
        <f t="shared" ref="K1009:M1009" si="3026">roundup((XLOOKUP($D1009,$T$3:$T$10,$U$3:$U$10)*XLOOKUP(K$2,$AA$3:$AA$5,$AD$3:$AD$5)-ABS(XLOOKUP($C1009,$Q$3:$Q$16,$R$3:$R$16)))*$B1009,-5)</f>
        <v>60300000</v>
      </c>
      <c r="L1009" s="17">
        <f t="shared" si="3026"/>
        <v>157400000</v>
      </c>
      <c r="M1009" s="17">
        <f t="shared" si="3026"/>
        <v>170600000</v>
      </c>
    </row>
    <row r="1010">
      <c r="A1010" s="14" t="s">
        <v>1053</v>
      </c>
      <c r="B1010" s="14">
        <v>315.0</v>
      </c>
      <c r="C1010" s="15">
        <f t="shared" si="4"/>
        <v>14</v>
      </c>
      <c r="D1010" s="14" t="s">
        <v>36</v>
      </c>
      <c r="E1010" s="16">
        <f t="shared" ref="E1010:G1010" si="3027">ROUNDUP((XLOOKUP($D1010,$T$3:$T$10,$U$3:$U$10)*XLOOKUP(E$2,$AA$3:$AA$5,$AB$3:$AB$5)-ABS(XLOOKUP($C1010,$Q$3:$Q$16,$R$3:$R$16)))*$B1010,-5)</f>
        <v>73500000</v>
      </c>
      <c r="F1010" s="16">
        <f t="shared" si="3027"/>
        <v>132800000</v>
      </c>
      <c r="G1010" s="16">
        <f t="shared" si="3027"/>
        <v>145100000</v>
      </c>
      <c r="H1010" s="17">
        <f t="shared" ref="H1010:J1010" si="3028">roundup((XLOOKUP($D1010,$T$3:$T$10,$U$3:$U$10)*XLOOKUP(H$2,$AA$3:$AA$5,$AC$3:$AC$5)-ABS(XLOOKUP($C1010,$Q$3:$Q$16,$R$3:$R$16)))*$B1010,-5)</f>
        <v>60000000</v>
      </c>
      <c r="I1010" s="17">
        <f t="shared" si="3028"/>
        <v>165200000</v>
      </c>
      <c r="J1010" s="17">
        <f t="shared" si="3028"/>
        <v>179500000</v>
      </c>
      <c r="K1010" s="17">
        <f t="shared" ref="K1010:M1010" si="3029">roundup((XLOOKUP($D1010,$T$3:$T$10,$U$3:$U$10)*XLOOKUP(K$2,$AA$3:$AA$5,$AD$3:$AD$5)-ABS(XLOOKUP($C1010,$Q$3:$Q$16,$R$3:$R$16)))*$B1010,-5)</f>
        <v>71700000</v>
      </c>
      <c r="L1010" s="17">
        <f t="shared" si="3029"/>
        <v>187000000</v>
      </c>
      <c r="M1010" s="17">
        <f t="shared" si="3029"/>
        <v>202800000</v>
      </c>
    </row>
    <row r="1011">
      <c r="A1011" s="14" t="s">
        <v>1054</v>
      </c>
      <c r="B1011" s="14">
        <v>72.0</v>
      </c>
      <c r="C1011" s="15">
        <f t="shared" si="4"/>
        <v>9</v>
      </c>
      <c r="D1011" s="14" t="s">
        <v>33</v>
      </c>
      <c r="E1011" s="16">
        <f t="shared" ref="E1011:G1011" si="3030">ROUNDUP((XLOOKUP($D1011,$T$3:$T$10,$U$3:$U$10)*XLOOKUP(E$2,$AA$3:$AA$5,$AB$3:$AB$5)-ABS(XLOOKUP($C1011,$Q$3:$Q$16,$R$3:$R$16)))*$B1011,-5)</f>
        <v>22200000</v>
      </c>
      <c r="F1011" s="16">
        <f t="shared" si="3030"/>
        <v>34300000</v>
      </c>
      <c r="G1011" s="16">
        <f t="shared" si="3030"/>
        <v>36800000</v>
      </c>
      <c r="H1011" s="17">
        <f t="shared" ref="H1011:J1011" si="3031">roundup((XLOOKUP($D1011,$T$3:$T$10,$U$3:$U$10)*XLOOKUP(H$2,$AA$3:$AA$5,$AC$3:$AC$5)-ABS(XLOOKUP($C1011,$Q$3:$Q$16,$R$3:$R$16)))*$B1011,-5)</f>
        <v>19400000</v>
      </c>
      <c r="I1011" s="17">
        <f t="shared" si="3031"/>
        <v>40900000</v>
      </c>
      <c r="J1011" s="17">
        <f t="shared" si="3031"/>
        <v>43800000</v>
      </c>
      <c r="K1011" s="17">
        <f t="shared" ref="K1011:M1011" si="3032">roundup((XLOOKUP($D1011,$T$3:$T$10,$U$3:$U$10)*XLOOKUP(K$2,$AA$3:$AA$5,$AD$3:$AD$5)-ABS(XLOOKUP($C1011,$Q$3:$Q$16,$R$3:$R$16)))*$B1011,-5)</f>
        <v>21800000</v>
      </c>
      <c r="L1011" s="17">
        <f t="shared" si="3032"/>
        <v>45400000</v>
      </c>
      <c r="M1011" s="17">
        <f t="shared" si="3032"/>
        <v>48600000</v>
      </c>
    </row>
    <row r="1012">
      <c r="A1012" s="14" t="s">
        <v>1055</v>
      </c>
      <c r="B1012" s="14">
        <v>104.0</v>
      </c>
      <c r="C1012" s="15">
        <f t="shared" si="4"/>
        <v>11</v>
      </c>
      <c r="D1012" s="14" t="s">
        <v>33</v>
      </c>
      <c r="E1012" s="16">
        <f t="shared" ref="E1012:G1012" si="3033">ROUNDUP((XLOOKUP($D1012,$T$3:$T$10,$U$3:$U$10)*XLOOKUP(E$2,$AA$3:$AA$5,$AB$3:$AB$5)-ABS(XLOOKUP($C1012,$Q$3:$Q$16,$R$3:$R$16)))*$B1012,-5)</f>
        <v>22600000</v>
      </c>
      <c r="F1012" s="16">
        <f t="shared" si="3033"/>
        <v>40100000</v>
      </c>
      <c r="G1012" s="16">
        <f t="shared" si="3033"/>
        <v>43700000</v>
      </c>
      <c r="H1012" s="17">
        <f t="shared" ref="H1012:J1012" si="3034">roundup((XLOOKUP($D1012,$T$3:$T$10,$U$3:$U$10)*XLOOKUP(H$2,$AA$3:$AA$5,$AC$3:$AC$5)-ABS(XLOOKUP($C1012,$Q$3:$Q$16,$R$3:$R$16)))*$B1012,-5)</f>
        <v>18600000</v>
      </c>
      <c r="I1012" s="17">
        <f t="shared" si="3034"/>
        <v>49600000</v>
      </c>
      <c r="J1012" s="17">
        <f t="shared" si="3034"/>
        <v>53800000</v>
      </c>
      <c r="K1012" s="17">
        <f t="shared" ref="K1012:M1012" si="3035">roundup((XLOOKUP($D1012,$T$3:$T$10,$U$3:$U$10)*XLOOKUP(K$2,$AA$3:$AA$5,$AD$3:$AD$5)-ABS(XLOOKUP($C1012,$Q$3:$Q$16,$R$3:$R$16)))*$B1012,-5)</f>
        <v>22000000</v>
      </c>
      <c r="L1012" s="17">
        <f t="shared" si="3035"/>
        <v>56000000</v>
      </c>
      <c r="M1012" s="17">
        <f t="shared" si="3035"/>
        <v>60700000</v>
      </c>
    </row>
    <row r="1013">
      <c r="A1013" s="14" t="s">
        <v>1056</v>
      </c>
      <c r="B1013" s="14">
        <v>131.0</v>
      </c>
      <c r="C1013" s="15">
        <f t="shared" si="4"/>
        <v>11</v>
      </c>
      <c r="D1013" s="14" t="s">
        <v>33</v>
      </c>
      <c r="E1013" s="16">
        <f t="shared" ref="E1013:G1013" si="3036">ROUNDUP((XLOOKUP($D1013,$T$3:$T$10,$U$3:$U$10)*XLOOKUP(E$2,$AA$3:$AA$5,$AB$3:$AB$5)-ABS(XLOOKUP($C1013,$Q$3:$Q$16,$R$3:$R$16)))*$B1013,-5)</f>
        <v>28400000</v>
      </c>
      <c r="F1013" s="16">
        <f t="shared" si="3036"/>
        <v>50400000</v>
      </c>
      <c r="G1013" s="16">
        <f t="shared" si="3036"/>
        <v>55000000</v>
      </c>
      <c r="H1013" s="17">
        <f t="shared" ref="H1013:J1013" si="3037">roundup((XLOOKUP($D1013,$T$3:$T$10,$U$3:$U$10)*XLOOKUP(H$2,$AA$3:$AA$5,$AC$3:$AC$5)-ABS(XLOOKUP($C1013,$Q$3:$Q$16,$R$3:$R$16)))*$B1013,-5)</f>
        <v>23400000</v>
      </c>
      <c r="I1013" s="17">
        <f t="shared" si="3037"/>
        <v>62400000</v>
      </c>
      <c r="J1013" s="17">
        <f t="shared" si="3037"/>
        <v>67800000</v>
      </c>
      <c r="K1013" s="17">
        <f t="shared" ref="K1013:M1013" si="3038">roundup((XLOOKUP($D1013,$T$3:$T$10,$U$3:$U$10)*XLOOKUP(K$2,$AA$3:$AA$5,$AD$3:$AD$5)-ABS(XLOOKUP($C1013,$Q$3:$Q$16,$R$3:$R$16)))*$B1013,-5)</f>
        <v>27800000</v>
      </c>
      <c r="L1013" s="17">
        <f t="shared" si="3038"/>
        <v>70600000</v>
      </c>
      <c r="M1013" s="17">
        <f t="shared" si="3038"/>
        <v>76400000</v>
      </c>
    </row>
    <row r="1014">
      <c r="A1014" s="14" t="s">
        <v>1057</v>
      </c>
      <c r="B1014" s="14">
        <v>131.0</v>
      </c>
      <c r="C1014" s="15">
        <f t="shared" si="4"/>
        <v>11</v>
      </c>
      <c r="D1014" s="14" t="s">
        <v>33</v>
      </c>
      <c r="E1014" s="16">
        <f t="shared" ref="E1014:G1014" si="3039">ROUNDUP((XLOOKUP($D1014,$T$3:$T$10,$U$3:$U$10)*XLOOKUP(E$2,$AA$3:$AA$5,$AB$3:$AB$5)-ABS(XLOOKUP($C1014,$Q$3:$Q$16,$R$3:$R$16)))*$B1014,-5)</f>
        <v>28400000</v>
      </c>
      <c r="F1014" s="16">
        <f t="shared" si="3039"/>
        <v>50400000</v>
      </c>
      <c r="G1014" s="16">
        <f t="shared" si="3039"/>
        <v>55000000</v>
      </c>
      <c r="H1014" s="17">
        <f t="shared" ref="H1014:J1014" si="3040">roundup((XLOOKUP($D1014,$T$3:$T$10,$U$3:$U$10)*XLOOKUP(H$2,$AA$3:$AA$5,$AC$3:$AC$5)-ABS(XLOOKUP($C1014,$Q$3:$Q$16,$R$3:$R$16)))*$B1014,-5)</f>
        <v>23400000</v>
      </c>
      <c r="I1014" s="17">
        <f t="shared" si="3040"/>
        <v>62400000</v>
      </c>
      <c r="J1014" s="17">
        <f t="shared" si="3040"/>
        <v>67800000</v>
      </c>
      <c r="K1014" s="17">
        <f t="shared" ref="K1014:M1014" si="3041">roundup((XLOOKUP($D1014,$T$3:$T$10,$U$3:$U$10)*XLOOKUP(K$2,$AA$3:$AA$5,$AD$3:$AD$5)-ABS(XLOOKUP($C1014,$Q$3:$Q$16,$R$3:$R$16)))*$B1014,-5)</f>
        <v>27800000</v>
      </c>
      <c r="L1014" s="17">
        <f t="shared" si="3041"/>
        <v>70600000</v>
      </c>
      <c r="M1014" s="17">
        <f t="shared" si="3041"/>
        <v>76400000</v>
      </c>
    </row>
    <row r="1015">
      <c r="A1015" s="14" t="s">
        <v>1058</v>
      </c>
      <c r="B1015" s="14">
        <v>99.0</v>
      </c>
      <c r="C1015" s="15">
        <f t="shared" si="4"/>
        <v>11</v>
      </c>
      <c r="D1015" s="14" t="s">
        <v>33</v>
      </c>
      <c r="E1015" s="16">
        <f t="shared" ref="E1015:G1015" si="3042">ROUNDUP((XLOOKUP($D1015,$T$3:$T$10,$U$3:$U$10)*XLOOKUP(E$2,$AA$3:$AA$5,$AB$3:$AB$5)-ABS(XLOOKUP($C1015,$Q$3:$Q$16,$R$3:$R$16)))*$B1015,-5)</f>
        <v>21500000</v>
      </c>
      <c r="F1015" s="16">
        <f t="shared" si="3042"/>
        <v>38100000</v>
      </c>
      <c r="G1015" s="16">
        <f t="shared" si="3042"/>
        <v>41600000</v>
      </c>
      <c r="H1015" s="17">
        <f t="shared" ref="H1015:J1015" si="3043">roundup((XLOOKUP($D1015,$T$3:$T$10,$U$3:$U$10)*XLOOKUP(H$2,$AA$3:$AA$5,$AC$3:$AC$5)-ABS(XLOOKUP($C1015,$Q$3:$Q$16,$R$3:$R$16)))*$B1015,-5)</f>
        <v>17700000</v>
      </c>
      <c r="I1015" s="17">
        <f t="shared" si="3043"/>
        <v>47200000</v>
      </c>
      <c r="J1015" s="17">
        <f t="shared" si="3043"/>
        <v>51200000</v>
      </c>
      <c r="K1015" s="17">
        <f t="shared" ref="K1015:M1015" si="3044">roundup((XLOOKUP($D1015,$T$3:$T$10,$U$3:$U$10)*XLOOKUP(K$2,$AA$3:$AA$5,$AD$3:$AD$5)-ABS(XLOOKUP($C1015,$Q$3:$Q$16,$R$3:$R$16)))*$B1015,-5)</f>
        <v>21000000</v>
      </c>
      <c r="L1015" s="17">
        <f t="shared" si="3044"/>
        <v>53300000</v>
      </c>
      <c r="M1015" s="17">
        <f t="shared" si="3044"/>
        <v>57800000</v>
      </c>
    </row>
    <row r="1016">
      <c r="A1016" s="14" t="s">
        <v>1059</v>
      </c>
      <c r="B1016" s="14">
        <v>132.0</v>
      </c>
      <c r="C1016" s="15">
        <f t="shared" si="4"/>
        <v>11</v>
      </c>
      <c r="D1016" s="14" t="s">
        <v>33</v>
      </c>
      <c r="E1016" s="16">
        <f t="shared" ref="E1016:G1016" si="3045">ROUNDUP((XLOOKUP($D1016,$T$3:$T$10,$U$3:$U$10)*XLOOKUP(E$2,$AA$3:$AA$5,$AB$3:$AB$5)-ABS(XLOOKUP($C1016,$Q$3:$Q$16,$R$3:$R$16)))*$B1016,-5)</f>
        <v>28700000</v>
      </c>
      <c r="F1016" s="16">
        <f t="shared" si="3045"/>
        <v>50800000</v>
      </c>
      <c r="G1016" s="16">
        <f t="shared" si="3045"/>
        <v>55400000</v>
      </c>
      <c r="H1016" s="17">
        <f t="shared" ref="H1016:J1016" si="3046">roundup((XLOOKUP($D1016,$T$3:$T$10,$U$3:$U$10)*XLOOKUP(H$2,$AA$3:$AA$5,$AC$3:$AC$5)-ABS(XLOOKUP($C1016,$Q$3:$Q$16,$R$3:$R$16)))*$B1016,-5)</f>
        <v>23600000</v>
      </c>
      <c r="I1016" s="17">
        <f t="shared" si="3046"/>
        <v>62900000</v>
      </c>
      <c r="J1016" s="17">
        <f t="shared" si="3046"/>
        <v>68300000</v>
      </c>
      <c r="K1016" s="17">
        <f t="shared" ref="K1016:M1016" si="3047">roundup((XLOOKUP($D1016,$T$3:$T$10,$U$3:$U$10)*XLOOKUP(K$2,$AA$3:$AA$5,$AD$3:$AD$5)-ABS(XLOOKUP($C1016,$Q$3:$Q$16,$R$3:$R$16)))*$B1016,-5)</f>
        <v>28000000</v>
      </c>
      <c r="L1016" s="17">
        <f t="shared" si="3047"/>
        <v>71100000</v>
      </c>
      <c r="M1016" s="17">
        <f t="shared" si="3047"/>
        <v>77000000</v>
      </c>
    </row>
    <row r="1017">
      <c r="A1017" s="14" t="s">
        <v>1060</v>
      </c>
      <c r="B1017" s="14">
        <v>140.0</v>
      </c>
      <c r="C1017" s="15">
        <f t="shared" si="4"/>
        <v>11</v>
      </c>
      <c r="D1017" s="14" t="s">
        <v>33</v>
      </c>
      <c r="E1017" s="16">
        <f t="shared" ref="E1017:G1017" si="3048">ROUNDUP((XLOOKUP($D1017,$T$3:$T$10,$U$3:$U$10)*XLOOKUP(E$2,$AA$3:$AA$5,$AB$3:$AB$5)-ABS(XLOOKUP($C1017,$Q$3:$Q$16,$R$3:$R$16)))*$B1017,-5)</f>
        <v>30400000</v>
      </c>
      <c r="F1017" s="16">
        <f t="shared" si="3048"/>
        <v>53900000</v>
      </c>
      <c r="G1017" s="16">
        <f t="shared" si="3048"/>
        <v>58800000</v>
      </c>
      <c r="H1017" s="17">
        <f t="shared" ref="H1017:J1017" si="3049">roundup((XLOOKUP($D1017,$T$3:$T$10,$U$3:$U$10)*XLOOKUP(H$2,$AA$3:$AA$5,$AC$3:$AC$5)-ABS(XLOOKUP($C1017,$Q$3:$Q$16,$R$3:$R$16)))*$B1017,-5)</f>
        <v>25000000</v>
      </c>
      <c r="I1017" s="17">
        <f t="shared" si="3049"/>
        <v>66700000</v>
      </c>
      <c r="J1017" s="17">
        <f t="shared" si="3049"/>
        <v>72400000</v>
      </c>
      <c r="K1017" s="17">
        <f t="shared" ref="K1017:M1017" si="3050">roundup((XLOOKUP($D1017,$T$3:$T$10,$U$3:$U$10)*XLOOKUP(K$2,$AA$3:$AA$5,$AD$3:$AD$5)-ABS(XLOOKUP($C1017,$Q$3:$Q$16,$R$3:$R$16)))*$B1017,-5)</f>
        <v>29700000</v>
      </c>
      <c r="L1017" s="17">
        <f t="shared" si="3050"/>
        <v>75400000</v>
      </c>
      <c r="M1017" s="17">
        <f t="shared" si="3050"/>
        <v>81700000</v>
      </c>
    </row>
    <row r="1018">
      <c r="A1018" s="14" t="s">
        <v>1061</v>
      </c>
      <c r="B1018" s="14">
        <v>109.0</v>
      </c>
      <c r="C1018" s="15">
        <f t="shared" si="4"/>
        <v>11</v>
      </c>
      <c r="D1018" s="14" t="s">
        <v>33</v>
      </c>
      <c r="E1018" s="16">
        <f t="shared" ref="E1018:G1018" si="3051">ROUNDUP((XLOOKUP($D1018,$T$3:$T$10,$U$3:$U$10)*XLOOKUP(E$2,$AA$3:$AA$5,$AB$3:$AB$5)-ABS(XLOOKUP($C1018,$Q$3:$Q$16,$R$3:$R$16)))*$B1018,-5)</f>
        <v>23700000</v>
      </c>
      <c r="F1018" s="16">
        <f t="shared" si="3051"/>
        <v>42000000</v>
      </c>
      <c r="G1018" s="16">
        <f t="shared" si="3051"/>
        <v>45800000</v>
      </c>
      <c r="H1018" s="17">
        <f t="shared" ref="H1018:J1018" si="3052">roundup((XLOOKUP($D1018,$T$3:$T$10,$U$3:$U$10)*XLOOKUP(H$2,$AA$3:$AA$5,$AC$3:$AC$5)-ABS(XLOOKUP($C1018,$Q$3:$Q$16,$R$3:$R$16)))*$B1018,-5)</f>
        <v>19500000</v>
      </c>
      <c r="I1018" s="17">
        <f t="shared" si="3052"/>
        <v>52000000</v>
      </c>
      <c r="J1018" s="17">
        <f t="shared" si="3052"/>
        <v>56400000</v>
      </c>
      <c r="K1018" s="17">
        <f t="shared" ref="K1018:M1018" si="3053">roundup((XLOOKUP($D1018,$T$3:$T$10,$U$3:$U$10)*XLOOKUP(K$2,$AA$3:$AA$5,$AD$3:$AD$5)-ABS(XLOOKUP($C1018,$Q$3:$Q$16,$R$3:$R$16)))*$B1018,-5)</f>
        <v>23100000</v>
      </c>
      <c r="L1018" s="17">
        <f t="shared" si="3053"/>
        <v>58700000</v>
      </c>
      <c r="M1018" s="17">
        <f t="shared" si="3053"/>
        <v>63600000</v>
      </c>
    </row>
    <row r="1019">
      <c r="A1019" s="14" t="s">
        <v>1062</v>
      </c>
      <c r="B1019" s="14">
        <v>114.0</v>
      </c>
      <c r="C1019" s="15">
        <f t="shared" si="4"/>
        <v>11</v>
      </c>
      <c r="D1019" s="14" t="s">
        <v>33</v>
      </c>
      <c r="E1019" s="16">
        <f t="shared" ref="E1019:G1019" si="3054">ROUNDUP((XLOOKUP($D1019,$T$3:$T$10,$U$3:$U$10)*XLOOKUP(E$2,$AA$3:$AA$5,$AB$3:$AB$5)-ABS(XLOOKUP($C1019,$Q$3:$Q$16,$R$3:$R$16)))*$B1019,-5)</f>
        <v>24800000</v>
      </c>
      <c r="F1019" s="16">
        <f t="shared" si="3054"/>
        <v>43900000</v>
      </c>
      <c r="G1019" s="16">
        <f t="shared" si="3054"/>
        <v>47900000</v>
      </c>
      <c r="H1019" s="17">
        <f t="shared" ref="H1019:J1019" si="3055">roundup((XLOOKUP($D1019,$T$3:$T$10,$U$3:$U$10)*XLOOKUP(H$2,$AA$3:$AA$5,$AC$3:$AC$5)-ABS(XLOOKUP($C1019,$Q$3:$Q$16,$R$3:$R$16)))*$B1019,-5)</f>
        <v>20400000</v>
      </c>
      <c r="I1019" s="17">
        <f t="shared" si="3055"/>
        <v>54300000</v>
      </c>
      <c r="J1019" s="17">
        <f t="shared" si="3055"/>
        <v>59000000</v>
      </c>
      <c r="K1019" s="17">
        <f t="shared" ref="K1019:M1019" si="3056">roundup((XLOOKUP($D1019,$T$3:$T$10,$U$3:$U$10)*XLOOKUP(K$2,$AA$3:$AA$5,$AD$3:$AD$5)-ABS(XLOOKUP($C1019,$Q$3:$Q$16,$R$3:$R$16)))*$B1019,-5)</f>
        <v>24200000</v>
      </c>
      <c r="L1019" s="17">
        <f t="shared" si="3056"/>
        <v>61400000</v>
      </c>
      <c r="M1019" s="17">
        <f t="shared" si="3056"/>
        <v>66500000</v>
      </c>
    </row>
    <row r="1020">
      <c r="A1020" s="14" t="s">
        <v>1063</v>
      </c>
      <c r="B1020" s="14">
        <v>102.0</v>
      </c>
      <c r="C1020" s="15">
        <f t="shared" si="4"/>
        <v>11</v>
      </c>
      <c r="D1020" s="14" t="s">
        <v>33</v>
      </c>
      <c r="E1020" s="16">
        <f t="shared" ref="E1020:G1020" si="3057">ROUNDUP((XLOOKUP($D1020,$T$3:$T$10,$U$3:$U$10)*XLOOKUP(E$2,$AA$3:$AA$5,$AB$3:$AB$5)-ABS(XLOOKUP($C1020,$Q$3:$Q$16,$R$3:$R$16)))*$B1020,-5)</f>
        <v>22200000</v>
      </c>
      <c r="F1020" s="16">
        <f t="shared" si="3057"/>
        <v>39300000</v>
      </c>
      <c r="G1020" s="16">
        <f t="shared" si="3057"/>
        <v>42800000</v>
      </c>
      <c r="H1020" s="17">
        <f t="shared" ref="H1020:J1020" si="3058">roundup((XLOOKUP($D1020,$T$3:$T$10,$U$3:$U$10)*XLOOKUP(H$2,$AA$3:$AA$5,$AC$3:$AC$5)-ABS(XLOOKUP($C1020,$Q$3:$Q$16,$R$3:$R$16)))*$B1020,-5)</f>
        <v>18200000</v>
      </c>
      <c r="I1020" s="17">
        <f t="shared" si="3058"/>
        <v>48600000</v>
      </c>
      <c r="J1020" s="17">
        <f t="shared" si="3058"/>
        <v>52800000</v>
      </c>
      <c r="K1020" s="17">
        <f t="shared" ref="K1020:M1020" si="3059">roundup((XLOOKUP($D1020,$T$3:$T$10,$U$3:$U$10)*XLOOKUP(K$2,$AA$3:$AA$5,$AD$3:$AD$5)-ABS(XLOOKUP($C1020,$Q$3:$Q$16,$R$3:$R$16)))*$B1020,-5)</f>
        <v>21600000</v>
      </c>
      <c r="L1020" s="17">
        <f t="shared" si="3059"/>
        <v>55000000</v>
      </c>
      <c r="M1020" s="17">
        <f t="shared" si="3059"/>
        <v>59500000</v>
      </c>
    </row>
    <row r="1021">
      <c r="A1021" s="14" t="s">
        <v>1064</v>
      </c>
      <c r="B1021" s="14">
        <v>125.0</v>
      </c>
      <c r="C1021" s="15">
        <f t="shared" si="4"/>
        <v>11</v>
      </c>
      <c r="D1021" s="14" t="s">
        <v>33</v>
      </c>
      <c r="E1021" s="16">
        <f t="shared" ref="E1021:G1021" si="3060">ROUNDUP((XLOOKUP($D1021,$T$3:$T$10,$U$3:$U$10)*XLOOKUP(E$2,$AA$3:$AA$5,$AB$3:$AB$5)-ABS(XLOOKUP($C1021,$Q$3:$Q$16,$R$3:$R$16)))*$B1021,-5)</f>
        <v>27100000</v>
      </c>
      <c r="F1021" s="16">
        <f t="shared" si="3060"/>
        <v>48100000</v>
      </c>
      <c r="G1021" s="16">
        <f t="shared" si="3060"/>
        <v>52500000</v>
      </c>
      <c r="H1021" s="17">
        <f t="shared" ref="H1021:J1021" si="3061">roundup((XLOOKUP($D1021,$T$3:$T$10,$U$3:$U$10)*XLOOKUP(H$2,$AA$3:$AA$5,$AC$3:$AC$5)-ABS(XLOOKUP($C1021,$Q$3:$Q$16,$R$3:$R$16)))*$B1021,-5)</f>
        <v>22400000</v>
      </c>
      <c r="I1021" s="17">
        <f t="shared" si="3061"/>
        <v>59600000</v>
      </c>
      <c r="J1021" s="17">
        <f t="shared" si="3061"/>
        <v>64700000</v>
      </c>
      <c r="K1021" s="17">
        <f t="shared" ref="K1021:M1021" si="3062">roundup((XLOOKUP($D1021,$T$3:$T$10,$U$3:$U$10)*XLOOKUP(K$2,$AA$3:$AA$5,$AD$3:$AD$5)-ABS(XLOOKUP($C1021,$Q$3:$Q$16,$R$3:$R$16)))*$B1021,-5)</f>
        <v>26500000</v>
      </c>
      <c r="L1021" s="17">
        <f t="shared" si="3062"/>
        <v>67300000</v>
      </c>
      <c r="M1021" s="17">
        <f t="shared" si="3062"/>
        <v>72900000</v>
      </c>
    </row>
    <row r="1022">
      <c r="A1022" s="14" t="s">
        <v>1065</v>
      </c>
      <c r="B1022" s="14">
        <v>126.0</v>
      </c>
      <c r="C1022" s="15">
        <f t="shared" si="4"/>
        <v>11</v>
      </c>
      <c r="D1022" s="14" t="s">
        <v>33</v>
      </c>
      <c r="E1022" s="16">
        <f t="shared" ref="E1022:G1022" si="3063">ROUNDUP((XLOOKUP($D1022,$T$3:$T$10,$U$3:$U$10)*XLOOKUP(E$2,$AA$3:$AA$5,$AB$3:$AB$5)-ABS(XLOOKUP($C1022,$Q$3:$Q$16,$R$3:$R$16)))*$B1022,-5)</f>
        <v>27400000</v>
      </c>
      <c r="F1022" s="16">
        <f t="shared" si="3063"/>
        <v>48500000</v>
      </c>
      <c r="G1022" s="16">
        <f t="shared" si="3063"/>
        <v>52900000</v>
      </c>
      <c r="H1022" s="17">
        <f t="shared" ref="H1022:J1022" si="3064">roundup((XLOOKUP($D1022,$T$3:$T$10,$U$3:$U$10)*XLOOKUP(H$2,$AA$3:$AA$5,$AC$3:$AC$5)-ABS(XLOOKUP($C1022,$Q$3:$Q$16,$R$3:$R$16)))*$B1022,-5)</f>
        <v>22500000</v>
      </c>
      <c r="I1022" s="17">
        <f t="shared" si="3064"/>
        <v>60100000</v>
      </c>
      <c r="J1022" s="17">
        <f t="shared" si="3064"/>
        <v>65200000</v>
      </c>
      <c r="K1022" s="17">
        <f t="shared" ref="K1022:M1022" si="3065">roundup((XLOOKUP($D1022,$T$3:$T$10,$U$3:$U$10)*XLOOKUP(K$2,$AA$3:$AA$5,$AD$3:$AD$5)-ABS(XLOOKUP($C1022,$Q$3:$Q$16,$R$3:$R$16)))*$B1022,-5)</f>
        <v>26700000</v>
      </c>
      <c r="L1022" s="17">
        <f t="shared" si="3065"/>
        <v>67900000</v>
      </c>
      <c r="M1022" s="17">
        <f t="shared" si="3065"/>
        <v>73500000</v>
      </c>
    </row>
    <row r="1023">
      <c r="A1023" s="14" t="s">
        <v>1066</v>
      </c>
      <c r="B1023" s="14">
        <v>132.0</v>
      </c>
      <c r="C1023" s="15">
        <f t="shared" si="4"/>
        <v>11</v>
      </c>
      <c r="D1023" s="14" t="s">
        <v>33</v>
      </c>
      <c r="E1023" s="16">
        <f t="shared" ref="E1023:G1023" si="3066">ROUNDUP((XLOOKUP($D1023,$T$3:$T$10,$U$3:$U$10)*XLOOKUP(E$2,$AA$3:$AA$5,$AB$3:$AB$5)-ABS(XLOOKUP($C1023,$Q$3:$Q$16,$R$3:$R$16)))*$B1023,-5)</f>
        <v>28700000</v>
      </c>
      <c r="F1023" s="16">
        <f t="shared" si="3066"/>
        <v>50800000</v>
      </c>
      <c r="G1023" s="16">
        <f t="shared" si="3066"/>
        <v>55400000</v>
      </c>
      <c r="H1023" s="17">
        <f t="shared" ref="H1023:J1023" si="3067">roundup((XLOOKUP($D1023,$T$3:$T$10,$U$3:$U$10)*XLOOKUP(H$2,$AA$3:$AA$5,$AC$3:$AC$5)-ABS(XLOOKUP($C1023,$Q$3:$Q$16,$R$3:$R$16)))*$B1023,-5)</f>
        <v>23600000</v>
      </c>
      <c r="I1023" s="17">
        <f t="shared" si="3067"/>
        <v>62900000</v>
      </c>
      <c r="J1023" s="17">
        <f t="shared" si="3067"/>
        <v>68300000</v>
      </c>
      <c r="K1023" s="17">
        <f t="shared" ref="K1023:M1023" si="3068">roundup((XLOOKUP($D1023,$T$3:$T$10,$U$3:$U$10)*XLOOKUP(K$2,$AA$3:$AA$5,$AD$3:$AD$5)-ABS(XLOOKUP($C1023,$Q$3:$Q$16,$R$3:$R$16)))*$B1023,-5)</f>
        <v>28000000</v>
      </c>
      <c r="L1023" s="17">
        <f t="shared" si="3068"/>
        <v>71100000</v>
      </c>
      <c r="M1023" s="17">
        <f t="shared" si="3068"/>
        <v>77000000</v>
      </c>
    </row>
    <row r="1024">
      <c r="A1024" s="14" t="s">
        <v>1067</v>
      </c>
      <c r="B1024" s="14">
        <v>118.0</v>
      </c>
      <c r="C1024" s="15">
        <f t="shared" si="4"/>
        <v>11</v>
      </c>
      <c r="D1024" s="14" t="s">
        <v>33</v>
      </c>
      <c r="E1024" s="16">
        <f t="shared" ref="E1024:G1024" si="3069">ROUNDUP((XLOOKUP($D1024,$T$3:$T$10,$U$3:$U$10)*XLOOKUP(E$2,$AA$3:$AA$5,$AB$3:$AB$5)-ABS(XLOOKUP($C1024,$Q$3:$Q$16,$R$3:$R$16)))*$B1024,-5)</f>
        <v>25600000</v>
      </c>
      <c r="F1024" s="16">
        <f t="shared" si="3069"/>
        <v>45400000</v>
      </c>
      <c r="G1024" s="16">
        <f t="shared" si="3069"/>
        <v>49600000</v>
      </c>
      <c r="H1024" s="17">
        <f t="shared" ref="H1024:J1024" si="3070">roundup((XLOOKUP($D1024,$T$3:$T$10,$U$3:$U$10)*XLOOKUP(H$2,$AA$3:$AA$5,$AC$3:$AC$5)-ABS(XLOOKUP($C1024,$Q$3:$Q$16,$R$3:$R$16)))*$B1024,-5)</f>
        <v>21100000</v>
      </c>
      <c r="I1024" s="17">
        <f t="shared" si="3070"/>
        <v>56300000</v>
      </c>
      <c r="J1024" s="17">
        <f t="shared" si="3070"/>
        <v>61000000</v>
      </c>
      <c r="K1024" s="17">
        <f t="shared" ref="K1024:M1024" si="3071">roundup((XLOOKUP($D1024,$T$3:$T$10,$U$3:$U$10)*XLOOKUP(K$2,$AA$3:$AA$5,$AD$3:$AD$5)-ABS(XLOOKUP($C1024,$Q$3:$Q$16,$R$3:$R$16)))*$B1024,-5)</f>
        <v>25000000</v>
      </c>
      <c r="L1024" s="17">
        <f t="shared" si="3071"/>
        <v>63600000</v>
      </c>
      <c r="M1024" s="17">
        <f t="shared" si="3071"/>
        <v>68800000</v>
      </c>
    </row>
    <row r="1025">
      <c r="A1025" s="14" t="s">
        <v>1068</v>
      </c>
      <c r="B1025" s="14">
        <v>126.0</v>
      </c>
      <c r="C1025" s="15">
        <f t="shared" si="4"/>
        <v>11</v>
      </c>
      <c r="D1025" s="14" t="s">
        <v>33</v>
      </c>
      <c r="E1025" s="16">
        <f t="shared" ref="E1025:G1025" si="3072">ROUNDUP((XLOOKUP($D1025,$T$3:$T$10,$U$3:$U$10)*XLOOKUP(E$2,$AA$3:$AA$5,$AB$3:$AB$5)-ABS(XLOOKUP($C1025,$Q$3:$Q$16,$R$3:$R$16)))*$B1025,-5)</f>
        <v>27400000</v>
      </c>
      <c r="F1025" s="16">
        <f t="shared" si="3072"/>
        <v>48500000</v>
      </c>
      <c r="G1025" s="16">
        <f t="shared" si="3072"/>
        <v>52900000</v>
      </c>
      <c r="H1025" s="17">
        <f t="shared" ref="H1025:J1025" si="3073">roundup((XLOOKUP($D1025,$T$3:$T$10,$U$3:$U$10)*XLOOKUP(H$2,$AA$3:$AA$5,$AC$3:$AC$5)-ABS(XLOOKUP($C1025,$Q$3:$Q$16,$R$3:$R$16)))*$B1025,-5)</f>
        <v>22500000</v>
      </c>
      <c r="I1025" s="17">
        <f t="shared" si="3073"/>
        <v>60100000</v>
      </c>
      <c r="J1025" s="17">
        <f t="shared" si="3073"/>
        <v>65200000</v>
      </c>
      <c r="K1025" s="17">
        <f t="shared" ref="K1025:M1025" si="3074">roundup((XLOOKUP($D1025,$T$3:$T$10,$U$3:$U$10)*XLOOKUP(K$2,$AA$3:$AA$5,$AD$3:$AD$5)-ABS(XLOOKUP($C1025,$Q$3:$Q$16,$R$3:$R$16)))*$B1025,-5)</f>
        <v>26700000</v>
      </c>
      <c r="L1025" s="17">
        <f t="shared" si="3074"/>
        <v>67900000</v>
      </c>
      <c r="M1025" s="17">
        <f t="shared" si="3074"/>
        <v>73500000</v>
      </c>
    </row>
    <row r="1026">
      <c r="A1026" s="14" t="s">
        <v>1069</v>
      </c>
      <c r="B1026" s="14">
        <v>107.0</v>
      </c>
      <c r="C1026" s="15">
        <f t="shared" si="4"/>
        <v>11</v>
      </c>
      <c r="D1026" s="14" t="s">
        <v>33</v>
      </c>
      <c r="E1026" s="16">
        <f t="shared" ref="E1026:G1026" si="3075">ROUNDUP((XLOOKUP($D1026,$T$3:$T$10,$U$3:$U$10)*XLOOKUP(E$2,$AA$3:$AA$5,$AB$3:$AB$5)-ABS(XLOOKUP($C1026,$Q$3:$Q$16,$R$3:$R$16)))*$B1026,-5)</f>
        <v>23200000</v>
      </c>
      <c r="F1026" s="16">
        <f t="shared" si="3075"/>
        <v>41200000</v>
      </c>
      <c r="G1026" s="16">
        <f t="shared" si="3075"/>
        <v>44900000</v>
      </c>
      <c r="H1026" s="17">
        <f t="shared" ref="H1026:J1026" si="3076">roundup((XLOOKUP($D1026,$T$3:$T$10,$U$3:$U$10)*XLOOKUP(H$2,$AA$3:$AA$5,$AC$3:$AC$5)-ABS(XLOOKUP($C1026,$Q$3:$Q$16,$R$3:$R$16)))*$B1026,-5)</f>
        <v>19100000</v>
      </c>
      <c r="I1026" s="17">
        <f t="shared" si="3076"/>
        <v>51000000</v>
      </c>
      <c r="J1026" s="17">
        <f t="shared" si="3076"/>
        <v>55400000</v>
      </c>
      <c r="K1026" s="17">
        <f t="shared" ref="K1026:M1026" si="3077">roundup((XLOOKUP($D1026,$T$3:$T$10,$U$3:$U$10)*XLOOKUP(K$2,$AA$3:$AA$5,$AD$3:$AD$5)-ABS(XLOOKUP($C1026,$Q$3:$Q$16,$R$3:$R$16)))*$B1026,-5)</f>
        <v>22700000</v>
      </c>
      <c r="L1026" s="17">
        <f t="shared" si="3077"/>
        <v>57600000</v>
      </c>
      <c r="M1026" s="17">
        <f t="shared" si="3077"/>
        <v>62400000</v>
      </c>
    </row>
    <row r="1027">
      <c r="A1027" s="14" t="s">
        <v>1070</v>
      </c>
      <c r="B1027" s="14">
        <v>169.0</v>
      </c>
      <c r="C1027" s="15">
        <f t="shared" si="4"/>
        <v>12</v>
      </c>
      <c r="D1027" s="14" t="s">
        <v>36</v>
      </c>
      <c r="E1027" s="16">
        <f t="shared" ref="E1027:G1027" si="3078">ROUNDUP((XLOOKUP($D1027,$T$3:$T$10,$U$3:$U$10)*XLOOKUP(E$2,$AA$3:$AA$5,$AB$3:$AB$5)-ABS(XLOOKUP($C1027,$Q$3:$Q$16,$R$3:$R$16)))*$B1027,-5)</f>
        <v>43500000</v>
      </c>
      <c r="F1027" s="16">
        <f t="shared" si="3078"/>
        <v>75300000</v>
      </c>
      <c r="G1027" s="16">
        <f t="shared" si="3078"/>
        <v>81900000</v>
      </c>
      <c r="H1027" s="17">
        <f t="shared" ref="H1027:J1027" si="3079">roundup((XLOOKUP($D1027,$T$3:$T$10,$U$3:$U$10)*XLOOKUP(H$2,$AA$3:$AA$5,$AC$3:$AC$5)-ABS(XLOOKUP($C1027,$Q$3:$Q$16,$R$3:$R$16)))*$B1027,-5)</f>
        <v>36300000</v>
      </c>
      <c r="I1027" s="17">
        <f t="shared" si="3079"/>
        <v>92700000</v>
      </c>
      <c r="J1027" s="17">
        <f t="shared" si="3079"/>
        <v>100400000</v>
      </c>
      <c r="K1027" s="17">
        <f t="shared" ref="K1027:M1027" si="3080">roundup((XLOOKUP($D1027,$T$3:$T$10,$U$3:$U$10)*XLOOKUP(K$2,$AA$3:$AA$5,$AD$3:$AD$5)-ABS(XLOOKUP($C1027,$Q$3:$Q$16,$R$3:$R$16)))*$B1027,-5)</f>
        <v>42500000</v>
      </c>
      <c r="L1027" s="17">
        <f t="shared" si="3080"/>
        <v>104400000</v>
      </c>
      <c r="M1027" s="17">
        <f t="shared" si="3080"/>
        <v>112900000</v>
      </c>
    </row>
    <row r="1028">
      <c r="A1028" s="14" t="s">
        <v>1071</v>
      </c>
      <c r="B1028" s="14">
        <v>174.0</v>
      </c>
      <c r="C1028" s="15">
        <f t="shared" si="4"/>
        <v>12</v>
      </c>
      <c r="D1028" s="14" t="s">
        <v>36</v>
      </c>
      <c r="E1028" s="16">
        <f t="shared" ref="E1028:G1028" si="3081">ROUNDUP((XLOOKUP($D1028,$T$3:$T$10,$U$3:$U$10)*XLOOKUP(E$2,$AA$3:$AA$5,$AB$3:$AB$5)-ABS(XLOOKUP($C1028,$Q$3:$Q$16,$R$3:$R$16)))*$B1028,-5)</f>
        <v>44800000</v>
      </c>
      <c r="F1028" s="16">
        <f t="shared" si="3081"/>
        <v>77600000</v>
      </c>
      <c r="G1028" s="16">
        <f t="shared" si="3081"/>
        <v>84400000</v>
      </c>
      <c r="H1028" s="17">
        <f t="shared" ref="H1028:J1028" si="3082">roundup((XLOOKUP($D1028,$T$3:$T$10,$U$3:$U$10)*XLOOKUP(H$2,$AA$3:$AA$5,$AC$3:$AC$5)-ABS(XLOOKUP($C1028,$Q$3:$Q$16,$R$3:$R$16)))*$B1028,-5)</f>
        <v>37300000</v>
      </c>
      <c r="I1028" s="17">
        <f t="shared" si="3082"/>
        <v>95400000</v>
      </c>
      <c r="J1028" s="17">
        <f t="shared" si="3082"/>
        <v>103300000</v>
      </c>
      <c r="K1028" s="17">
        <f t="shared" ref="K1028:M1028" si="3083">roundup((XLOOKUP($D1028,$T$3:$T$10,$U$3:$U$10)*XLOOKUP(K$2,$AA$3:$AA$5,$AD$3:$AD$5)-ABS(XLOOKUP($C1028,$Q$3:$Q$16,$R$3:$R$16)))*$B1028,-5)</f>
        <v>43800000</v>
      </c>
      <c r="L1028" s="17">
        <f t="shared" si="3083"/>
        <v>107500000</v>
      </c>
      <c r="M1028" s="17">
        <f t="shared" si="3083"/>
        <v>116200000</v>
      </c>
    </row>
    <row r="1029">
      <c r="A1029" s="14" t="s">
        <v>1072</v>
      </c>
      <c r="B1029" s="14">
        <v>177.0</v>
      </c>
      <c r="C1029" s="15">
        <f t="shared" si="4"/>
        <v>12</v>
      </c>
      <c r="D1029" s="14" t="s">
        <v>36</v>
      </c>
      <c r="E1029" s="16">
        <f t="shared" ref="E1029:G1029" si="3084">ROUNDUP((XLOOKUP($D1029,$T$3:$T$10,$U$3:$U$10)*XLOOKUP(E$2,$AA$3:$AA$5,$AB$3:$AB$5)-ABS(XLOOKUP($C1029,$Q$3:$Q$16,$R$3:$R$16)))*$B1029,-5)</f>
        <v>45600000</v>
      </c>
      <c r="F1029" s="16">
        <f t="shared" si="3084"/>
        <v>78900000</v>
      </c>
      <c r="G1029" s="16">
        <f t="shared" si="3084"/>
        <v>85800000</v>
      </c>
      <c r="H1029" s="17">
        <f t="shared" ref="H1029:J1029" si="3085">roundup((XLOOKUP($D1029,$T$3:$T$10,$U$3:$U$10)*XLOOKUP(H$2,$AA$3:$AA$5,$AC$3:$AC$5)-ABS(XLOOKUP($C1029,$Q$3:$Q$16,$R$3:$R$16)))*$B1029,-5)</f>
        <v>38000000</v>
      </c>
      <c r="I1029" s="17">
        <f t="shared" si="3085"/>
        <v>97100000</v>
      </c>
      <c r="J1029" s="17">
        <f t="shared" si="3085"/>
        <v>105100000</v>
      </c>
      <c r="K1029" s="17">
        <f t="shared" ref="K1029:M1029" si="3086">roundup((XLOOKUP($D1029,$T$3:$T$10,$U$3:$U$10)*XLOOKUP(K$2,$AA$3:$AA$5,$AD$3:$AD$5)-ABS(XLOOKUP($C1029,$Q$3:$Q$16,$R$3:$R$16)))*$B1029,-5)</f>
        <v>44500000</v>
      </c>
      <c r="L1029" s="17">
        <f t="shared" si="3086"/>
        <v>109400000</v>
      </c>
      <c r="M1029" s="17">
        <f t="shared" si="3086"/>
        <v>118200000</v>
      </c>
    </row>
    <row r="1030">
      <c r="A1030" s="14" t="s">
        <v>1073</v>
      </c>
      <c r="B1030" s="14">
        <v>240.0</v>
      </c>
      <c r="C1030" s="15">
        <f t="shared" si="4"/>
        <v>14</v>
      </c>
      <c r="D1030" s="14" t="s">
        <v>36</v>
      </c>
      <c r="E1030" s="16">
        <f t="shared" ref="E1030:G1030" si="3087">ROUNDUP((XLOOKUP($D1030,$T$3:$T$10,$U$3:$U$10)*XLOOKUP(E$2,$AA$3:$AA$5,$AB$3:$AB$5)-ABS(XLOOKUP($C1030,$Q$3:$Q$16,$R$3:$R$16)))*$B1030,-5)</f>
        <v>56000000</v>
      </c>
      <c r="F1030" s="16">
        <f t="shared" si="3087"/>
        <v>101200000</v>
      </c>
      <c r="G1030" s="16">
        <f t="shared" si="3087"/>
        <v>110600000</v>
      </c>
      <c r="H1030" s="17">
        <f t="shared" ref="H1030:J1030" si="3088">roundup((XLOOKUP($D1030,$T$3:$T$10,$U$3:$U$10)*XLOOKUP(H$2,$AA$3:$AA$5,$AC$3:$AC$5)-ABS(XLOOKUP($C1030,$Q$3:$Q$16,$R$3:$R$16)))*$B1030,-5)</f>
        <v>45700000</v>
      </c>
      <c r="I1030" s="17">
        <f t="shared" si="3088"/>
        <v>125800000</v>
      </c>
      <c r="J1030" s="17">
        <f t="shared" si="3088"/>
        <v>136800000</v>
      </c>
      <c r="K1030" s="17">
        <f t="shared" ref="K1030:M1030" si="3089">roundup((XLOOKUP($D1030,$T$3:$T$10,$U$3:$U$10)*XLOOKUP(K$2,$AA$3:$AA$5,$AD$3:$AD$5)-ABS(XLOOKUP($C1030,$Q$3:$Q$16,$R$3:$R$16)))*$B1030,-5)</f>
        <v>54600000</v>
      </c>
      <c r="L1030" s="17">
        <f t="shared" si="3089"/>
        <v>142500000</v>
      </c>
      <c r="M1030" s="17">
        <f t="shared" si="3089"/>
        <v>154500000</v>
      </c>
    </row>
    <row r="1031">
      <c r="A1031" s="14" t="s">
        <v>1074</v>
      </c>
      <c r="B1031" s="14">
        <v>163.0</v>
      </c>
      <c r="C1031" s="15">
        <f t="shared" si="4"/>
        <v>12</v>
      </c>
      <c r="D1031" s="14" t="s">
        <v>36</v>
      </c>
      <c r="E1031" s="16">
        <f t="shared" ref="E1031:G1031" si="3090">ROUNDUP((XLOOKUP($D1031,$T$3:$T$10,$U$3:$U$10)*XLOOKUP(E$2,$AA$3:$AA$5,$AB$3:$AB$5)-ABS(XLOOKUP($C1031,$Q$3:$Q$16,$R$3:$R$16)))*$B1031,-5)</f>
        <v>42000000</v>
      </c>
      <c r="F1031" s="16">
        <f t="shared" si="3090"/>
        <v>72700000</v>
      </c>
      <c r="G1031" s="16">
        <f t="shared" si="3090"/>
        <v>79000000</v>
      </c>
      <c r="H1031" s="17">
        <f t="shared" ref="H1031:J1031" si="3091">roundup((XLOOKUP($D1031,$T$3:$T$10,$U$3:$U$10)*XLOOKUP(H$2,$AA$3:$AA$5,$AC$3:$AC$5)-ABS(XLOOKUP($C1031,$Q$3:$Q$16,$R$3:$R$16)))*$B1031,-5)</f>
        <v>35000000</v>
      </c>
      <c r="I1031" s="17">
        <f t="shared" si="3091"/>
        <v>89400000</v>
      </c>
      <c r="J1031" s="17">
        <f t="shared" si="3091"/>
        <v>96800000</v>
      </c>
      <c r="K1031" s="17">
        <f t="shared" ref="K1031:M1031" si="3092">roundup((XLOOKUP($D1031,$T$3:$T$10,$U$3:$U$10)*XLOOKUP(K$2,$AA$3:$AA$5,$AD$3:$AD$5)-ABS(XLOOKUP($C1031,$Q$3:$Q$16,$R$3:$R$16)))*$B1031,-5)</f>
        <v>41000000</v>
      </c>
      <c r="L1031" s="17">
        <f t="shared" si="3092"/>
        <v>100700000</v>
      </c>
      <c r="M1031" s="17">
        <f t="shared" si="3092"/>
        <v>108900000</v>
      </c>
    </row>
    <row r="1032">
      <c r="A1032" s="14" t="s">
        <v>1075</v>
      </c>
      <c r="B1032" s="14">
        <v>140.0</v>
      </c>
      <c r="C1032" s="15">
        <f t="shared" si="4"/>
        <v>11</v>
      </c>
      <c r="D1032" s="14" t="s">
        <v>36</v>
      </c>
      <c r="E1032" s="16">
        <f t="shared" ref="E1032:G1032" si="3093">ROUNDUP((XLOOKUP($D1032,$T$3:$T$10,$U$3:$U$10)*XLOOKUP(E$2,$AA$3:$AA$5,$AB$3:$AB$5)-ABS(XLOOKUP($C1032,$Q$3:$Q$16,$R$3:$R$16)))*$B1032,-5)</f>
        <v>36800000</v>
      </c>
      <c r="F1032" s="16">
        <f t="shared" si="3093"/>
        <v>63100000</v>
      </c>
      <c r="G1032" s="16">
        <f t="shared" si="3093"/>
        <v>68600000</v>
      </c>
      <c r="H1032" s="17">
        <f t="shared" ref="H1032:J1032" si="3094">roundup((XLOOKUP($D1032,$T$3:$T$10,$U$3:$U$10)*XLOOKUP(H$2,$AA$3:$AA$5,$AC$3:$AC$5)-ABS(XLOOKUP($C1032,$Q$3:$Q$16,$R$3:$R$16)))*$B1032,-5)</f>
        <v>30800000</v>
      </c>
      <c r="I1032" s="17">
        <f t="shared" si="3094"/>
        <v>77500000</v>
      </c>
      <c r="J1032" s="17">
        <f t="shared" si="3094"/>
        <v>83900000</v>
      </c>
      <c r="K1032" s="17">
        <f t="shared" ref="K1032:M1032" si="3095">roundup((XLOOKUP($D1032,$T$3:$T$10,$U$3:$U$10)*XLOOKUP(K$2,$AA$3:$AA$5,$AD$3:$AD$5)-ABS(XLOOKUP($C1032,$Q$3:$Q$16,$R$3:$R$16)))*$B1032,-5)</f>
        <v>35900000</v>
      </c>
      <c r="L1032" s="17">
        <f t="shared" si="3095"/>
        <v>87200000</v>
      </c>
      <c r="M1032" s="17">
        <f t="shared" si="3095"/>
        <v>94200000</v>
      </c>
    </row>
    <row r="1033">
      <c r="A1033" s="14" t="s">
        <v>1076</v>
      </c>
      <c r="B1033" s="14">
        <v>140.0</v>
      </c>
      <c r="C1033" s="15">
        <f t="shared" si="4"/>
        <v>11</v>
      </c>
      <c r="D1033" s="14" t="s">
        <v>36</v>
      </c>
      <c r="E1033" s="16">
        <f t="shared" ref="E1033:G1033" si="3096">ROUNDUP((XLOOKUP($D1033,$T$3:$T$10,$U$3:$U$10)*XLOOKUP(E$2,$AA$3:$AA$5,$AB$3:$AB$5)-ABS(XLOOKUP($C1033,$Q$3:$Q$16,$R$3:$R$16)))*$B1033,-5)</f>
        <v>36800000</v>
      </c>
      <c r="F1033" s="16">
        <f t="shared" si="3096"/>
        <v>63100000</v>
      </c>
      <c r="G1033" s="16">
        <f t="shared" si="3096"/>
        <v>68600000</v>
      </c>
      <c r="H1033" s="17">
        <f t="shared" ref="H1033:J1033" si="3097">roundup((XLOOKUP($D1033,$T$3:$T$10,$U$3:$U$10)*XLOOKUP(H$2,$AA$3:$AA$5,$AC$3:$AC$5)-ABS(XLOOKUP($C1033,$Q$3:$Q$16,$R$3:$R$16)))*$B1033,-5)</f>
        <v>30800000</v>
      </c>
      <c r="I1033" s="17">
        <f t="shared" si="3097"/>
        <v>77500000</v>
      </c>
      <c r="J1033" s="17">
        <f t="shared" si="3097"/>
        <v>83900000</v>
      </c>
      <c r="K1033" s="17">
        <f t="shared" ref="K1033:M1033" si="3098">roundup((XLOOKUP($D1033,$T$3:$T$10,$U$3:$U$10)*XLOOKUP(K$2,$AA$3:$AA$5,$AD$3:$AD$5)-ABS(XLOOKUP($C1033,$Q$3:$Q$16,$R$3:$R$16)))*$B1033,-5)</f>
        <v>35900000</v>
      </c>
      <c r="L1033" s="17">
        <f t="shared" si="3098"/>
        <v>87200000</v>
      </c>
      <c r="M1033" s="17">
        <f t="shared" si="3098"/>
        <v>94200000</v>
      </c>
    </row>
    <row r="1034">
      <c r="A1034" s="14" t="s">
        <v>1077</v>
      </c>
      <c r="B1034" s="14">
        <v>225.0</v>
      </c>
      <c r="C1034" s="15">
        <f t="shared" si="4"/>
        <v>14</v>
      </c>
      <c r="D1034" s="14" t="s">
        <v>36</v>
      </c>
      <c r="E1034" s="16">
        <f t="shared" ref="E1034:G1034" si="3099">ROUNDUP((XLOOKUP($D1034,$T$3:$T$10,$U$3:$U$10)*XLOOKUP(E$2,$AA$3:$AA$5,$AB$3:$AB$5)-ABS(XLOOKUP($C1034,$Q$3:$Q$16,$R$3:$R$16)))*$B1034,-5)</f>
        <v>52500000</v>
      </c>
      <c r="F1034" s="16">
        <f t="shared" si="3099"/>
        <v>94900000</v>
      </c>
      <c r="G1034" s="16">
        <f t="shared" si="3099"/>
        <v>103700000</v>
      </c>
      <c r="H1034" s="17">
        <f t="shared" ref="H1034:J1034" si="3100">roundup((XLOOKUP($D1034,$T$3:$T$10,$U$3:$U$10)*XLOOKUP(H$2,$AA$3:$AA$5,$AC$3:$AC$5)-ABS(XLOOKUP($C1034,$Q$3:$Q$16,$R$3:$R$16)))*$B1034,-5)</f>
        <v>42900000</v>
      </c>
      <c r="I1034" s="17">
        <f t="shared" si="3100"/>
        <v>118000000</v>
      </c>
      <c r="J1034" s="17">
        <f t="shared" si="3100"/>
        <v>128200000</v>
      </c>
      <c r="K1034" s="17">
        <f t="shared" ref="K1034:M1034" si="3101">roundup((XLOOKUP($D1034,$T$3:$T$10,$U$3:$U$10)*XLOOKUP(K$2,$AA$3:$AA$5,$AD$3:$AD$5)-ABS(XLOOKUP($C1034,$Q$3:$Q$16,$R$3:$R$16)))*$B1034,-5)</f>
        <v>51200000</v>
      </c>
      <c r="L1034" s="17">
        <f t="shared" si="3101"/>
        <v>133600000</v>
      </c>
      <c r="M1034" s="17">
        <f t="shared" si="3101"/>
        <v>144900000</v>
      </c>
    </row>
    <row r="1035">
      <c r="A1035" s="14" t="s">
        <v>1078</v>
      </c>
      <c r="B1035" s="14">
        <v>157.0</v>
      </c>
      <c r="C1035" s="15">
        <f t="shared" si="4"/>
        <v>11</v>
      </c>
      <c r="D1035" s="14" t="s">
        <v>36</v>
      </c>
      <c r="E1035" s="16">
        <f t="shared" ref="E1035:G1035" si="3102">ROUNDUP((XLOOKUP($D1035,$T$3:$T$10,$U$3:$U$10)*XLOOKUP(E$2,$AA$3:$AA$5,$AB$3:$AB$5)-ABS(XLOOKUP($C1035,$Q$3:$Q$16,$R$3:$R$16)))*$B1035,-5)</f>
        <v>41200000</v>
      </c>
      <c r="F1035" s="16">
        <f t="shared" si="3102"/>
        <v>70800000</v>
      </c>
      <c r="G1035" s="16">
        <f t="shared" si="3102"/>
        <v>76900000</v>
      </c>
      <c r="H1035" s="17">
        <f t="shared" ref="H1035:J1035" si="3103">roundup((XLOOKUP($D1035,$T$3:$T$10,$U$3:$U$10)*XLOOKUP(H$2,$AA$3:$AA$5,$AC$3:$AC$5)-ABS(XLOOKUP($C1035,$Q$3:$Q$16,$R$3:$R$16)))*$B1035,-5)</f>
        <v>34500000</v>
      </c>
      <c r="I1035" s="17">
        <f t="shared" si="3103"/>
        <v>86900000</v>
      </c>
      <c r="J1035" s="17">
        <f t="shared" si="3103"/>
        <v>94000000</v>
      </c>
      <c r="K1035" s="17">
        <f t="shared" ref="K1035:M1035" si="3104">roundup((XLOOKUP($D1035,$T$3:$T$10,$U$3:$U$10)*XLOOKUP(K$2,$AA$3:$AA$5,$AD$3:$AD$5)-ABS(XLOOKUP($C1035,$Q$3:$Q$16,$R$3:$R$16)))*$B1035,-5)</f>
        <v>40300000</v>
      </c>
      <c r="L1035" s="17">
        <f t="shared" si="3104"/>
        <v>97800000</v>
      </c>
      <c r="M1035" s="17">
        <f t="shared" si="3104"/>
        <v>105700000</v>
      </c>
    </row>
    <row r="1036">
      <c r="A1036" s="14" t="s">
        <v>1079</v>
      </c>
      <c r="B1036" s="14">
        <v>191.0</v>
      </c>
      <c r="C1036" s="15">
        <f t="shared" si="4"/>
        <v>13</v>
      </c>
      <c r="D1036" s="14" t="s">
        <v>36</v>
      </c>
      <c r="E1036" s="16">
        <f t="shared" ref="E1036:G1036" si="3105">ROUNDUP((XLOOKUP($D1036,$T$3:$T$10,$U$3:$U$10)*XLOOKUP(E$2,$AA$3:$AA$5,$AB$3:$AB$5)-ABS(XLOOKUP($C1036,$Q$3:$Q$16,$R$3:$R$16)))*$B1036,-5)</f>
        <v>46300000</v>
      </c>
      <c r="F1036" s="16">
        <f t="shared" si="3105"/>
        <v>82300000</v>
      </c>
      <c r="G1036" s="16">
        <f t="shared" si="3105"/>
        <v>89700000</v>
      </c>
      <c r="H1036" s="17">
        <f t="shared" ref="H1036:J1036" si="3106">roundup((XLOOKUP($D1036,$T$3:$T$10,$U$3:$U$10)*XLOOKUP(H$2,$AA$3:$AA$5,$AC$3:$AC$5)-ABS(XLOOKUP($C1036,$Q$3:$Q$16,$R$3:$R$16)))*$B1036,-5)</f>
        <v>38100000</v>
      </c>
      <c r="I1036" s="17">
        <f t="shared" si="3106"/>
        <v>101900000</v>
      </c>
      <c r="J1036" s="17">
        <f t="shared" si="3106"/>
        <v>110600000</v>
      </c>
      <c r="K1036" s="17">
        <f t="shared" ref="K1036:M1036" si="3107">roundup((XLOOKUP($D1036,$T$3:$T$10,$U$3:$U$10)*XLOOKUP(K$2,$AA$3:$AA$5,$AD$3:$AD$5)-ABS(XLOOKUP($C1036,$Q$3:$Q$16,$R$3:$R$16)))*$B1036,-5)</f>
        <v>45200000</v>
      </c>
      <c r="L1036" s="17">
        <f t="shared" si="3107"/>
        <v>115200000</v>
      </c>
      <c r="M1036" s="17">
        <f t="shared" si="3107"/>
        <v>124700000</v>
      </c>
    </row>
    <row r="1037">
      <c r="A1037" s="14" t="s">
        <v>1080</v>
      </c>
      <c r="B1037" s="14">
        <v>190.0</v>
      </c>
      <c r="C1037" s="15">
        <f t="shared" si="4"/>
        <v>13</v>
      </c>
      <c r="D1037" s="14" t="s">
        <v>36</v>
      </c>
      <c r="E1037" s="16">
        <f t="shared" ref="E1037:G1037" si="3108">ROUNDUP((XLOOKUP($D1037,$T$3:$T$10,$U$3:$U$10)*XLOOKUP(E$2,$AA$3:$AA$5,$AB$3:$AB$5)-ABS(XLOOKUP($C1037,$Q$3:$Q$16,$R$3:$R$16)))*$B1037,-5)</f>
        <v>46100000</v>
      </c>
      <c r="F1037" s="16">
        <f t="shared" si="3108"/>
        <v>81900000</v>
      </c>
      <c r="G1037" s="16">
        <f t="shared" si="3108"/>
        <v>89300000</v>
      </c>
      <c r="H1037" s="17">
        <f t="shared" ref="H1037:J1037" si="3109">roundup((XLOOKUP($D1037,$T$3:$T$10,$U$3:$U$10)*XLOOKUP(H$2,$AA$3:$AA$5,$AC$3:$AC$5)-ABS(XLOOKUP($C1037,$Q$3:$Q$16,$R$3:$R$16)))*$B1037,-5)</f>
        <v>37900000</v>
      </c>
      <c r="I1037" s="17">
        <f t="shared" si="3109"/>
        <v>101300000</v>
      </c>
      <c r="J1037" s="17">
        <f t="shared" si="3109"/>
        <v>110000000</v>
      </c>
      <c r="K1037" s="17">
        <f t="shared" ref="K1037:M1037" si="3110">roundup((XLOOKUP($D1037,$T$3:$T$10,$U$3:$U$10)*XLOOKUP(K$2,$AA$3:$AA$5,$AD$3:$AD$5)-ABS(XLOOKUP($C1037,$Q$3:$Q$16,$R$3:$R$16)))*$B1037,-5)</f>
        <v>45000000</v>
      </c>
      <c r="L1037" s="17">
        <f t="shared" si="3110"/>
        <v>114600000</v>
      </c>
      <c r="M1037" s="17">
        <f t="shared" si="3110"/>
        <v>124100000</v>
      </c>
    </row>
    <row r="1038">
      <c r="A1038" s="14" t="s">
        <v>1081</v>
      </c>
      <c r="B1038" s="14">
        <v>206.0</v>
      </c>
      <c r="C1038" s="15">
        <f t="shared" si="4"/>
        <v>13</v>
      </c>
      <c r="D1038" s="14" t="s">
        <v>33</v>
      </c>
      <c r="E1038" s="16">
        <f t="shared" ref="E1038:G1038" si="3111">ROUNDUP((XLOOKUP($D1038,$T$3:$T$10,$U$3:$U$10)*XLOOKUP(E$2,$AA$3:$AA$5,$AB$3:$AB$5)-ABS(XLOOKUP($C1038,$Q$3:$Q$16,$R$3:$R$16)))*$B1038,-5)</f>
        <v>40600000</v>
      </c>
      <c r="F1038" s="16">
        <f t="shared" si="3111"/>
        <v>75200000</v>
      </c>
      <c r="G1038" s="16">
        <f t="shared" si="3111"/>
        <v>82300000</v>
      </c>
      <c r="H1038" s="17">
        <f t="shared" ref="H1038:J1038" si="3112">roundup((XLOOKUP($D1038,$T$3:$T$10,$U$3:$U$10)*XLOOKUP(H$2,$AA$3:$AA$5,$AC$3:$AC$5)-ABS(XLOOKUP($C1038,$Q$3:$Q$16,$R$3:$R$16)))*$B1038,-5)</f>
        <v>32700000</v>
      </c>
      <c r="I1038" s="17">
        <f t="shared" si="3112"/>
        <v>94000000</v>
      </c>
      <c r="J1038" s="17">
        <f t="shared" si="3112"/>
        <v>102400000</v>
      </c>
      <c r="K1038" s="17">
        <f t="shared" ref="K1038:M1038" si="3113">roundup((XLOOKUP($D1038,$T$3:$T$10,$U$3:$U$10)*XLOOKUP(K$2,$AA$3:$AA$5,$AD$3:$AD$5)-ABS(XLOOKUP($C1038,$Q$3:$Q$16,$R$3:$R$16)))*$B1038,-5)</f>
        <v>39500000</v>
      </c>
      <c r="L1038" s="17">
        <f t="shared" si="3113"/>
        <v>106800000</v>
      </c>
      <c r="M1038" s="17">
        <f t="shared" si="3113"/>
        <v>116000000</v>
      </c>
    </row>
    <row r="1039">
      <c r="A1039" s="14" t="s">
        <v>1082</v>
      </c>
      <c r="B1039" s="14">
        <v>206.0</v>
      </c>
      <c r="C1039" s="15">
        <f t="shared" si="4"/>
        <v>13</v>
      </c>
      <c r="D1039" s="14" t="s">
        <v>33</v>
      </c>
      <c r="E1039" s="16">
        <f t="shared" ref="E1039:G1039" si="3114">ROUNDUP((XLOOKUP($D1039,$T$3:$T$10,$U$3:$U$10)*XLOOKUP(E$2,$AA$3:$AA$5,$AB$3:$AB$5)-ABS(XLOOKUP($C1039,$Q$3:$Q$16,$R$3:$R$16)))*$B1039,-5)</f>
        <v>40600000</v>
      </c>
      <c r="F1039" s="16">
        <f t="shared" si="3114"/>
        <v>75200000</v>
      </c>
      <c r="G1039" s="16">
        <f t="shared" si="3114"/>
        <v>82300000</v>
      </c>
      <c r="H1039" s="17">
        <f t="shared" ref="H1039:J1039" si="3115">roundup((XLOOKUP($D1039,$T$3:$T$10,$U$3:$U$10)*XLOOKUP(H$2,$AA$3:$AA$5,$AC$3:$AC$5)-ABS(XLOOKUP($C1039,$Q$3:$Q$16,$R$3:$R$16)))*$B1039,-5)</f>
        <v>32700000</v>
      </c>
      <c r="I1039" s="17">
        <f t="shared" si="3115"/>
        <v>94000000</v>
      </c>
      <c r="J1039" s="17">
        <f t="shared" si="3115"/>
        <v>102400000</v>
      </c>
      <c r="K1039" s="17">
        <f t="shared" ref="K1039:M1039" si="3116">roundup((XLOOKUP($D1039,$T$3:$T$10,$U$3:$U$10)*XLOOKUP(K$2,$AA$3:$AA$5,$AD$3:$AD$5)-ABS(XLOOKUP($C1039,$Q$3:$Q$16,$R$3:$R$16)))*$B1039,-5)</f>
        <v>39500000</v>
      </c>
      <c r="L1039" s="17">
        <f t="shared" si="3116"/>
        <v>106800000</v>
      </c>
      <c r="M1039" s="17">
        <f t="shared" si="3116"/>
        <v>116000000</v>
      </c>
    </row>
    <row r="1040">
      <c r="A1040" s="14" t="s">
        <v>1083</v>
      </c>
      <c r="B1040" s="14">
        <v>206.0</v>
      </c>
      <c r="C1040" s="15">
        <f t="shared" si="4"/>
        <v>13</v>
      </c>
      <c r="D1040" s="14" t="s">
        <v>33</v>
      </c>
      <c r="E1040" s="16">
        <f t="shared" ref="E1040:G1040" si="3117">ROUNDUP((XLOOKUP($D1040,$T$3:$T$10,$U$3:$U$10)*XLOOKUP(E$2,$AA$3:$AA$5,$AB$3:$AB$5)-ABS(XLOOKUP($C1040,$Q$3:$Q$16,$R$3:$R$16)))*$B1040,-5)</f>
        <v>40600000</v>
      </c>
      <c r="F1040" s="16">
        <f t="shared" si="3117"/>
        <v>75200000</v>
      </c>
      <c r="G1040" s="16">
        <f t="shared" si="3117"/>
        <v>82300000</v>
      </c>
      <c r="H1040" s="17">
        <f t="shared" ref="H1040:J1040" si="3118">roundup((XLOOKUP($D1040,$T$3:$T$10,$U$3:$U$10)*XLOOKUP(H$2,$AA$3:$AA$5,$AC$3:$AC$5)-ABS(XLOOKUP($C1040,$Q$3:$Q$16,$R$3:$R$16)))*$B1040,-5)</f>
        <v>32700000</v>
      </c>
      <c r="I1040" s="17">
        <f t="shared" si="3118"/>
        <v>94000000</v>
      </c>
      <c r="J1040" s="17">
        <f t="shared" si="3118"/>
        <v>102400000</v>
      </c>
      <c r="K1040" s="17">
        <f t="shared" ref="K1040:M1040" si="3119">roundup((XLOOKUP($D1040,$T$3:$T$10,$U$3:$U$10)*XLOOKUP(K$2,$AA$3:$AA$5,$AD$3:$AD$5)-ABS(XLOOKUP($C1040,$Q$3:$Q$16,$R$3:$R$16)))*$B1040,-5)</f>
        <v>39500000</v>
      </c>
      <c r="L1040" s="17">
        <f t="shared" si="3119"/>
        <v>106800000</v>
      </c>
      <c r="M1040" s="17">
        <f t="shared" si="3119"/>
        <v>116000000</v>
      </c>
    </row>
    <row r="1041">
      <c r="A1041" s="14" t="s">
        <v>1084</v>
      </c>
      <c r="B1041" s="14">
        <v>194.0</v>
      </c>
      <c r="C1041" s="15">
        <f t="shared" si="4"/>
        <v>13</v>
      </c>
      <c r="D1041" s="14" t="s">
        <v>36</v>
      </c>
      <c r="E1041" s="16">
        <f t="shared" ref="E1041:G1041" si="3120">ROUNDUP((XLOOKUP($D1041,$T$3:$T$10,$U$3:$U$10)*XLOOKUP(E$2,$AA$3:$AA$5,$AB$3:$AB$5)-ABS(XLOOKUP($C1041,$Q$3:$Q$16,$R$3:$R$16)))*$B1041,-5)</f>
        <v>47000000</v>
      </c>
      <c r="F1041" s="16">
        <f t="shared" si="3120"/>
        <v>83600000</v>
      </c>
      <c r="G1041" s="16">
        <f t="shared" si="3120"/>
        <v>91100000</v>
      </c>
      <c r="H1041" s="17">
        <f t="shared" ref="H1041:J1041" si="3121">roundup((XLOOKUP($D1041,$T$3:$T$10,$U$3:$U$10)*XLOOKUP(H$2,$AA$3:$AA$5,$AC$3:$AC$5)-ABS(XLOOKUP($C1041,$Q$3:$Q$16,$R$3:$R$16)))*$B1041,-5)</f>
        <v>38700000</v>
      </c>
      <c r="I1041" s="17">
        <f t="shared" si="3121"/>
        <v>103500000</v>
      </c>
      <c r="J1041" s="17">
        <f t="shared" si="3121"/>
        <v>112300000</v>
      </c>
      <c r="K1041" s="17">
        <f t="shared" ref="K1041:M1041" si="3122">roundup((XLOOKUP($D1041,$T$3:$T$10,$U$3:$U$10)*XLOOKUP(K$2,$AA$3:$AA$5,$AD$3:$AD$5)-ABS(XLOOKUP($C1041,$Q$3:$Q$16,$R$3:$R$16)))*$B1041,-5)</f>
        <v>45900000</v>
      </c>
      <c r="L1041" s="17">
        <f t="shared" si="3122"/>
        <v>117000000</v>
      </c>
      <c r="M1041" s="17">
        <f t="shared" si="3122"/>
        <v>126700000</v>
      </c>
    </row>
    <row r="1042">
      <c r="A1042" s="14" t="s">
        <v>1085</v>
      </c>
      <c r="B1042" s="14">
        <v>177.0</v>
      </c>
      <c r="C1042" s="15">
        <f t="shared" si="4"/>
        <v>12</v>
      </c>
      <c r="D1042" s="14" t="s">
        <v>24</v>
      </c>
      <c r="E1042" s="16">
        <f t="shared" ref="E1042:G1042" si="3123">ROUNDUP((XLOOKUP($D1042,$T$3:$T$10,$U$3:$U$10)*XLOOKUP(E$2,$AA$3:$AA$5,$AB$3:$AB$5)-ABS(XLOOKUP($C1042,$Q$3:$Q$16,$R$3:$R$16)))*$B1042,-5)</f>
        <v>47900000</v>
      </c>
      <c r="F1042" s="16">
        <f t="shared" si="3123"/>
        <v>82300000</v>
      </c>
      <c r="G1042" s="16">
        <f t="shared" si="3123"/>
        <v>89400000</v>
      </c>
      <c r="H1042" s="17">
        <f t="shared" ref="H1042:J1042" si="3124">roundup((XLOOKUP($D1042,$T$3:$T$10,$U$3:$U$10)*XLOOKUP(H$2,$AA$3:$AA$5,$AC$3:$AC$5)-ABS(XLOOKUP($C1042,$Q$3:$Q$16,$R$3:$R$16)))*$B1042,-5)</f>
        <v>40100000</v>
      </c>
      <c r="I1042" s="17">
        <f t="shared" si="3124"/>
        <v>101000000</v>
      </c>
      <c r="J1042" s="17">
        <f t="shared" si="3124"/>
        <v>109300000</v>
      </c>
      <c r="K1042" s="17">
        <f t="shared" ref="K1042:M1042" si="3125">roundup((XLOOKUP($D1042,$T$3:$T$10,$U$3:$U$10)*XLOOKUP(K$2,$AA$3:$AA$5,$AD$3:$AD$5)-ABS(XLOOKUP($C1042,$Q$3:$Q$16,$R$3:$R$16)))*$B1042,-5)</f>
        <v>46800000</v>
      </c>
      <c r="L1042" s="17">
        <f t="shared" si="3125"/>
        <v>113700000</v>
      </c>
      <c r="M1042" s="17">
        <f t="shared" si="3125"/>
        <v>122800000</v>
      </c>
    </row>
    <row r="1043">
      <c r="A1043" s="14" t="s">
        <v>1086</v>
      </c>
      <c r="B1043" s="14">
        <v>190.0</v>
      </c>
      <c r="C1043" s="15">
        <f t="shared" si="4"/>
        <v>13</v>
      </c>
      <c r="D1043" s="14" t="s">
        <v>36</v>
      </c>
      <c r="E1043" s="16">
        <f t="shared" ref="E1043:G1043" si="3126">ROUNDUP((XLOOKUP($D1043,$T$3:$T$10,$U$3:$U$10)*XLOOKUP(E$2,$AA$3:$AA$5,$AB$3:$AB$5)-ABS(XLOOKUP($C1043,$Q$3:$Q$16,$R$3:$R$16)))*$B1043,-5)</f>
        <v>46100000</v>
      </c>
      <c r="F1043" s="16">
        <f t="shared" si="3126"/>
        <v>81900000</v>
      </c>
      <c r="G1043" s="16">
        <f t="shared" si="3126"/>
        <v>89300000</v>
      </c>
      <c r="H1043" s="17">
        <f t="shared" ref="H1043:J1043" si="3127">roundup((XLOOKUP($D1043,$T$3:$T$10,$U$3:$U$10)*XLOOKUP(H$2,$AA$3:$AA$5,$AC$3:$AC$5)-ABS(XLOOKUP($C1043,$Q$3:$Q$16,$R$3:$R$16)))*$B1043,-5)</f>
        <v>37900000</v>
      </c>
      <c r="I1043" s="17">
        <f t="shared" si="3127"/>
        <v>101300000</v>
      </c>
      <c r="J1043" s="17">
        <f t="shared" si="3127"/>
        <v>110000000</v>
      </c>
      <c r="K1043" s="17">
        <f t="shared" ref="K1043:M1043" si="3128">roundup((XLOOKUP($D1043,$T$3:$T$10,$U$3:$U$10)*XLOOKUP(K$2,$AA$3:$AA$5,$AD$3:$AD$5)-ABS(XLOOKUP($C1043,$Q$3:$Q$16,$R$3:$R$16)))*$B1043,-5)</f>
        <v>45000000</v>
      </c>
      <c r="L1043" s="17">
        <f t="shared" si="3128"/>
        <v>114600000</v>
      </c>
      <c r="M1043" s="17">
        <f t="shared" si="3128"/>
        <v>124100000</v>
      </c>
    </row>
    <row r="1044">
      <c r="A1044" s="14" t="s">
        <v>1087</v>
      </c>
      <c r="B1044" s="14">
        <v>163.0</v>
      </c>
      <c r="C1044" s="15">
        <f t="shared" si="4"/>
        <v>12</v>
      </c>
      <c r="D1044" s="14" t="s">
        <v>24</v>
      </c>
      <c r="E1044" s="16">
        <f t="shared" ref="E1044:G1044" si="3129">ROUNDUP((XLOOKUP($D1044,$T$3:$T$10,$U$3:$U$10)*XLOOKUP(E$2,$AA$3:$AA$5,$AB$3:$AB$5)-ABS(XLOOKUP($C1044,$Q$3:$Q$16,$R$3:$R$16)))*$B1044,-5)</f>
        <v>44100000</v>
      </c>
      <c r="F1044" s="16">
        <f t="shared" si="3129"/>
        <v>75800000</v>
      </c>
      <c r="G1044" s="16">
        <f t="shared" si="3129"/>
        <v>82300000</v>
      </c>
      <c r="H1044" s="17">
        <f t="shared" ref="H1044:J1044" si="3130">roundup((XLOOKUP($D1044,$T$3:$T$10,$U$3:$U$10)*XLOOKUP(H$2,$AA$3:$AA$5,$AC$3:$AC$5)-ABS(XLOOKUP($C1044,$Q$3:$Q$16,$R$3:$R$16)))*$B1044,-5)</f>
        <v>36900000</v>
      </c>
      <c r="I1044" s="17">
        <f t="shared" si="3130"/>
        <v>93000000</v>
      </c>
      <c r="J1044" s="17">
        <f t="shared" si="3130"/>
        <v>100600000</v>
      </c>
      <c r="K1044" s="17">
        <f t="shared" ref="K1044:M1044" si="3131">roundup((XLOOKUP($D1044,$T$3:$T$10,$U$3:$U$10)*XLOOKUP(K$2,$AA$3:$AA$5,$AD$3:$AD$5)-ABS(XLOOKUP($C1044,$Q$3:$Q$16,$R$3:$R$16)))*$B1044,-5)</f>
        <v>43100000</v>
      </c>
      <c r="L1044" s="17">
        <f t="shared" si="3131"/>
        <v>104700000</v>
      </c>
      <c r="M1044" s="17">
        <f t="shared" si="3131"/>
        <v>113100000</v>
      </c>
    </row>
    <row r="1045">
      <c r="A1045" s="14" t="s">
        <v>1088</v>
      </c>
      <c r="B1045" s="14">
        <v>119.0</v>
      </c>
      <c r="C1045" s="15">
        <f t="shared" si="4"/>
        <v>11</v>
      </c>
      <c r="D1045" s="14" t="s">
        <v>24</v>
      </c>
      <c r="E1045" s="16">
        <f t="shared" ref="E1045:G1045" si="3132">ROUNDUP((XLOOKUP($D1045,$T$3:$T$10,$U$3:$U$10)*XLOOKUP(E$2,$AA$3:$AA$5,$AB$3:$AB$5)-ABS(XLOOKUP($C1045,$Q$3:$Q$16,$R$3:$R$16)))*$B1045,-5)</f>
        <v>32800000</v>
      </c>
      <c r="F1045" s="16">
        <f t="shared" si="3132"/>
        <v>55900000</v>
      </c>
      <c r="G1045" s="16">
        <f t="shared" si="3132"/>
        <v>60700000</v>
      </c>
      <c r="H1045" s="17">
        <f t="shared" ref="H1045:J1045" si="3133">roundup((XLOOKUP($D1045,$T$3:$T$10,$U$3:$U$10)*XLOOKUP(H$2,$AA$3:$AA$5,$AC$3:$AC$5)-ABS(XLOOKUP($C1045,$Q$3:$Q$16,$R$3:$R$16)))*$B1045,-5)</f>
        <v>27500000</v>
      </c>
      <c r="I1045" s="17">
        <f t="shared" si="3133"/>
        <v>68500000</v>
      </c>
      <c r="J1045" s="17">
        <f t="shared" si="3133"/>
        <v>74100000</v>
      </c>
      <c r="K1045" s="17">
        <f t="shared" ref="K1045:M1045" si="3134">roundup((XLOOKUP($D1045,$T$3:$T$10,$U$3:$U$10)*XLOOKUP(K$2,$AA$3:$AA$5,$AD$3:$AD$5)-ABS(XLOOKUP($C1045,$Q$3:$Q$16,$R$3:$R$16)))*$B1045,-5)</f>
        <v>32100000</v>
      </c>
      <c r="L1045" s="17">
        <f t="shared" si="3134"/>
        <v>77000000</v>
      </c>
      <c r="M1045" s="17">
        <f t="shared" si="3134"/>
        <v>83200000</v>
      </c>
    </row>
    <row r="1046">
      <c r="A1046" s="14" t="s">
        <v>1089</v>
      </c>
      <c r="B1046" s="14">
        <v>147.0</v>
      </c>
      <c r="C1046" s="15">
        <f t="shared" si="4"/>
        <v>11</v>
      </c>
      <c r="D1046" s="14" t="s">
        <v>638</v>
      </c>
      <c r="E1046" s="16">
        <f t="shared" ref="E1046:G1046" si="3135">ROUNDUP((XLOOKUP($D1046,$T$3:$T$10,$U$3:$U$10)*XLOOKUP(E$2,$AA$3:$AA$5,$AB$3:$AB$5)-ABS(XLOOKUP($C1046,$Q$3:$Q$16,$R$3:$R$16)))*$B1046,-5)</f>
        <v>39000000</v>
      </c>
      <c r="F1046" s="16">
        <f t="shared" si="3135"/>
        <v>66900000</v>
      </c>
      <c r="G1046" s="16">
        <f t="shared" si="3135"/>
        <v>72700000</v>
      </c>
      <c r="H1046" s="17">
        <f t="shared" ref="H1046:J1046" si="3136">roundup((XLOOKUP($D1046,$T$3:$T$10,$U$3:$U$10)*XLOOKUP(H$2,$AA$3:$AA$5,$AC$3:$AC$5)-ABS(XLOOKUP($C1046,$Q$3:$Q$16,$R$3:$R$16)))*$B1046,-5)</f>
        <v>32700000</v>
      </c>
      <c r="I1046" s="17">
        <f t="shared" si="3136"/>
        <v>82100000</v>
      </c>
      <c r="J1046" s="17">
        <f t="shared" si="3136"/>
        <v>88800000</v>
      </c>
      <c r="K1046" s="17">
        <f t="shared" ref="K1046:M1046" si="3137">roundup((XLOOKUP($D1046,$T$3:$T$10,$U$3:$U$10)*XLOOKUP(K$2,$AA$3:$AA$5,$AD$3:$AD$5)-ABS(XLOOKUP($C1046,$Q$3:$Q$16,$R$3:$R$16)))*$B1046,-5)</f>
        <v>38200000</v>
      </c>
      <c r="L1046" s="17">
        <f t="shared" si="3137"/>
        <v>92400000</v>
      </c>
      <c r="M1046" s="17">
        <f t="shared" si="3137"/>
        <v>99800000</v>
      </c>
    </row>
    <row r="1047">
      <c r="A1047" s="14" t="s">
        <v>1090</v>
      </c>
      <c r="B1047" s="14">
        <v>172.0</v>
      </c>
      <c r="C1047" s="15">
        <f t="shared" si="4"/>
        <v>12</v>
      </c>
      <c r="D1047" s="14" t="s">
        <v>36</v>
      </c>
      <c r="E1047" s="16">
        <f t="shared" ref="E1047:G1047" si="3138">ROUNDUP((XLOOKUP($D1047,$T$3:$T$10,$U$3:$U$10)*XLOOKUP(E$2,$AA$3:$AA$5,$AB$3:$AB$5)-ABS(XLOOKUP($C1047,$Q$3:$Q$16,$R$3:$R$16)))*$B1047,-5)</f>
        <v>44300000</v>
      </c>
      <c r="F1047" s="16">
        <f t="shared" si="3138"/>
        <v>76700000</v>
      </c>
      <c r="G1047" s="16">
        <f t="shared" si="3138"/>
        <v>83400000</v>
      </c>
      <c r="H1047" s="17">
        <f t="shared" ref="H1047:J1047" si="3139">roundup((XLOOKUP($D1047,$T$3:$T$10,$U$3:$U$10)*XLOOKUP(H$2,$AA$3:$AA$5,$AC$3:$AC$5)-ABS(XLOOKUP($C1047,$Q$3:$Q$16,$R$3:$R$16)))*$B1047,-5)</f>
        <v>36900000</v>
      </c>
      <c r="I1047" s="17">
        <f t="shared" si="3139"/>
        <v>94300000</v>
      </c>
      <c r="J1047" s="17">
        <f t="shared" si="3139"/>
        <v>102200000</v>
      </c>
      <c r="K1047" s="17">
        <f t="shared" ref="K1047:M1047" si="3140">roundup((XLOOKUP($D1047,$T$3:$T$10,$U$3:$U$10)*XLOOKUP(K$2,$AA$3:$AA$5,$AD$3:$AD$5)-ABS(XLOOKUP($C1047,$Q$3:$Q$16,$R$3:$R$16)))*$B1047,-5)</f>
        <v>43300000</v>
      </c>
      <c r="L1047" s="17">
        <f t="shared" si="3140"/>
        <v>106300000</v>
      </c>
      <c r="M1047" s="17">
        <f t="shared" si="3140"/>
        <v>114900000</v>
      </c>
    </row>
    <row r="1048">
      <c r="A1048" s="14" t="s">
        <v>1091</v>
      </c>
      <c r="B1048" s="14">
        <v>203.0</v>
      </c>
      <c r="C1048" s="15">
        <f t="shared" si="4"/>
        <v>13</v>
      </c>
      <c r="D1048" s="14" t="s">
        <v>36</v>
      </c>
      <c r="E1048" s="16">
        <f t="shared" ref="E1048:G1048" si="3141">ROUNDUP((XLOOKUP($D1048,$T$3:$T$10,$U$3:$U$10)*XLOOKUP(E$2,$AA$3:$AA$5,$AB$3:$AB$5)-ABS(XLOOKUP($C1048,$Q$3:$Q$16,$R$3:$R$16)))*$B1048,-5)</f>
        <v>49200000</v>
      </c>
      <c r="F1048" s="16">
        <f t="shared" si="3141"/>
        <v>87400000</v>
      </c>
      <c r="G1048" s="16">
        <f t="shared" si="3141"/>
        <v>95400000</v>
      </c>
      <c r="H1048" s="17">
        <f t="shared" ref="H1048:J1048" si="3142">roundup((XLOOKUP($D1048,$T$3:$T$10,$U$3:$U$10)*XLOOKUP(H$2,$AA$3:$AA$5,$AC$3:$AC$5)-ABS(XLOOKUP($C1048,$Q$3:$Q$16,$R$3:$R$16)))*$B1048,-5)</f>
        <v>40500000</v>
      </c>
      <c r="I1048" s="17">
        <f t="shared" si="3142"/>
        <v>108300000</v>
      </c>
      <c r="J1048" s="17">
        <f t="shared" si="3142"/>
        <v>117500000</v>
      </c>
      <c r="K1048" s="17">
        <f t="shared" ref="K1048:M1048" si="3143">roundup((XLOOKUP($D1048,$T$3:$T$10,$U$3:$U$10)*XLOOKUP(K$2,$AA$3:$AA$5,$AD$3:$AD$5)-ABS(XLOOKUP($C1048,$Q$3:$Q$16,$R$3:$R$16)))*$B1048,-5)</f>
        <v>48000000</v>
      </c>
      <c r="L1048" s="17">
        <f t="shared" si="3143"/>
        <v>122400000</v>
      </c>
      <c r="M1048" s="17">
        <f t="shared" si="3143"/>
        <v>132500000</v>
      </c>
    </row>
    <row r="1049">
      <c r="A1049" s="14" t="s">
        <v>1092</v>
      </c>
      <c r="B1049" s="14">
        <v>182.0</v>
      </c>
      <c r="C1049" s="15">
        <f t="shared" si="4"/>
        <v>13</v>
      </c>
      <c r="D1049" s="14" t="s">
        <v>36</v>
      </c>
      <c r="E1049" s="16">
        <f t="shared" ref="E1049:G1049" si="3144">ROUNDUP((XLOOKUP($D1049,$T$3:$T$10,$U$3:$U$10)*XLOOKUP(E$2,$AA$3:$AA$5,$AB$3:$AB$5)-ABS(XLOOKUP($C1049,$Q$3:$Q$16,$R$3:$R$16)))*$B1049,-5)</f>
        <v>44100000</v>
      </c>
      <c r="F1049" s="16">
        <f t="shared" si="3144"/>
        <v>78400000</v>
      </c>
      <c r="G1049" s="16">
        <f t="shared" si="3144"/>
        <v>85500000</v>
      </c>
      <c r="H1049" s="17">
        <f t="shared" ref="H1049:J1049" si="3145">roundup((XLOOKUP($D1049,$T$3:$T$10,$U$3:$U$10)*XLOOKUP(H$2,$AA$3:$AA$5,$AC$3:$AC$5)-ABS(XLOOKUP($C1049,$Q$3:$Q$16,$R$3:$R$16)))*$B1049,-5)</f>
        <v>36300000</v>
      </c>
      <c r="I1049" s="17">
        <f t="shared" si="3145"/>
        <v>97100000</v>
      </c>
      <c r="J1049" s="17">
        <f t="shared" si="3145"/>
        <v>105400000</v>
      </c>
      <c r="K1049" s="17">
        <f t="shared" ref="K1049:M1049" si="3146">roundup((XLOOKUP($D1049,$T$3:$T$10,$U$3:$U$10)*XLOOKUP(K$2,$AA$3:$AA$5,$AD$3:$AD$5)-ABS(XLOOKUP($C1049,$Q$3:$Q$16,$R$3:$R$16)))*$B1049,-5)</f>
        <v>43100000</v>
      </c>
      <c r="L1049" s="17">
        <f t="shared" si="3146"/>
        <v>109700000</v>
      </c>
      <c r="M1049" s="17">
        <f t="shared" si="3146"/>
        <v>118800000</v>
      </c>
    </row>
    <row r="1050">
      <c r="A1050" s="14" t="s">
        <v>1093</v>
      </c>
      <c r="B1050" s="14">
        <v>240.0</v>
      </c>
      <c r="C1050" s="15">
        <f t="shared" si="4"/>
        <v>14</v>
      </c>
      <c r="D1050" s="14" t="s">
        <v>33</v>
      </c>
      <c r="E1050" s="16">
        <f t="shared" ref="E1050:G1050" si="3147">ROUNDUP((XLOOKUP($D1050,$T$3:$T$10,$U$3:$U$10)*XLOOKUP(E$2,$AA$3:$AA$5,$AB$3:$AB$5)-ABS(XLOOKUP($C1050,$Q$3:$Q$16,$R$3:$R$16)))*$B1050,-5)</f>
        <v>45100000</v>
      </c>
      <c r="F1050" s="16">
        <f t="shared" si="3147"/>
        <v>85400000</v>
      </c>
      <c r="G1050" s="16">
        <f t="shared" si="3147"/>
        <v>93800000</v>
      </c>
      <c r="H1050" s="17">
        <f t="shared" ref="H1050:J1050" si="3148">roundup((XLOOKUP($D1050,$T$3:$T$10,$U$3:$U$10)*XLOOKUP(H$2,$AA$3:$AA$5,$AC$3:$AC$5)-ABS(XLOOKUP($C1050,$Q$3:$Q$16,$R$3:$R$16)))*$B1050,-5)</f>
        <v>35900000</v>
      </c>
      <c r="I1050" s="17">
        <f t="shared" si="3148"/>
        <v>107400000</v>
      </c>
      <c r="J1050" s="17">
        <f t="shared" si="3148"/>
        <v>117100000</v>
      </c>
      <c r="K1050" s="17">
        <f t="shared" ref="K1050:M1050" si="3149">roundup((XLOOKUP($D1050,$T$3:$T$10,$U$3:$U$10)*XLOOKUP(K$2,$AA$3:$AA$5,$AD$3:$AD$5)-ABS(XLOOKUP($C1050,$Q$3:$Q$16,$R$3:$R$16)))*$B1050,-5)</f>
        <v>43800000</v>
      </c>
      <c r="L1050" s="17">
        <f t="shared" si="3149"/>
        <v>122300000</v>
      </c>
      <c r="M1050" s="17">
        <f t="shared" si="3149"/>
        <v>133000000</v>
      </c>
    </row>
    <row r="1051">
      <c r="A1051" s="14" t="s">
        <v>1094</v>
      </c>
      <c r="B1051" s="14">
        <v>210.0</v>
      </c>
      <c r="C1051" s="15">
        <f t="shared" si="4"/>
        <v>13</v>
      </c>
      <c r="D1051" s="14" t="s">
        <v>36</v>
      </c>
      <c r="E1051" s="16">
        <f t="shared" ref="E1051:G1051" si="3150">ROUNDUP((XLOOKUP($D1051,$T$3:$T$10,$U$3:$U$10)*XLOOKUP(E$2,$AA$3:$AA$5,$AB$3:$AB$5)-ABS(XLOOKUP($C1051,$Q$3:$Q$16,$R$3:$R$16)))*$B1051,-5)</f>
        <v>50900000</v>
      </c>
      <c r="F1051" s="16">
        <f t="shared" si="3150"/>
        <v>90500000</v>
      </c>
      <c r="G1051" s="16">
        <f t="shared" si="3150"/>
        <v>98600000</v>
      </c>
      <c r="H1051" s="17">
        <f t="shared" ref="H1051:J1051" si="3151">roundup((XLOOKUP($D1051,$T$3:$T$10,$U$3:$U$10)*XLOOKUP(H$2,$AA$3:$AA$5,$AC$3:$AC$5)-ABS(XLOOKUP($C1051,$Q$3:$Q$16,$R$3:$R$16)))*$B1051,-5)</f>
        <v>41900000</v>
      </c>
      <c r="I1051" s="17">
        <f t="shared" si="3151"/>
        <v>112000000</v>
      </c>
      <c r="J1051" s="17">
        <f t="shared" si="3151"/>
        <v>121600000</v>
      </c>
      <c r="K1051" s="17">
        <f t="shared" ref="K1051:M1051" si="3152">roundup((XLOOKUP($D1051,$T$3:$T$10,$U$3:$U$10)*XLOOKUP(K$2,$AA$3:$AA$5,$AD$3:$AD$5)-ABS(XLOOKUP($C1051,$Q$3:$Q$16,$R$3:$R$16)))*$B1051,-5)</f>
        <v>49700000</v>
      </c>
      <c r="L1051" s="17">
        <f t="shared" si="3152"/>
        <v>126600000</v>
      </c>
      <c r="M1051" s="17">
        <f t="shared" si="3152"/>
        <v>137100000</v>
      </c>
    </row>
    <row r="1052">
      <c r="A1052" s="14" t="s">
        <v>1095</v>
      </c>
      <c r="B1052" s="14">
        <v>104.0</v>
      </c>
      <c r="C1052" s="15">
        <f t="shared" si="4"/>
        <v>11</v>
      </c>
      <c r="D1052" s="14" t="s">
        <v>36</v>
      </c>
      <c r="E1052" s="16">
        <f t="shared" ref="E1052:G1052" si="3153">ROUNDUP((XLOOKUP($D1052,$T$3:$T$10,$U$3:$U$10)*XLOOKUP(E$2,$AA$3:$AA$5,$AB$3:$AB$5)-ABS(XLOOKUP($C1052,$Q$3:$Q$16,$R$3:$R$16)))*$B1052,-5)</f>
        <v>27300000</v>
      </c>
      <c r="F1052" s="16">
        <f t="shared" si="3153"/>
        <v>46900000</v>
      </c>
      <c r="G1052" s="16">
        <f t="shared" si="3153"/>
        <v>51000000</v>
      </c>
      <c r="H1052" s="17">
        <f t="shared" ref="H1052:J1052" si="3154">roundup((XLOOKUP($D1052,$T$3:$T$10,$U$3:$U$10)*XLOOKUP(H$2,$AA$3:$AA$5,$AC$3:$AC$5)-ABS(XLOOKUP($C1052,$Q$3:$Q$16,$R$3:$R$16)))*$B1052,-5)</f>
        <v>22900000</v>
      </c>
      <c r="I1052" s="17">
        <f t="shared" si="3154"/>
        <v>57600000</v>
      </c>
      <c r="J1052" s="17">
        <f t="shared" si="3154"/>
        <v>62300000</v>
      </c>
      <c r="K1052" s="17">
        <f t="shared" ref="K1052:M1052" si="3155">roundup((XLOOKUP($D1052,$T$3:$T$10,$U$3:$U$10)*XLOOKUP(K$2,$AA$3:$AA$5,$AD$3:$AD$5)-ABS(XLOOKUP($C1052,$Q$3:$Q$16,$R$3:$R$16)))*$B1052,-5)</f>
        <v>26700000</v>
      </c>
      <c r="L1052" s="17">
        <f t="shared" si="3155"/>
        <v>64800000</v>
      </c>
      <c r="M1052" s="17">
        <f t="shared" si="3155"/>
        <v>70000000</v>
      </c>
    </row>
    <row r="1053">
      <c r="A1053" s="14" t="s">
        <v>1096</v>
      </c>
      <c r="B1053" s="14">
        <v>96.0</v>
      </c>
      <c r="C1053" s="15">
        <f t="shared" si="4"/>
        <v>11</v>
      </c>
      <c r="D1053" s="14" t="s">
        <v>33</v>
      </c>
      <c r="E1053" s="16">
        <f t="shared" ref="E1053:G1053" si="3156">ROUNDUP((XLOOKUP($D1053,$T$3:$T$10,$U$3:$U$10)*XLOOKUP(E$2,$AA$3:$AA$5,$AB$3:$AB$5)-ABS(XLOOKUP($C1053,$Q$3:$Q$16,$R$3:$R$16)))*$B1053,-5)</f>
        <v>20900000</v>
      </c>
      <c r="F1053" s="16">
        <f t="shared" si="3156"/>
        <v>37000000</v>
      </c>
      <c r="G1053" s="16">
        <f t="shared" si="3156"/>
        <v>40300000</v>
      </c>
      <c r="H1053" s="17">
        <f t="shared" ref="H1053:J1053" si="3157">roundup((XLOOKUP($D1053,$T$3:$T$10,$U$3:$U$10)*XLOOKUP(H$2,$AA$3:$AA$5,$AC$3:$AC$5)-ABS(XLOOKUP($C1053,$Q$3:$Q$16,$R$3:$R$16)))*$B1053,-5)</f>
        <v>17200000</v>
      </c>
      <c r="I1053" s="17">
        <f t="shared" si="3157"/>
        <v>45800000</v>
      </c>
      <c r="J1053" s="17">
        <f t="shared" si="3157"/>
        <v>49700000</v>
      </c>
      <c r="K1053" s="17">
        <f t="shared" ref="K1053:M1053" si="3158">roundup((XLOOKUP($D1053,$T$3:$T$10,$U$3:$U$10)*XLOOKUP(K$2,$AA$3:$AA$5,$AD$3:$AD$5)-ABS(XLOOKUP($C1053,$Q$3:$Q$16,$R$3:$R$16)))*$B1053,-5)</f>
        <v>20400000</v>
      </c>
      <c r="L1053" s="17">
        <f t="shared" si="3158"/>
        <v>51700000</v>
      </c>
      <c r="M1053" s="17">
        <f t="shared" si="3158"/>
        <v>56000000</v>
      </c>
    </row>
    <row r="1054">
      <c r="A1054" s="14" t="s">
        <v>1097</v>
      </c>
      <c r="B1054" s="14">
        <v>174.0</v>
      </c>
      <c r="C1054" s="15">
        <f t="shared" si="4"/>
        <v>12</v>
      </c>
      <c r="D1054" s="14" t="s">
        <v>33</v>
      </c>
      <c r="E1054" s="16">
        <f t="shared" ref="E1054:G1054" si="3159">ROUNDUP((XLOOKUP($D1054,$T$3:$T$10,$U$3:$U$10)*XLOOKUP(E$2,$AA$3:$AA$5,$AB$3:$AB$5)-ABS(XLOOKUP($C1054,$Q$3:$Q$16,$R$3:$R$16)))*$B1054,-5)</f>
        <v>36900000</v>
      </c>
      <c r="F1054" s="16">
        <f t="shared" si="3159"/>
        <v>66100000</v>
      </c>
      <c r="G1054" s="16">
        <f t="shared" si="3159"/>
        <v>72200000</v>
      </c>
      <c r="H1054" s="17">
        <f t="shared" ref="H1054:J1054" si="3160">roundup((XLOOKUP($D1054,$T$3:$T$10,$U$3:$U$10)*XLOOKUP(H$2,$AA$3:$AA$5,$AC$3:$AC$5)-ABS(XLOOKUP($C1054,$Q$3:$Q$16,$R$3:$R$16)))*$B1054,-5)</f>
        <v>30200000</v>
      </c>
      <c r="I1054" s="17">
        <f t="shared" si="3160"/>
        <v>82100000</v>
      </c>
      <c r="J1054" s="17">
        <f t="shared" si="3160"/>
        <v>89100000</v>
      </c>
      <c r="K1054" s="17">
        <f t="shared" ref="K1054:M1054" si="3161">roundup((XLOOKUP($D1054,$T$3:$T$10,$U$3:$U$10)*XLOOKUP(K$2,$AA$3:$AA$5,$AD$3:$AD$5)-ABS(XLOOKUP($C1054,$Q$3:$Q$16,$R$3:$R$16)))*$B1054,-5)</f>
        <v>36000000</v>
      </c>
      <c r="L1054" s="17">
        <f t="shared" si="3161"/>
        <v>92800000</v>
      </c>
      <c r="M1054" s="17">
        <f t="shared" si="3161"/>
        <v>100600000</v>
      </c>
    </row>
    <row r="1055">
      <c r="A1055" s="14" t="s">
        <v>1098</v>
      </c>
      <c r="B1055" s="14">
        <v>222.0</v>
      </c>
      <c r="C1055" s="15">
        <f t="shared" si="4"/>
        <v>14</v>
      </c>
      <c r="D1055" s="14" t="s">
        <v>33</v>
      </c>
      <c r="E1055" s="16">
        <f t="shared" ref="E1055:G1055" si="3162">ROUNDUP((XLOOKUP($D1055,$T$3:$T$10,$U$3:$U$10)*XLOOKUP(E$2,$AA$3:$AA$5,$AB$3:$AB$5)-ABS(XLOOKUP($C1055,$Q$3:$Q$16,$R$3:$R$16)))*$B1055,-5)</f>
        <v>41700000</v>
      </c>
      <c r="F1055" s="16">
        <f t="shared" si="3162"/>
        <v>79000000</v>
      </c>
      <c r="G1055" s="16">
        <f t="shared" si="3162"/>
        <v>86700000</v>
      </c>
      <c r="H1055" s="17">
        <f t="shared" ref="H1055:J1055" si="3163">roundup((XLOOKUP($D1055,$T$3:$T$10,$U$3:$U$10)*XLOOKUP(H$2,$AA$3:$AA$5,$AC$3:$AC$5)-ABS(XLOOKUP($C1055,$Q$3:$Q$16,$R$3:$R$16)))*$B1055,-5)</f>
        <v>33200000</v>
      </c>
      <c r="I1055" s="17">
        <f t="shared" si="3163"/>
        <v>99300000</v>
      </c>
      <c r="J1055" s="17">
        <f t="shared" si="3163"/>
        <v>108400000</v>
      </c>
      <c r="K1055" s="17">
        <f t="shared" ref="K1055:M1055" si="3164">roundup((XLOOKUP($D1055,$T$3:$T$10,$U$3:$U$10)*XLOOKUP(K$2,$AA$3:$AA$5,$AD$3:$AD$5)-ABS(XLOOKUP($C1055,$Q$3:$Q$16,$R$3:$R$16)))*$B1055,-5)</f>
        <v>40600000</v>
      </c>
      <c r="L1055" s="17">
        <f t="shared" si="3164"/>
        <v>113100000</v>
      </c>
      <c r="M1055" s="17">
        <f t="shared" si="3164"/>
        <v>123000000</v>
      </c>
    </row>
    <row r="1056">
      <c r="A1056" s="14" t="s">
        <v>1099</v>
      </c>
      <c r="B1056" s="14">
        <v>280.0</v>
      </c>
      <c r="C1056" s="15">
        <f t="shared" si="4"/>
        <v>14</v>
      </c>
      <c r="D1056" s="14" t="s">
        <v>36</v>
      </c>
      <c r="E1056" s="16">
        <f t="shared" ref="E1056:G1056" si="3165">ROUNDUP((XLOOKUP($D1056,$T$3:$T$10,$U$3:$U$10)*XLOOKUP(E$2,$AA$3:$AA$5,$AB$3:$AB$5)-ABS(XLOOKUP($C1056,$Q$3:$Q$16,$R$3:$R$16)))*$B1056,-5)</f>
        <v>65300000</v>
      </c>
      <c r="F1056" s="16">
        <f t="shared" si="3165"/>
        <v>118100000</v>
      </c>
      <c r="G1056" s="16">
        <f t="shared" si="3165"/>
        <v>129000000</v>
      </c>
      <c r="H1056" s="17">
        <f t="shared" ref="H1056:J1056" si="3166">roundup((XLOOKUP($D1056,$T$3:$T$10,$U$3:$U$10)*XLOOKUP(H$2,$AA$3:$AA$5,$AC$3:$AC$5)-ABS(XLOOKUP($C1056,$Q$3:$Q$16,$R$3:$R$16)))*$B1056,-5)</f>
        <v>53300000</v>
      </c>
      <c r="I1056" s="17">
        <f t="shared" si="3166"/>
        <v>146800000</v>
      </c>
      <c r="J1056" s="17">
        <f t="shared" si="3166"/>
        <v>159500000</v>
      </c>
      <c r="K1056" s="17">
        <f t="shared" ref="K1056:M1056" si="3167">roundup((XLOOKUP($D1056,$T$3:$T$10,$U$3:$U$10)*XLOOKUP(K$2,$AA$3:$AA$5,$AD$3:$AD$5)-ABS(XLOOKUP($C1056,$Q$3:$Q$16,$R$3:$R$16)))*$B1056,-5)</f>
        <v>63700000</v>
      </c>
      <c r="L1056" s="17">
        <f t="shared" si="3167"/>
        <v>166300000</v>
      </c>
      <c r="M1056" s="17">
        <f t="shared" si="3167"/>
        <v>180300000</v>
      </c>
    </row>
    <row r="1057">
      <c r="A1057" s="14" t="s">
        <v>1100</v>
      </c>
      <c r="B1057" s="14">
        <v>210.0</v>
      </c>
      <c r="C1057" s="15">
        <f t="shared" si="4"/>
        <v>13</v>
      </c>
      <c r="D1057" s="14" t="s">
        <v>36</v>
      </c>
      <c r="E1057" s="16">
        <f t="shared" ref="E1057:G1057" si="3168">ROUNDUP((XLOOKUP($D1057,$T$3:$T$10,$U$3:$U$10)*XLOOKUP(E$2,$AA$3:$AA$5,$AB$3:$AB$5)-ABS(XLOOKUP($C1057,$Q$3:$Q$16,$R$3:$R$16)))*$B1057,-5)</f>
        <v>50900000</v>
      </c>
      <c r="F1057" s="16">
        <f t="shared" si="3168"/>
        <v>90500000</v>
      </c>
      <c r="G1057" s="16">
        <f t="shared" si="3168"/>
        <v>98600000</v>
      </c>
      <c r="H1057" s="17">
        <f t="shared" ref="H1057:J1057" si="3169">roundup((XLOOKUP($D1057,$T$3:$T$10,$U$3:$U$10)*XLOOKUP(H$2,$AA$3:$AA$5,$AC$3:$AC$5)-ABS(XLOOKUP($C1057,$Q$3:$Q$16,$R$3:$R$16)))*$B1057,-5)</f>
        <v>41900000</v>
      </c>
      <c r="I1057" s="17">
        <f t="shared" si="3169"/>
        <v>112000000</v>
      </c>
      <c r="J1057" s="17">
        <f t="shared" si="3169"/>
        <v>121600000</v>
      </c>
      <c r="K1057" s="17">
        <f t="shared" ref="K1057:M1057" si="3170">roundup((XLOOKUP($D1057,$T$3:$T$10,$U$3:$U$10)*XLOOKUP(K$2,$AA$3:$AA$5,$AD$3:$AD$5)-ABS(XLOOKUP($C1057,$Q$3:$Q$16,$R$3:$R$16)))*$B1057,-5)</f>
        <v>49700000</v>
      </c>
      <c r="L1057" s="17">
        <f t="shared" si="3170"/>
        <v>126600000</v>
      </c>
      <c r="M1057" s="17">
        <f t="shared" si="3170"/>
        <v>137100000</v>
      </c>
    </row>
    <row r="1058">
      <c r="A1058" s="14" t="s">
        <v>1101</v>
      </c>
      <c r="B1058" s="14">
        <v>295.0</v>
      </c>
      <c r="C1058" s="15">
        <f t="shared" si="4"/>
        <v>14</v>
      </c>
      <c r="D1058" s="14" t="s">
        <v>36</v>
      </c>
      <c r="E1058" s="16">
        <f t="shared" ref="E1058:G1058" si="3171">ROUNDUP((XLOOKUP($D1058,$T$3:$T$10,$U$3:$U$10)*XLOOKUP(E$2,$AA$3:$AA$5,$AB$3:$AB$5)-ABS(XLOOKUP($C1058,$Q$3:$Q$16,$R$3:$R$16)))*$B1058,-5)</f>
        <v>68800000</v>
      </c>
      <c r="F1058" s="16">
        <f t="shared" si="3171"/>
        <v>124400000</v>
      </c>
      <c r="G1058" s="16">
        <f t="shared" si="3171"/>
        <v>135900000</v>
      </c>
      <c r="H1058" s="17">
        <f t="shared" ref="H1058:J1058" si="3172">roundup((XLOOKUP($D1058,$T$3:$T$10,$U$3:$U$10)*XLOOKUP(H$2,$AA$3:$AA$5,$AC$3:$AC$5)-ABS(XLOOKUP($C1058,$Q$3:$Q$16,$R$3:$R$16)))*$B1058,-5)</f>
        <v>56200000</v>
      </c>
      <c r="I1058" s="17">
        <f t="shared" si="3172"/>
        <v>154700000</v>
      </c>
      <c r="J1058" s="17">
        <f t="shared" si="3172"/>
        <v>168100000</v>
      </c>
      <c r="K1058" s="17">
        <f t="shared" ref="K1058:M1058" si="3173">roundup((XLOOKUP($D1058,$T$3:$T$10,$U$3:$U$10)*XLOOKUP(K$2,$AA$3:$AA$5,$AD$3:$AD$5)-ABS(XLOOKUP($C1058,$Q$3:$Q$16,$R$3:$R$16)))*$B1058,-5)</f>
        <v>67100000</v>
      </c>
      <c r="L1058" s="17">
        <f t="shared" si="3173"/>
        <v>175200000</v>
      </c>
      <c r="M1058" s="17">
        <f t="shared" si="3173"/>
        <v>189900000</v>
      </c>
    </row>
    <row r="1059">
      <c r="A1059" s="14" t="s">
        <v>1102</v>
      </c>
      <c r="B1059" s="14">
        <v>350.0</v>
      </c>
      <c r="C1059" s="15">
        <f t="shared" si="4"/>
        <v>14</v>
      </c>
      <c r="D1059" s="14" t="s">
        <v>36</v>
      </c>
      <c r="E1059" s="16">
        <f t="shared" ref="E1059:G1059" si="3174">ROUNDUP((XLOOKUP($D1059,$T$3:$T$10,$U$3:$U$10)*XLOOKUP(E$2,$AA$3:$AA$5,$AB$3:$AB$5)-ABS(XLOOKUP($C1059,$Q$3:$Q$16,$R$3:$R$16)))*$B1059,-5)</f>
        <v>81700000</v>
      </c>
      <c r="F1059" s="16">
        <f t="shared" si="3174"/>
        <v>147600000</v>
      </c>
      <c r="G1059" s="16">
        <f t="shared" si="3174"/>
        <v>161200000</v>
      </c>
      <c r="H1059" s="17">
        <f t="shared" ref="H1059:J1059" si="3175">roundup((XLOOKUP($D1059,$T$3:$T$10,$U$3:$U$10)*XLOOKUP(H$2,$AA$3:$AA$5,$AC$3:$AC$5)-ABS(XLOOKUP($C1059,$Q$3:$Q$16,$R$3:$R$16)))*$B1059,-5)</f>
        <v>66700000</v>
      </c>
      <c r="I1059" s="17">
        <f t="shared" si="3175"/>
        <v>183500000</v>
      </c>
      <c r="J1059" s="17">
        <f t="shared" si="3175"/>
        <v>199400000</v>
      </c>
      <c r="K1059" s="17">
        <f t="shared" ref="K1059:M1059" si="3176">roundup((XLOOKUP($D1059,$T$3:$T$10,$U$3:$U$10)*XLOOKUP(K$2,$AA$3:$AA$5,$AD$3:$AD$5)-ABS(XLOOKUP($C1059,$Q$3:$Q$16,$R$3:$R$16)))*$B1059,-5)</f>
        <v>79600000</v>
      </c>
      <c r="L1059" s="17">
        <f t="shared" si="3176"/>
        <v>207800000</v>
      </c>
      <c r="M1059" s="17">
        <f t="shared" si="3176"/>
        <v>225300000</v>
      </c>
    </row>
    <row r="1060">
      <c r="A1060" s="14" t="s">
        <v>1103</v>
      </c>
      <c r="B1060" s="14">
        <v>193.0</v>
      </c>
      <c r="C1060" s="15">
        <f t="shared" si="4"/>
        <v>13</v>
      </c>
      <c r="D1060" s="14" t="s">
        <v>36</v>
      </c>
      <c r="E1060" s="16">
        <f t="shared" ref="E1060:G1060" si="3177">ROUNDUP((XLOOKUP($D1060,$T$3:$T$10,$U$3:$U$10)*XLOOKUP(E$2,$AA$3:$AA$5,$AB$3:$AB$5)-ABS(XLOOKUP($C1060,$Q$3:$Q$16,$R$3:$R$16)))*$B1060,-5)</f>
        <v>46800000</v>
      </c>
      <c r="F1060" s="16">
        <f t="shared" si="3177"/>
        <v>83100000</v>
      </c>
      <c r="G1060" s="16">
        <f t="shared" si="3177"/>
        <v>90700000</v>
      </c>
      <c r="H1060" s="17">
        <f t="shared" ref="H1060:J1060" si="3178">roundup((XLOOKUP($D1060,$T$3:$T$10,$U$3:$U$10)*XLOOKUP(H$2,$AA$3:$AA$5,$AC$3:$AC$5)-ABS(XLOOKUP($C1060,$Q$3:$Q$16,$R$3:$R$16)))*$B1060,-5)</f>
        <v>38500000</v>
      </c>
      <c r="I1060" s="17">
        <f t="shared" si="3178"/>
        <v>102900000</v>
      </c>
      <c r="J1060" s="17">
        <f t="shared" si="3178"/>
        <v>111700000</v>
      </c>
      <c r="K1060" s="17">
        <f t="shared" ref="K1060:M1060" si="3179">roundup((XLOOKUP($D1060,$T$3:$T$10,$U$3:$U$10)*XLOOKUP(K$2,$AA$3:$AA$5,$AD$3:$AD$5)-ABS(XLOOKUP($C1060,$Q$3:$Q$16,$R$3:$R$16)))*$B1060,-5)</f>
        <v>45700000</v>
      </c>
      <c r="L1060" s="17">
        <f t="shared" si="3179"/>
        <v>116400000</v>
      </c>
      <c r="M1060" s="17">
        <f t="shared" si="3179"/>
        <v>126000000</v>
      </c>
    </row>
    <row r="1061">
      <c r="A1061" s="14" t="s">
        <v>1104</v>
      </c>
      <c r="B1061" s="14">
        <v>275.0</v>
      </c>
      <c r="C1061" s="15">
        <f t="shared" si="4"/>
        <v>14</v>
      </c>
      <c r="D1061" s="14" t="s">
        <v>36</v>
      </c>
      <c r="E1061" s="16">
        <f t="shared" ref="E1061:G1061" si="3180">ROUNDUP((XLOOKUP($D1061,$T$3:$T$10,$U$3:$U$10)*XLOOKUP(E$2,$AA$3:$AA$5,$AB$3:$AB$5)-ABS(XLOOKUP($C1061,$Q$3:$Q$16,$R$3:$R$16)))*$B1061,-5)</f>
        <v>64200000</v>
      </c>
      <c r="F1061" s="16">
        <f t="shared" si="3180"/>
        <v>116000000</v>
      </c>
      <c r="G1061" s="16">
        <f t="shared" si="3180"/>
        <v>126700000</v>
      </c>
      <c r="H1061" s="17">
        <f t="shared" ref="H1061:J1061" si="3181">roundup((XLOOKUP($D1061,$T$3:$T$10,$U$3:$U$10)*XLOOKUP(H$2,$AA$3:$AA$5,$AC$3:$AC$5)-ABS(XLOOKUP($C1061,$Q$3:$Q$16,$R$3:$R$16)))*$B1061,-5)</f>
        <v>52400000</v>
      </c>
      <c r="I1061" s="17">
        <f t="shared" si="3181"/>
        <v>144200000</v>
      </c>
      <c r="J1061" s="17">
        <f t="shared" si="3181"/>
        <v>156700000</v>
      </c>
      <c r="K1061" s="17">
        <f t="shared" ref="K1061:M1061" si="3182">roundup((XLOOKUP($D1061,$T$3:$T$10,$U$3:$U$10)*XLOOKUP(K$2,$AA$3:$AA$5,$AD$3:$AD$5)-ABS(XLOOKUP($C1061,$Q$3:$Q$16,$R$3:$R$16)))*$B1061,-5)</f>
        <v>62600000</v>
      </c>
      <c r="L1061" s="17">
        <f t="shared" si="3182"/>
        <v>163300000</v>
      </c>
      <c r="M1061" s="17">
        <f t="shared" si="3182"/>
        <v>177100000</v>
      </c>
    </row>
    <row r="1062">
      <c r="A1062" s="14" t="s">
        <v>1105</v>
      </c>
      <c r="B1062" s="14">
        <v>206.0</v>
      </c>
      <c r="C1062" s="15">
        <f t="shared" si="4"/>
        <v>13</v>
      </c>
      <c r="D1062" s="14" t="s">
        <v>33</v>
      </c>
      <c r="E1062" s="16">
        <f t="shared" ref="E1062:G1062" si="3183">ROUNDUP((XLOOKUP($D1062,$T$3:$T$10,$U$3:$U$10)*XLOOKUP(E$2,$AA$3:$AA$5,$AB$3:$AB$5)-ABS(XLOOKUP($C1062,$Q$3:$Q$16,$R$3:$R$16)))*$B1062,-5)</f>
        <v>40600000</v>
      </c>
      <c r="F1062" s="16">
        <f t="shared" si="3183"/>
        <v>75200000</v>
      </c>
      <c r="G1062" s="16">
        <f t="shared" si="3183"/>
        <v>82300000</v>
      </c>
      <c r="H1062" s="17">
        <f t="shared" ref="H1062:J1062" si="3184">roundup((XLOOKUP($D1062,$T$3:$T$10,$U$3:$U$10)*XLOOKUP(H$2,$AA$3:$AA$5,$AC$3:$AC$5)-ABS(XLOOKUP($C1062,$Q$3:$Q$16,$R$3:$R$16)))*$B1062,-5)</f>
        <v>32700000</v>
      </c>
      <c r="I1062" s="17">
        <f t="shared" si="3184"/>
        <v>94000000</v>
      </c>
      <c r="J1062" s="17">
        <f t="shared" si="3184"/>
        <v>102400000</v>
      </c>
      <c r="K1062" s="17">
        <f t="shared" ref="K1062:M1062" si="3185">roundup((XLOOKUP($D1062,$T$3:$T$10,$U$3:$U$10)*XLOOKUP(K$2,$AA$3:$AA$5,$AD$3:$AD$5)-ABS(XLOOKUP($C1062,$Q$3:$Q$16,$R$3:$R$16)))*$B1062,-5)</f>
        <v>39500000</v>
      </c>
      <c r="L1062" s="17">
        <f t="shared" si="3185"/>
        <v>106800000</v>
      </c>
      <c r="M1062" s="17">
        <f t="shared" si="3185"/>
        <v>116000000</v>
      </c>
    </row>
    <row r="1063">
      <c r="A1063" s="14" t="s">
        <v>1106</v>
      </c>
      <c r="B1063" s="14">
        <v>294.0</v>
      </c>
      <c r="C1063" s="15">
        <f t="shared" si="4"/>
        <v>14</v>
      </c>
      <c r="D1063" s="14" t="s">
        <v>36</v>
      </c>
      <c r="E1063" s="16">
        <f t="shared" ref="E1063:G1063" si="3186">ROUNDUP((XLOOKUP($D1063,$T$3:$T$10,$U$3:$U$10)*XLOOKUP(E$2,$AA$3:$AA$5,$AB$3:$AB$5)-ABS(XLOOKUP($C1063,$Q$3:$Q$16,$R$3:$R$16)))*$B1063,-5)</f>
        <v>68600000</v>
      </c>
      <c r="F1063" s="16">
        <f t="shared" si="3186"/>
        <v>124000000</v>
      </c>
      <c r="G1063" s="16">
        <f t="shared" si="3186"/>
        <v>135400000</v>
      </c>
      <c r="H1063" s="17">
        <f t="shared" ref="H1063:J1063" si="3187">roundup((XLOOKUP($D1063,$T$3:$T$10,$U$3:$U$10)*XLOOKUP(H$2,$AA$3:$AA$5,$AC$3:$AC$5)-ABS(XLOOKUP($C1063,$Q$3:$Q$16,$R$3:$R$16)))*$B1063,-5)</f>
        <v>56000000</v>
      </c>
      <c r="I1063" s="17">
        <f t="shared" si="3187"/>
        <v>154200000</v>
      </c>
      <c r="J1063" s="17">
        <f t="shared" si="3187"/>
        <v>167500000</v>
      </c>
      <c r="K1063" s="17">
        <f t="shared" ref="K1063:M1063" si="3188">roundup((XLOOKUP($D1063,$T$3:$T$10,$U$3:$U$10)*XLOOKUP(K$2,$AA$3:$AA$5,$AD$3:$AD$5)-ABS(XLOOKUP($C1063,$Q$3:$Q$16,$R$3:$R$16)))*$B1063,-5)</f>
        <v>66900000</v>
      </c>
      <c r="L1063" s="17">
        <f t="shared" si="3188"/>
        <v>174600000</v>
      </c>
      <c r="M1063" s="17">
        <f t="shared" si="3188"/>
        <v>189300000</v>
      </c>
    </row>
    <row r="1064">
      <c r="A1064" s="14" t="s">
        <v>1107</v>
      </c>
      <c r="B1064" s="14">
        <v>146.0</v>
      </c>
      <c r="C1064" s="15">
        <f t="shared" si="4"/>
        <v>11</v>
      </c>
      <c r="D1064" s="14" t="s">
        <v>33</v>
      </c>
      <c r="E1064" s="16">
        <f t="shared" ref="E1064:G1064" si="3189">ROUNDUP((XLOOKUP($D1064,$T$3:$T$10,$U$3:$U$10)*XLOOKUP(E$2,$AA$3:$AA$5,$AB$3:$AB$5)-ABS(XLOOKUP($C1064,$Q$3:$Q$16,$R$3:$R$16)))*$B1064,-5)</f>
        <v>31700000</v>
      </c>
      <c r="F1064" s="16">
        <f t="shared" si="3189"/>
        <v>56200000</v>
      </c>
      <c r="G1064" s="16">
        <f t="shared" si="3189"/>
        <v>61300000</v>
      </c>
      <c r="H1064" s="17">
        <f t="shared" ref="H1064:J1064" si="3190">roundup((XLOOKUP($D1064,$T$3:$T$10,$U$3:$U$10)*XLOOKUP(H$2,$AA$3:$AA$5,$AC$3:$AC$5)-ABS(XLOOKUP($C1064,$Q$3:$Q$16,$R$3:$R$16)))*$B1064,-5)</f>
        <v>26100000</v>
      </c>
      <c r="I1064" s="17">
        <f t="shared" si="3190"/>
        <v>69600000</v>
      </c>
      <c r="J1064" s="17">
        <f t="shared" si="3190"/>
        <v>75500000</v>
      </c>
      <c r="K1064" s="17">
        <f t="shared" ref="K1064:M1064" si="3191">roundup((XLOOKUP($D1064,$T$3:$T$10,$U$3:$U$10)*XLOOKUP(K$2,$AA$3:$AA$5,$AD$3:$AD$5)-ABS(XLOOKUP($C1064,$Q$3:$Q$16,$R$3:$R$16)))*$B1064,-5)</f>
        <v>30900000</v>
      </c>
      <c r="L1064" s="17">
        <f t="shared" si="3191"/>
        <v>78600000</v>
      </c>
      <c r="M1064" s="17">
        <f t="shared" si="3191"/>
        <v>85200000</v>
      </c>
    </row>
    <row r="1065">
      <c r="A1065" s="14" t="s">
        <v>1108</v>
      </c>
      <c r="B1065" s="14">
        <v>192.0</v>
      </c>
      <c r="C1065" s="15">
        <f t="shared" si="4"/>
        <v>13</v>
      </c>
      <c r="D1065" s="14" t="s">
        <v>33</v>
      </c>
      <c r="E1065" s="16">
        <f t="shared" ref="E1065:G1065" si="3192">ROUNDUP((XLOOKUP($D1065,$T$3:$T$10,$U$3:$U$10)*XLOOKUP(E$2,$AA$3:$AA$5,$AB$3:$AB$5)-ABS(XLOOKUP($C1065,$Q$3:$Q$16,$R$3:$R$16)))*$B1065,-5)</f>
        <v>37800000</v>
      </c>
      <c r="F1065" s="16">
        <f t="shared" si="3192"/>
        <v>70100000</v>
      </c>
      <c r="G1065" s="16">
        <f t="shared" si="3192"/>
        <v>76800000</v>
      </c>
      <c r="H1065" s="17">
        <f t="shared" ref="H1065:J1065" si="3193">roundup((XLOOKUP($D1065,$T$3:$T$10,$U$3:$U$10)*XLOOKUP(H$2,$AA$3:$AA$5,$AC$3:$AC$5)-ABS(XLOOKUP($C1065,$Q$3:$Q$16,$R$3:$R$16)))*$B1065,-5)</f>
        <v>30500000</v>
      </c>
      <c r="I1065" s="17">
        <f t="shared" si="3193"/>
        <v>87700000</v>
      </c>
      <c r="J1065" s="17">
        <f t="shared" si="3193"/>
        <v>95400000</v>
      </c>
      <c r="K1065" s="17">
        <f t="shared" ref="K1065:M1065" si="3194">roundup((XLOOKUP($D1065,$T$3:$T$10,$U$3:$U$10)*XLOOKUP(K$2,$AA$3:$AA$5,$AD$3:$AD$5)-ABS(XLOOKUP($C1065,$Q$3:$Q$16,$R$3:$R$16)))*$B1065,-5)</f>
        <v>36800000</v>
      </c>
      <c r="L1065" s="17">
        <f t="shared" si="3194"/>
        <v>99600000</v>
      </c>
      <c r="M1065" s="17">
        <f t="shared" si="3194"/>
        <v>108100000</v>
      </c>
    </row>
    <row r="1066">
      <c r="A1066" s="14" t="s">
        <v>1109</v>
      </c>
      <c r="B1066" s="14">
        <v>139.0</v>
      </c>
      <c r="C1066" s="15">
        <f t="shared" si="4"/>
        <v>11</v>
      </c>
      <c r="D1066" s="14" t="s">
        <v>33</v>
      </c>
      <c r="E1066" s="16">
        <f t="shared" ref="E1066:G1066" si="3195">ROUNDUP((XLOOKUP($D1066,$T$3:$T$10,$U$3:$U$10)*XLOOKUP(E$2,$AA$3:$AA$5,$AB$3:$AB$5)-ABS(XLOOKUP($C1066,$Q$3:$Q$16,$R$3:$R$16)))*$B1066,-5)</f>
        <v>30200000</v>
      </c>
      <c r="F1066" s="16">
        <f t="shared" si="3195"/>
        <v>53500000</v>
      </c>
      <c r="G1066" s="16">
        <f t="shared" si="3195"/>
        <v>58400000</v>
      </c>
      <c r="H1066" s="17">
        <f t="shared" ref="H1066:J1066" si="3196">roundup((XLOOKUP($D1066,$T$3:$T$10,$U$3:$U$10)*XLOOKUP(H$2,$AA$3:$AA$5,$AC$3:$AC$5)-ABS(XLOOKUP($C1066,$Q$3:$Q$16,$R$3:$R$16)))*$B1066,-5)</f>
        <v>24900000</v>
      </c>
      <c r="I1066" s="17">
        <f t="shared" si="3196"/>
        <v>66300000</v>
      </c>
      <c r="J1066" s="17">
        <f t="shared" si="3196"/>
        <v>71900000</v>
      </c>
      <c r="K1066" s="17">
        <f t="shared" ref="K1066:M1066" si="3197">roundup((XLOOKUP($D1066,$T$3:$T$10,$U$3:$U$10)*XLOOKUP(K$2,$AA$3:$AA$5,$AD$3:$AD$5)-ABS(XLOOKUP($C1066,$Q$3:$Q$16,$R$3:$R$16)))*$B1066,-5)</f>
        <v>29400000</v>
      </c>
      <c r="L1066" s="17">
        <f t="shared" si="3197"/>
        <v>74900000</v>
      </c>
      <c r="M1066" s="17">
        <f t="shared" si="3197"/>
        <v>81100000</v>
      </c>
    </row>
    <row r="1067">
      <c r="A1067" s="14" t="s">
        <v>1110</v>
      </c>
      <c r="B1067" s="14">
        <v>141.0</v>
      </c>
      <c r="C1067" s="15">
        <f t="shared" si="4"/>
        <v>11</v>
      </c>
      <c r="D1067" s="14" t="s">
        <v>33</v>
      </c>
      <c r="E1067" s="16">
        <f t="shared" ref="E1067:G1067" si="3198">ROUNDUP((XLOOKUP($D1067,$T$3:$T$10,$U$3:$U$10)*XLOOKUP(E$2,$AA$3:$AA$5,$AB$3:$AB$5)-ABS(XLOOKUP($C1067,$Q$3:$Q$16,$R$3:$R$16)))*$B1067,-5)</f>
        <v>30600000</v>
      </c>
      <c r="F1067" s="16">
        <f t="shared" si="3198"/>
        <v>54300000</v>
      </c>
      <c r="G1067" s="16">
        <f t="shared" si="3198"/>
        <v>59200000</v>
      </c>
      <c r="H1067" s="17">
        <f t="shared" ref="H1067:J1067" si="3199">roundup((XLOOKUP($D1067,$T$3:$T$10,$U$3:$U$10)*XLOOKUP(H$2,$AA$3:$AA$5,$AC$3:$AC$5)-ABS(XLOOKUP($C1067,$Q$3:$Q$16,$R$3:$R$16)))*$B1067,-5)</f>
        <v>25200000</v>
      </c>
      <c r="I1067" s="17">
        <f t="shared" si="3199"/>
        <v>67200000</v>
      </c>
      <c r="J1067" s="17">
        <f t="shared" si="3199"/>
        <v>72900000</v>
      </c>
      <c r="K1067" s="17">
        <f t="shared" ref="K1067:M1067" si="3200">roundup((XLOOKUP($D1067,$T$3:$T$10,$U$3:$U$10)*XLOOKUP(K$2,$AA$3:$AA$5,$AD$3:$AD$5)-ABS(XLOOKUP($C1067,$Q$3:$Q$16,$R$3:$R$16)))*$B1067,-5)</f>
        <v>29900000</v>
      </c>
      <c r="L1067" s="17">
        <f t="shared" si="3200"/>
        <v>75900000</v>
      </c>
      <c r="M1067" s="17">
        <f t="shared" si="3200"/>
        <v>82200000</v>
      </c>
    </row>
    <row r="1068">
      <c r="A1068" s="14" t="s">
        <v>1111</v>
      </c>
      <c r="B1068" s="14">
        <v>71.0</v>
      </c>
      <c r="C1068" s="15">
        <f t="shared" si="4"/>
        <v>9</v>
      </c>
      <c r="D1068" s="14" t="s">
        <v>36</v>
      </c>
      <c r="E1068" s="16">
        <f t="shared" ref="E1068:G1068" si="3201">ROUNDUP((XLOOKUP($D1068,$T$3:$T$10,$U$3:$U$10)*XLOOKUP(E$2,$AA$3:$AA$5,$AB$3:$AB$5)-ABS(XLOOKUP($C1068,$Q$3:$Q$16,$R$3:$R$16)))*$B1068,-5)</f>
        <v>25100000</v>
      </c>
      <c r="F1068" s="16">
        <f t="shared" si="3201"/>
        <v>38500000</v>
      </c>
      <c r="G1068" s="16">
        <f t="shared" si="3201"/>
        <v>41300000</v>
      </c>
      <c r="H1068" s="17">
        <f t="shared" ref="H1068:J1068" si="3202">roundup((XLOOKUP($D1068,$T$3:$T$10,$U$3:$U$10)*XLOOKUP(H$2,$AA$3:$AA$5,$AC$3:$AC$5)-ABS(XLOOKUP($C1068,$Q$3:$Q$16,$R$3:$R$16)))*$B1068,-5)</f>
        <v>22100000</v>
      </c>
      <c r="I1068" s="17">
        <f t="shared" si="3202"/>
        <v>45800000</v>
      </c>
      <c r="J1068" s="17">
        <f t="shared" si="3202"/>
        <v>49000000</v>
      </c>
      <c r="K1068" s="17">
        <f t="shared" ref="K1068:M1068" si="3203">roundup((XLOOKUP($D1068,$T$3:$T$10,$U$3:$U$10)*XLOOKUP(K$2,$AA$3:$AA$5,$AD$3:$AD$5)-ABS(XLOOKUP($C1068,$Q$3:$Q$16,$R$3:$R$16)))*$B1068,-5)</f>
        <v>24700000</v>
      </c>
      <c r="L1068" s="17">
        <f t="shared" si="3203"/>
        <v>50700000</v>
      </c>
      <c r="M1068" s="17">
        <f t="shared" si="3203"/>
        <v>54300000</v>
      </c>
    </row>
    <row r="1069">
      <c r="A1069" s="14" t="s">
        <v>1112</v>
      </c>
      <c r="B1069" s="14">
        <v>141.0</v>
      </c>
      <c r="C1069" s="15">
        <f t="shared" si="4"/>
        <v>11</v>
      </c>
      <c r="D1069" s="14" t="s">
        <v>33</v>
      </c>
      <c r="E1069" s="16">
        <f t="shared" ref="E1069:G1069" si="3204">ROUNDUP((XLOOKUP($D1069,$T$3:$T$10,$U$3:$U$10)*XLOOKUP(E$2,$AA$3:$AA$5,$AB$3:$AB$5)-ABS(XLOOKUP($C1069,$Q$3:$Q$16,$R$3:$R$16)))*$B1069,-5)</f>
        <v>30600000</v>
      </c>
      <c r="F1069" s="16">
        <f t="shared" si="3204"/>
        <v>54300000</v>
      </c>
      <c r="G1069" s="16">
        <f t="shared" si="3204"/>
        <v>59200000</v>
      </c>
      <c r="H1069" s="17">
        <f t="shared" ref="H1069:J1069" si="3205">roundup((XLOOKUP($D1069,$T$3:$T$10,$U$3:$U$10)*XLOOKUP(H$2,$AA$3:$AA$5,$AC$3:$AC$5)-ABS(XLOOKUP($C1069,$Q$3:$Q$16,$R$3:$R$16)))*$B1069,-5)</f>
        <v>25200000</v>
      </c>
      <c r="I1069" s="17">
        <f t="shared" si="3205"/>
        <v>67200000</v>
      </c>
      <c r="J1069" s="17">
        <f t="shared" si="3205"/>
        <v>72900000</v>
      </c>
      <c r="K1069" s="17">
        <f t="shared" ref="K1069:M1069" si="3206">roundup((XLOOKUP($D1069,$T$3:$T$10,$U$3:$U$10)*XLOOKUP(K$2,$AA$3:$AA$5,$AD$3:$AD$5)-ABS(XLOOKUP($C1069,$Q$3:$Q$16,$R$3:$R$16)))*$B1069,-5)</f>
        <v>29900000</v>
      </c>
      <c r="L1069" s="17">
        <f t="shared" si="3206"/>
        <v>75900000</v>
      </c>
      <c r="M1069" s="17">
        <f t="shared" si="3206"/>
        <v>82200000</v>
      </c>
    </row>
    <row r="1070">
      <c r="A1070" s="14" t="s">
        <v>1113</v>
      </c>
      <c r="B1070" s="14">
        <v>203.0</v>
      </c>
      <c r="C1070" s="15">
        <f t="shared" si="4"/>
        <v>13</v>
      </c>
      <c r="D1070" s="14" t="s">
        <v>36</v>
      </c>
      <c r="E1070" s="16">
        <f t="shared" ref="E1070:G1070" si="3207">ROUNDUP((XLOOKUP($D1070,$T$3:$T$10,$U$3:$U$10)*XLOOKUP(E$2,$AA$3:$AA$5,$AB$3:$AB$5)-ABS(XLOOKUP($C1070,$Q$3:$Q$16,$R$3:$R$16)))*$B1070,-5)</f>
        <v>49200000</v>
      </c>
      <c r="F1070" s="16">
        <f t="shared" si="3207"/>
        <v>87400000</v>
      </c>
      <c r="G1070" s="16">
        <f t="shared" si="3207"/>
        <v>95400000</v>
      </c>
      <c r="H1070" s="17">
        <f t="shared" ref="H1070:J1070" si="3208">roundup((XLOOKUP($D1070,$T$3:$T$10,$U$3:$U$10)*XLOOKUP(H$2,$AA$3:$AA$5,$AC$3:$AC$5)-ABS(XLOOKUP($C1070,$Q$3:$Q$16,$R$3:$R$16)))*$B1070,-5)</f>
        <v>40500000</v>
      </c>
      <c r="I1070" s="17">
        <f t="shared" si="3208"/>
        <v>108300000</v>
      </c>
      <c r="J1070" s="17">
        <f t="shared" si="3208"/>
        <v>117500000</v>
      </c>
      <c r="K1070" s="17">
        <f t="shared" ref="K1070:M1070" si="3209">roundup((XLOOKUP($D1070,$T$3:$T$10,$U$3:$U$10)*XLOOKUP(K$2,$AA$3:$AA$5,$AD$3:$AD$5)-ABS(XLOOKUP($C1070,$Q$3:$Q$16,$R$3:$R$16)))*$B1070,-5)</f>
        <v>48000000</v>
      </c>
      <c r="L1070" s="17">
        <f t="shared" si="3209"/>
        <v>122400000</v>
      </c>
      <c r="M1070" s="17">
        <f t="shared" si="3209"/>
        <v>132500000</v>
      </c>
    </row>
    <row r="1071">
      <c r="A1071" s="14" t="s">
        <v>1114</v>
      </c>
      <c r="B1071" s="14">
        <v>203.0</v>
      </c>
      <c r="C1071" s="15">
        <f t="shared" si="4"/>
        <v>13</v>
      </c>
      <c r="D1071" s="14" t="s">
        <v>36</v>
      </c>
      <c r="E1071" s="16">
        <f t="shared" ref="E1071:G1071" si="3210">ROUNDUP((XLOOKUP($D1071,$T$3:$T$10,$U$3:$U$10)*XLOOKUP(E$2,$AA$3:$AA$5,$AB$3:$AB$5)-ABS(XLOOKUP($C1071,$Q$3:$Q$16,$R$3:$R$16)))*$B1071,-5)</f>
        <v>49200000</v>
      </c>
      <c r="F1071" s="16">
        <f t="shared" si="3210"/>
        <v>87400000</v>
      </c>
      <c r="G1071" s="16">
        <f t="shared" si="3210"/>
        <v>95400000</v>
      </c>
      <c r="H1071" s="17">
        <f t="shared" ref="H1071:J1071" si="3211">roundup((XLOOKUP($D1071,$T$3:$T$10,$U$3:$U$10)*XLOOKUP(H$2,$AA$3:$AA$5,$AC$3:$AC$5)-ABS(XLOOKUP($C1071,$Q$3:$Q$16,$R$3:$R$16)))*$B1071,-5)</f>
        <v>40500000</v>
      </c>
      <c r="I1071" s="17">
        <f t="shared" si="3211"/>
        <v>108300000</v>
      </c>
      <c r="J1071" s="17">
        <f t="shared" si="3211"/>
        <v>117500000</v>
      </c>
      <c r="K1071" s="17">
        <f t="shared" ref="K1071:M1071" si="3212">roundup((XLOOKUP($D1071,$T$3:$T$10,$U$3:$U$10)*XLOOKUP(K$2,$AA$3:$AA$5,$AD$3:$AD$5)-ABS(XLOOKUP($C1071,$Q$3:$Q$16,$R$3:$R$16)))*$B1071,-5)</f>
        <v>48000000</v>
      </c>
      <c r="L1071" s="17">
        <f t="shared" si="3212"/>
        <v>122400000</v>
      </c>
      <c r="M1071" s="17">
        <f t="shared" si="3212"/>
        <v>132500000</v>
      </c>
    </row>
    <row r="1072">
      <c r="A1072" s="14" t="s">
        <v>1115</v>
      </c>
      <c r="B1072" s="14">
        <v>221.0</v>
      </c>
      <c r="C1072" s="15">
        <f t="shared" si="4"/>
        <v>14</v>
      </c>
      <c r="D1072" s="14" t="s">
        <v>36</v>
      </c>
      <c r="E1072" s="16">
        <f t="shared" ref="E1072:G1072" si="3213">ROUNDUP((XLOOKUP($D1072,$T$3:$T$10,$U$3:$U$10)*XLOOKUP(E$2,$AA$3:$AA$5,$AB$3:$AB$5)-ABS(XLOOKUP($C1072,$Q$3:$Q$16,$R$3:$R$16)))*$B1072,-5)</f>
        <v>51600000</v>
      </c>
      <c r="F1072" s="16">
        <f t="shared" si="3213"/>
        <v>93200000</v>
      </c>
      <c r="G1072" s="16">
        <f t="shared" si="3213"/>
        <v>101800000</v>
      </c>
      <c r="H1072" s="17">
        <f t="shared" ref="H1072:J1072" si="3214">roundup((XLOOKUP($D1072,$T$3:$T$10,$U$3:$U$10)*XLOOKUP(H$2,$AA$3:$AA$5,$AC$3:$AC$5)-ABS(XLOOKUP($C1072,$Q$3:$Q$16,$R$3:$R$16)))*$B1072,-5)</f>
        <v>42100000</v>
      </c>
      <c r="I1072" s="17">
        <f t="shared" si="3214"/>
        <v>115900000</v>
      </c>
      <c r="J1072" s="17">
        <f t="shared" si="3214"/>
        <v>125900000</v>
      </c>
      <c r="K1072" s="17">
        <f t="shared" ref="K1072:M1072" si="3215">roundup((XLOOKUP($D1072,$T$3:$T$10,$U$3:$U$10)*XLOOKUP(K$2,$AA$3:$AA$5,$AD$3:$AD$5)-ABS(XLOOKUP($C1072,$Q$3:$Q$16,$R$3:$R$16)))*$B1072,-5)</f>
        <v>50300000</v>
      </c>
      <c r="L1072" s="17">
        <f t="shared" si="3215"/>
        <v>131200000</v>
      </c>
      <c r="M1072" s="17">
        <f t="shared" si="3215"/>
        <v>142300000</v>
      </c>
    </row>
    <row r="1073">
      <c r="A1073" s="14" t="s">
        <v>1116</v>
      </c>
      <c r="B1073" s="14">
        <v>135.0</v>
      </c>
      <c r="C1073" s="15">
        <f t="shared" si="4"/>
        <v>11</v>
      </c>
      <c r="D1073" s="14" t="s">
        <v>36</v>
      </c>
      <c r="E1073" s="16">
        <f t="shared" ref="E1073:G1073" si="3216">ROUNDUP((XLOOKUP($D1073,$T$3:$T$10,$U$3:$U$10)*XLOOKUP(E$2,$AA$3:$AA$5,$AB$3:$AB$5)-ABS(XLOOKUP($C1073,$Q$3:$Q$16,$R$3:$R$16)))*$B1073,-5)</f>
        <v>35400000</v>
      </c>
      <c r="F1073" s="16">
        <f t="shared" si="3216"/>
        <v>60900000</v>
      </c>
      <c r="G1073" s="16">
        <f t="shared" si="3216"/>
        <v>66100000</v>
      </c>
      <c r="H1073" s="17">
        <f t="shared" ref="H1073:J1073" si="3217">roundup((XLOOKUP($D1073,$T$3:$T$10,$U$3:$U$10)*XLOOKUP(H$2,$AA$3:$AA$5,$AC$3:$AC$5)-ABS(XLOOKUP($C1073,$Q$3:$Q$16,$R$3:$R$16)))*$B1073,-5)</f>
        <v>29700000</v>
      </c>
      <c r="I1073" s="17">
        <f t="shared" si="3217"/>
        <v>74700000</v>
      </c>
      <c r="J1073" s="17">
        <f t="shared" si="3217"/>
        <v>80900000</v>
      </c>
      <c r="K1073" s="17">
        <f t="shared" ref="K1073:M1073" si="3218">roundup((XLOOKUP($D1073,$T$3:$T$10,$U$3:$U$10)*XLOOKUP(K$2,$AA$3:$AA$5,$AD$3:$AD$5)-ABS(XLOOKUP($C1073,$Q$3:$Q$16,$R$3:$R$16)))*$B1073,-5)</f>
        <v>34700000</v>
      </c>
      <c r="L1073" s="17">
        <f t="shared" si="3218"/>
        <v>84100000</v>
      </c>
      <c r="M1073" s="17">
        <f t="shared" si="3218"/>
        <v>90900000</v>
      </c>
    </row>
    <row r="1074">
      <c r="A1074" s="14" t="s">
        <v>1117</v>
      </c>
      <c r="B1074" s="14">
        <v>206.0</v>
      </c>
      <c r="C1074" s="15">
        <f t="shared" si="4"/>
        <v>13</v>
      </c>
      <c r="D1074" s="14" t="s">
        <v>36</v>
      </c>
      <c r="E1074" s="16">
        <f t="shared" ref="E1074:G1074" si="3219">ROUNDUP((XLOOKUP($D1074,$T$3:$T$10,$U$3:$U$10)*XLOOKUP(E$2,$AA$3:$AA$5,$AB$3:$AB$5)-ABS(XLOOKUP($C1074,$Q$3:$Q$16,$R$3:$R$16)))*$B1074,-5)</f>
        <v>49900000</v>
      </c>
      <c r="F1074" s="16">
        <f t="shared" si="3219"/>
        <v>88700000</v>
      </c>
      <c r="G1074" s="16">
        <f t="shared" si="3219"/>
        <v>96800000</v>
      </c>
      <c r="H1074" s="17">
        <f t="shared" ref="H1074:J1074" si="3220">roundup((XLOOKUP($D1074,$T$3:$T$10,$U$3:$U$10)*XLOOKUP(H$2,$AA$3:$AA$5,$AC$3:$AC$5)-ABS(XLOOKUP($C1074,$Q$3:$Q$16,$R$3:$R$16)))*$B1074,-5)</f>
        <v>41100000</v>
      </c>
      <c r="I1074" s="17">
        <f t="shared" si="3220"/>
        <v>109900000</v>
      </c>
      <c r="J1074" s="17">
        <f t="shared" si="3220"/>
        <v>119200000</v>
      </c>
      <c r="K1074" s="17">
        <f t="shared" ref="K1074:M1074" si="3221">roundup((XLOOKUP($D1074,$T$3:$T$10,$U$3:$U$10)*XLOOKUP(K$2,$AA$3:$AA$5,$AD$3:$AD$5)-ABS(XLOOKUP($C1074,$Q$3:$Q$16,$R$3:$R$16)))*$B1074,-5)</f>
        <v>48700000</v>
      </c>
      <c r="L1074" s="17">
        <f t="shared" si="3221"/>
        <v>124200000</v>
      </c>
      <c r="M1074" s="17">
        <f t="shared" si="3221"/>
        <v>134500000</v>
      </c>
    </row>
    <row r="1075">
      <c r="A1075" s="14" t="s">
        <v>1118</v>
      </c>
      <c r="B1075" s="14">
        <v>155.0</v>
      </c>
      <c r="C1075" s="15">
        <f t="shared" si="4"/>
        <v>11</v>
      </c>
      <c r="D1075" s="14" t="s">
        <v>33</v>
      </c>
      <c r="E1075" s="16">
        <f t="shared" ref="E1075:G1075" si="3222">ROUNDUP((XLOOKUP($D1075,$T$3:$T$10,$U$3:$U$10)*XLOOKUP(E$2,$AA$3:$AA$5,$AB$3:$AB$5)-ABS(XLOOKUP($C1075,$Q$3:$Q$16,$R$3:$R$16)))*$B1075,-5)</f>
        <v>33600000</v>
      </c>
      <c r="F1075" s="16">
        <f t="shared" si="3222"/>
        <v>59700000</v>
      </c>
      <c r="G1075" s="16">
        <f t="shared" si="3222"/>
        <v>65100000</v>
      </c>
      <c r="H1075" s="17">
        <f t="shared" ref="H1075:J1075" si="3223">roundup((XLOOKUP($D1075,$T$3:$T$10,$U$3:$U$10)*XLOOKUP(H$2,$AA$3:$AA$5,$AC$3:$AC$5)-ABS(XLOOKUP($C1075,$Q$3:$Q$16,$R$3:$R$16)))*$B1075,-5)</f>
        <v>27700000</v>
      </c>
      <c r="I1075" s="17">
        <f t="shared" si="3223"/>
        <v>73900000</v>
      </c>
      <c r="J1075" s="17">
        <f t="shared" si="3223"/>
        <v>80200000</v>
      </c>
      <c r="K1075" s="17">
        <f t="shared" ref="K1075:M1075" si="3224">roundup((XLOOKUP($D1075,$T$3:$T$10,$U$3:$U$10)*XLOOKUP(K$2,$AA$3:$AA$5,$AD$3:$AD$5)-ABS(XLOOKUP($C1075,$Q$3:$Q$16,$R$3:$R$16)))*$B1075,-5)</f>
        <v>32800000</v>
      </c>
      <c r="L1075" s="17">
        <f t="shared" si="3224"/>
        <v>83500000</v>
      </c>
      <c r="M1075" s="17">
        <f t="shared" si="3224"/>
        <v>90400000</v>
      </c>
    </row>
    <row r="1076">
      <c r="A1076" s="14" t="s">
        <v>1119</v>
      </c>
      <c r="B1076" s="14">
        <v>251.0</v>
      </c>
      <c r="C1076" s="15">
        <f t="shared" si="4"/>
        <v>14</v>
      </c>
      <c r="D1076" s="14" t="s">
        <v>36</v>
      </c>
      <c r="E1076" s="16">
        <f t="shared" ref="E1076:G1076" si="3225">ROUNDUP((XLOOKUP($D1076,$T$3:$T$10,$U$3:$U$10)*XLOOKUP(E$2,$AA$3:$AA$5,$AB$3:$AB$5)-ABS(XLOOKUP($C1076,$Q$3:$Q$16,$R$3:$R$16)))*$B1076,-5)</f>
        <v>58600000</v>
      </c>
      <c r="F1076" s="16">
        <f t="shared" si="3225"/>
        <v>105900000</v>
      </c>
      <c r="G1076" s="16">
        <f t="shared" si="3225"/>
        <v>115600000</v>
      </c>
      <c r="H1076" s="17">
        <f t="shared" ref="H1076:J1076" si="3226">roundup((XLOOKUP($D1076,$T$3:$T$10,$U$3:$U$10)*XLOOKUP(H$2,$AA$3:$AA$5,$AC$3:$AC$5)-ABS(XLOOKUP($C1076,$Q$3:$Q$16,$R$3:$R$16)))*$B1076,-5)</f>
        <v>47800000</v>
      </c>
      <c r="I1076" s="17">
        <f t="shared" si="3226"/>
        <v>131600000</v>
      </c>
      <c r="J1076" s="17">
        <f t="shared" si="3226"/>
        <v>143000000</v>
      </c>
      <c r="K1076" s="17">
        <f t="shared" ref="K1076:M1076" si="3227">roundup((XLOOKUP($D1076,$T$3:$T$10,$U$3:$U$10)*XLOOKUP(K$2,$AA$3:$AA$5,$AD$3:$AD$5)-ABS(XLOOKUP($C1076,$Q$3:$Q$16,$R$3:$R$16)))*$B1076,-5)</f>
        <v>57100000</v>
      </c>
      <c r="L1076" s="17">
        <f t="shared" si="3227"/>
        <v>149100000</v>
      </c>
      <c r="M1076" s="17">
        <f t="shared" si="3227"/>
        <v>161600000</v>
      </c>
    </row>
    <row r="1077">
      <c r="A1077" s="14" t="s">
        <v>1120</v>
      </c>
      <c r="B1077" s="14">
        <v>316.0</v>
      </c>
      <c r="C1077" s="15">
        <f t="shared" si="4"/>
        <v>14</v>
      </c>
      <c r="D1077" s="14" t="s">
        <v>33</v>
      </c>
      <c r="E1077" s="16">
        <f t="shared" ref="E1077:G1077" si="3228">ROUNDUP((XLOOKUP($D1077,$T$3:$T$10,$U$3:$U$10)*XLOOKUP(E$2,$AA$3:$AA$5,$AB$3:$AB$5)-ABS(XLOOKUP($C1077,$Q$3:$Q$16,$R$3:$R$16)))*$B1077,-5)</f>
        <v>59400000</v>
      </c>
      <c r="F1077" s="16">
        <f t="shared" si="3228"/>
        <v>112500000</v>
      </c>
      <c r="G1077" s="16">
        <f t="shared" si="3228"/>
        <v>123400000</v>
      </c>
      <c r="H1077" s="17">
        <f t="shared" ref="H1077:J1077" si="3229">roundup((XLOOKUP($D1077,$T$3:$T$10,$U$3:$U$10)*XLOOKUP(H$2,$AA$3:$AA$5,$AC$3:$AC$5)-ABS(XLOOKUP($C1077,$Q$3:$Q$16,$R$3:$R$16)))*$B1077,-5)</f>
        <v>47300000</v>
      </c>
      <c r="I1077" s="17">
        <f t="shared" si="3229"/>
        <v>141400000</v>
      </c>
      <c r="J1077" s="17">
        <f t="shared" si="3229"/>
        <v>154200000</v>
      </c>
      <c r="K1077" s="17">
        <f t="shared" ref="K1077:M1077" si="3230">roundup((XLOOKUP($D1077,$T$3:$T$10,$U$3:$U$10)*XLOOKUP(K$2,$AA$3:$AA$5,$AD$3:$AD$5)-ABS(XLOOKUP($C1077,$Q$3:$Q$16,$R$3:$R$16)))*$B1077,-5)</f>
        <v>57700000</v>
      </c>
      <c r="L1077" s="17">
        <f t="shared" si="3230"/>
        <v>161000000</v>
      </c>
      <c r="M1077" s="17">
        <f t="shared" si="3230"/>
        <v>175100000</v>
      </c>
    </row>
    <row r="1078">
      <c r="A1078" s="14" t="s">
        <v>1121</v>
      </c>
      <c r="B1078" s="14">
        <v>188.0</v>
      </c>
      <c r="C1078" s="15">
        <f t="shared" si="4"/>
        <v>13</v>
      </c>
      <c r="D1078" s="14" t="s">
        <v>33</v>
      </c>
      <c r="E1078" s="16">
        <f t="shared" ref="E1078:G1078" si="3231">ROUNDUP((XLOOKUP($D1078,$T$3:$T$10,$U$3:$U$10)*XLOOKUP(E$2,$AA$3:$AA$5,$AB$3:$AB$5)-ABS(XLOOKUP($C1078,$Q$3:$Q$16,$R$3:$R$16)))*$B1078,-5)</f>
        <v>37000000</v>
      </c>
      <c r="F1078" s="16">
        <f t="shared" si="3231"/>
        <v>68600000</v>
      </c>
      <c r="G1078" s="16">
        <f t="shared" si="3231"/>
        <v>75200000</v>
      </c>
      <c r="H1078" s="17">
        <f t="shared" ref="H1078:J1078" si="3232">roundup((XLOOKUP($D1078,$T$3:$T$10,$U$3:$U$10)*XLOOKUP(H$2,$AA$3:$AA$5,$AC$3:$AC$5)-ABS(XLOOKUP($C1078,$Q$3:$Q$16,$R$3:$R$16)))*$B1078,-5)</f>
        <v>29800000</v>
      </c>
      <c r="I1078" s="17">
        <f t="shared" si="3232"/>
        <v>85800000</v>
      </c>
      <c r="J1078" s="17">
        <f t="shared" si="3232"/>
        <v>93500000</v>
      </c>
      <c r="K1078" s="17">
        <f t="shared" ref="K1078:M1078" si="3233">roundup((XLOOKUP($D1078,$T$3:$T$10,$U$3:$U$10)*XLOOKUP(K$2,$AA$3:$AA$5,$AD$3:$AD$5)-ABS(XLOOKUP($C1078,$Q$3:$Q$16,$R$3:$R$16)))*$B1078,-5)</f>
        <v>36000000</v>
      </c>
      <c r="L1078" s="17">
        <f t="shared" si="3233"/>
        <v>97500000</v>
      </c>
      <c r="M1078" s="17">
        <f t="shared" si="3233"/>
        <v>105900000</v>
      </c>
    </row>
    <row r="1079">
      <c r="A1079" s="14" t="s">
        <v>1122</v>
      </c>
      <c r="B1079" s="14">
        <v>136.0</v>
      </c>
      <c r="C1079" s="15">
        <f t="shared" si="4"/>
        <v>11</v>
      </c>
      <c r="D1079" s="14" t="s">
        <v>33</v>
      </c>
      <c r="E1079" s="16">
        <f t="shared" ref="E1079:G1079" si="3234">ROUNDUP((XLOOKUP($D1079,$T$3:$T$10,$U$3:$U$10)*XLOOKUP(E$2,$AA$3:$AA$5,$AB$3:$AB$5)-ABS(XLOOKUP($C1079,$Q$3:$Q$16,$R$3:$R$16)))*$B1079,-5)</f>
        <v>29500000</v>
      </c>
      <c r="F1079" s="16">
        <f t="shared" si="3234"/>
        <v>52400000</v>
      </c>
      <c r="G1079" s="16">
        <f t="shared" si="3234"/>
        <v>57100000</v>
      </c>
      <c r="H1079" s="17">
        <f t="shared" ref="H1079:J1079" si="3235">roundup((XLOOKUP($D1079,$T$3:$T$10,$U$3:$U$10)*XLOOKUP(H$2,$AA$3:$AA$5,$AC$3:$AC$5)-ABS(XLOOKUP($C1079,$Q$3:$Q$16,$R$3:$R$16)))*$B1079,-5)</f>
        <v>24300000</v>
      </c>
      <c r="I1079" s="17">
        <f t="shared" si="3235"/>
        <v>64800000</v>
      </c>
      <c r="J1079" s="17">
        <f t="shared" si="3235"/>
        <v>70300000</v>
      </c>
      <c r="K1079" s="17">
        <f t="shared" ref="K1079:M1079" si="3236">roundup((XLOOKUP($D1079,$T$3:$T$10,$U$3:$U$10)*XLOOKUP(K$2,$AA$3:$AA$5,$AD$3:$AD$5)-ABS(XLOOKUP($C1079,$Q$3:$Q$16,$R$3:$R$16)))*$B1079,-5)</f>
        <v>28800000</v>
      </c>
      <c r="L1079" s="17">
        <f t="shared" si="3236"/>
        <v>73300000</v>
      </c>
      <c r="M1079" s="17">
        <f t="shared" si="3236"/>
        <v>79300000</v>
      </c>
    </row>
    <row r="1080">
      <c r="A1080" s="14" t="s">
        <v>1123</v>
      </c>
      <c r="B1080" s="14">
        <v>192.0</v>
      </c>
      <c r="C1080" s="15">
        <f t="shared" si="4"/>
        <v>13</v>
      </c>
      <c r="D1080" s="14" t="s">
        <v>33</v>
      </c>
      <c r="E1080" s="16">
        <f t="shared" ref="E1080:G1080" si="3237">ROUNDUP((XLOOKUP($D1080,$T$3:$T$10,$U$3:$U$10)*XLOOKUP(E$2,$AA$3:$AA$5,$AB$3:$AB$5)-ABS(XLOOKUP($C1080,$Q$3:$Q$16,$R$3:$R$16)))*$B1080,-5)</f>
        <v>37800000</v>
      </c>
      <c r="F1080" s="16">
        <f t="shared" si="3237"/>
        <v>70100000</v>
      </c>
      <c r="G1080" s="16">
        <f t="shared" si="3237"/>
        <v>76800000</v>
      </c>
      <c r="H1080" s="17">
        <f t="shared" ref="H1080:J1080" si="3238">roundup((XLOOKUP($D1080,$T$3:$T$10,$U$3:$U$10)*XLOOKUP(H$2,$AA$3:$AA$5,$AC$3:$AC$5)-ABS(XLOOKUP($C1080,$Q$3:$Q$16,$R$3:$R$16)))*$B1080,-5)</f>
        <v>30500000</v>
      </c>
      <c r="I1080" s="17">
        <f t="shared" si="3238"/>
        <v>87700000</v>
      </c>
      <c r="J1080" s="17">
        <f t="shared" si="3238"/>
        <v>95400000</v>
      </c>
      <c r="K1080" s="17">
        <f t="shared" ref="K1080:M1080" si="3239">roundup((XLOOKUP($D1080,$T$3:$T$10,$U$3:$U$10)*XLOOKUP(K$2,$AA$3:$AA$5,$AD$3:$AD$5)-ABS(XLOOKUP($C1080,$Q$3:$Q$16,$R$3:$R$16)))*$B1080,-5)</f>
        <v>36800000</v>
      </c>
      <c r="L1080" s="17">
        <f t="shared" si="3239"/>
        <v>99600000</v>
      </c>
      <c r="M1080" s="17">
        <f t="shared" si="3239"/>
        <v>108100000</v>
      </c>
    </row>
    <row r="1081">
      <c r="A1081" s="14" t="s">
        <v>1124</v>
      </c>
      <c r="B1081" s="14">
        <v>98.0</v>
      </c>
      <c r="C1081" s="15">
        <f t="shared" si="4"/>
        <v>11</v>
      </c>
      <c r="D1081" s="14" t="s">
        <v>33</v>
      </c>
      <c r="E1081" s="16">
        <f t="shared" ref="E1081:G1081" si="3240">ROUNDUP((XLOOKUP($D1081,$T$3:$T$10,$U$3:$U$10)*XLOOKUP(E$2,$AA$3:$AA$5,$AB$3:$AB$5)-ABS(XLOOKUP($C1081,$Q$3:$Q$16,$R$3:$R$16)))*$B1081,-5)</f>
        <v>21300000</v>
      </c>
      <c r="F1081" s="16">
        <f t="shared" si="3240"/>
        <v>37800000</v>
      </c>
      <c r="G1081" s="16">
        <f t="shared" si="3240"/>
        <v>41200000</v>
      </c>
      <c r="H1081" s="17">
        <f t="shared" ref="H1081:J1081" si="3241">roundup((XLOOKUP($D1081,$T$3:$T$10,$U$3:$U$10)*XLOOKUP(H$2,$AA$3:$AA$5,$AC$3:$AC$5)-ABS(XLOOKUP($C1081,$Q$3:$Q$16,$R$3:$R$16)))*$B1081,-5)</f>
        <v>17500000</v>
      </c>
      <c r="I1081" s="17">
        <f t="shared" si="3241"/>
        <v>46700000</v>
      </c>
      <c r="J1081" s="17">
        <f t="shared" si="3241"/>
        <v>50700000</v>
      </c>
      <c r="K1081" s="17">
        <f t="shared" ref="K1081:M1081" si="3242">roundup((XLOOKUP($D1081,$T$3:$T$10,$U$3:$U$10)*XLOOKUP(K$2,$AA$3:$AA$5,$AD$3:$AD$5)-ABS(XLOOKUP($C1081,$Q$3:$Q$16,$R$3:$R$16)))*$B1081,-5)</f>
        <v>20800000</v>
      </c>
      <c r="L1081" s="17">
        <f t="shared" si="3242"/>
        <v>52800000</v>
      </c>
      <c r="M1081" s="17">
        <f t="shared" si="3242"/>
        <v>57200000</v>
      </c>
    </row>
    <row r="1082">
      <c r="A1082" s="14" t="s">
        <v>1125</v>
      </c>
      <c r="B1082" s="14">
        <v>311.0</v>
      </c>
      <c r="C1082" s="15">
        <f t="shared" si="4"/>
        <v>14</v>
      </c>
      <c r="D1082" s="14" t="s">
        <v>33</v>
      </c>
      <c r="E1082" s="16">
        <f t="shared" ref="E1082:G1082" si="3243">ROUNDUP((XLOOKUP($D1082,$T$3:$T$10,$U$3:$U$10)*XLOOKUP(E$2,$AA$3:$AA$5,$AB$3:$AB$5)-ABS(XLOOKUP($C1082,$Q$3:$Q$16,$R$3:$R$16)))*$B1082,-5)</f>
        <v>58400000</v>
      </c>
      <c r="F1082" s="16">
        <f t="shared" si="3243"/>
        <v>110700000</v>
      </c>
      <c r="G1082" s="16">
        <f t="shared" si="3243"/>
        <v>121500000</v>
      </c>
      <c r="H1082" s="17">
        <f t="shared" ref="H1082:J1082" si="3244">roundup((XLOOKUP($D1082,$T$3:$T$10,$U$3:$U$10)*XLOOKUP(H$2,$AA$3:$AA$5,$AC$3:$AC$5)-ABS(XLOOKUP($C1082,$Q$3:$Q$16,$R$3:$R$16)))*$B1082,-5)</f>
        <v>46500000</v>
      </c>
      <c r="I1082" s="17">
        <f t="shared" si="3244"/>
        <v>139200000</v>
      </c>
      <c r="J1082" s="17">
        <f t="shared" si="3244"/>
        <v>151800000</v>
      </c>
      <c r="K1082" s="17">
        <f t="shared" ref="K1082:M1082" si="3245">roundup((XLOOKUP($D1082,$T$3:$T$10,$U$3:$U$10)*XLOOKUP(K$2,$AA$3:$AA$5,$AD$3:$AD$5)-ABS(XLOOKUP($C1082,$Q$3:$Q$16,$R$3:$R$16)))*$B1082,-5)</f>
        <v>56800000</v>
      </c>
      <c r="L1082" s="17">
        <f t="shared" si="3245"/>
        <v>158400000</v>
      </c>
      <c r="M1082" s="17">
        <f t="shared" si="3245"/>
        <v>172300000</v>
      </c>
    </row>
    <row r="1083">
      <c r="A1083" s="14" t="s">
        <v>1126</v>
      </c>
      <c r="B1083" s="14">
        <v>105.0</v>
      </c>
      <c r="C1083" s="15">
        <f t="shared" si="4"/>
        <v>11</v>
      </c>
      <c r="D1083" s="14" t="s">
        <v>33</v>
      </c>
      <c r="E1083" s="16">
        <f t="shared" ref="E1083:G1083" si="3246">ROUNDUP((XLOOKUP($D1083,$T$3:$T$10,$U$3:$U$10)*XLOOKUP(E$2,$AA$3:$AA$5,$AB$3:$AB$5)-ABS(XLOOKUP($C1083,$Q$3:$Q$16,$R$3:$R$16)))*$B1083,-5)</f>
        <v>22800000</v>
      </c>
      <c r="F1083" s="16">
        <f t="shared" si="3246"/>
        <v>40400000</v>
      </c>
      <c r="G1083" s="16">
        <f t="shared" si="3246"/>
        <v>44100000</v>
      </c>
      <c r="H1083" s="17">
        <f t="shared" ref="H1083:J1083" si="3247">roundup((XLOOKUP($D1083,$T$3:$T$10,$U$3:$U$10)*XLOOKUP(H$2,$AA$3:$AA$5,$AC$3:$AC$5)-ABS(XLOOKUP($C1083,$Q$3:$Q$16,$R$3:$R$16)))*$B1083,-5)</f>
        <v>18800000</v>
      </c>
      <c r="I1083" s="17">
        <f t="shared" si="3247"/>
        <v>50100000</v>
      </c>
      <c r="J1083" s="17">
        <f t="shared" si="3247"/>
        <v>54300000</v>
      </c>
      <c r="K1083" s="17">
        <f t="shared" ref="K1083:M1083" si="3248">roundup((XLOOKUP($D1083,$T$3:$T$10,$U$3:$U$10)*XLOOKUP(K$2,$AA$3:$AA$5,$AD$3:$AD$5)-ABS(XLOOKUP($C1083,$Q$3:$Q$16,$R$3:$R$16)))*$B1083,-5)</f>
        <v>22300000</v>
      </c>
      <c r="L1083" s="17">
        <f t="shared" si="3248"/>
        <v>56600000</v>
      </c>
      <c r="M1083" s="17">
        <f t="shared" si="3248"/>
        <v>61300000</v>
      </c>
    </row>
    <row r="1084">
      <c r="A1084" s="14" t="s">
        <v>1127</v>
      </c>
      <c r="B1084" s="14">
        <v>109.0</v>
      </c>
      <c r="C1084" s="15">
        <f t="shared" si="4"/>
        <v>11</v>
      </c>
      <c r="D1084" s="14" t="s">
        <v>33</v>
      </c>
      <c r="E1084" s="16">
        <f t="shared" ref="E1084:G1084" si="3249">ROUNDUP((XLOOKUP($D1084,$T$3:$T$10,$U$3:$U$10)*XLOOKUP(E$2,$AA$3:$AA$5,$AB$3:$AB$5)-ABS(XLOOKUP($C1084,$Q$3:$Q$16,$R$3:$R$16)))*$B1084,-5)</f>
        <v>23700000</v>
      </c>
      <c r="F1084" s="16">
        <f t="shared" si="3249"/>
        <v>42000000</v>
      </c>
      <c r="G1084" s="16">
        <f t="shared" si="3249"/>
        <v>45800000</v>
      </c>
      <c r="H1084" s="17">
        <f t="shared" ref="H1084:J1084" si="3250">roundup((XLOOKUP($D1084,$T$3:$T$10,$U$3:$U$10)*XLOOKUP(H$2,$AA$3:$AA$5,$AC$3:$AC$5)-ABS(XLOOKUP($C1084,$Q$3:$Q$16,$R$3:$R$16)))*$B1084,-5)</f>
        <v>19500000</v>
      </c>
      <c r="I1084" s="17">
        <f t="shared" si="3250"/>
        <v>52000000</v>
      </c>
      <c r="J1084" s="17">
        <f t="shared" si="3250"/>
        <v>56400000</v>
      </c>
      <c r="K1084" s="17">
        <f t="shared" ref="K1084:M1084" si="3251">roundup((XLOOKUP($D1084,$T$3:$T$10,$U$3:$U$10)*XLOOKUP(K$2,$AA$3:$AA$5,$AD$3:$AD$5)-ABS(XLOOKUP($C1084,$Q$3:$Q$16,$R$3:$R$16)))*$B1084,-5)</f>
        <v>23100000</v>
      </c>
      <c r="L1084" s="17">
        <f t="shared" si="3251"/>
        <v>58700000</v>
      </c>
      <c r="M1084" s="17">
        <f t="shared" si="3251"/>
        <v>63600000</v>
      </c>
    </row>
    <row r="1085">
      <c r="A1085" s="14" t="s">
        <v>1128</v>
      </c>
      <c r="B1085" s="14">
        <v>108.0</v>
      </c>
      <c r="C1085" s="15">
        <f t="shared" si="4"/>
        <v>11</v>
      </c>
      <c r="D1085" s="14" t="s">
        <v>36</v>
      </c>
      <c r="E1085" s="16">
        <f t="shared" ref="E1085:G1085" si="3252">ROUNDUP((XLOOKUP($D1085,$T$3:$T$10,$U$3:$U$10)*XLOOKUP(E$2,$AA$3:$AA$5,$AB$3:$AB$5)-ABS(XLOOKUP($C1085,$Q$3:$Q$16,$R$3:$R$16)))*$B1085,-5)</f>
        <v>28400000</v>
      </c>
      <c r="F1085" s="16">
        <f t="shared" si="3252"/>
        <v>48700000</v>
      </c>
      <c r="G1085" s="16">
        <f t="shared" si="3252"/>
        <v>52900000</v>
      </c>
      <c r="H1085" s="17">
        <f t="shared" ref="H1085:J1085" si="3253">roundup((XLOOKUP($D1085,$T$3:$T$10,$U$3:$U$10)*XLOOKUP(H$2,$AA$3:$AA$5,$AC$3:$AC$5)-ABS(XLOOKUP($C1085,$Q$3:$Q$16,$R$3:$R$16)))*$B1085,-5)</f>
        <v>23700000</v>
      </c>
      <c r="I1085" s="17">
        <f t="shared" si="3253"/>
        <v>59800000</v>
      </c>
      <c r="J1085" s="17">
        <f t="shared" si="3253"/>
        <v>64700000</v>
      </c>
      <c r="K1085" s="17">
        <f t="shared" ref="K1085:M1085" si="3254">roundup((XLOOKUP($D1085,$T$3:$T$10,$U$3:$U$10)*XLOOKUP(K$2,$AA$3:$AA$5,$AD$3:$AD$5)-ABS(XLOOKUP($C1085,$Q$3:$Q$16,$R$3:$R$16)))*$B1085,-5)</f>
        <v>27700000</v>
      </c>
      <c r="L1085" s="17">
        <f t="shared" si="3254"/>
        <v>67300000</v>
      </c>
      <c r="M1085" s="17">
        <f t="shared" si="3254"/>
        <v>72700000</v>
      </c>
    </row>
    <row r="1086">
      <c r="A1086" s="14" t="s">
        <v>1129</v>
      </c>
      <c r="B1086" s="14">
        <v>161.0</v>
      </c>
      <c r="C1086" s="15">
        <f t="shared" si="4"/>
        <v>12</v>
      </c>
      <c r="D1086" s="14" t="s">
        <v>36</v>
      </c>
      <c r="E1086" s="16">
        <f t="shared" ref="E1086:G1086" si="3255">ROUNDUP((XLOOKUP($D1086,$T$3:$T$10,$U$3:$U$10)*XLOOKUP(E$2,$AA$3:$AA$5,$AB$3:$AB$5)-ABS(XLOOKUP($C1086,$Q$3:$Q$16,$R$3:$R$16)))*$B1086,-5)</f>
        <v>41500000</v>
      </c>
      <c r="F1086" s="16">
        <f t="shared" si="3255"/>
        <v>71800000</v>
      </c>
      <c r="G1086" s="16">
        <f t="shared" si="3255"/>
        <v>78100000</v>
      </c>
      <c r="H1086" s="17">
        <f t="shared" ref="H1086:J1086" si="3256">roundup((XLOOKUP($D1086,$T$3:$T$10,$U$3:$U$10)*XLOOKUP(H$2,$AA$3:$AA$5,$AC$3:$AC$5)-ABS(XLOOKUP($C1086,$Q$3:$Q$16,$R$3:$R$16)))*$B1086,-5)</f>
        <v>34600000</v>
      </c>
      <c r="I1086" s="17">
        <f t="shared" si="3256"/>
        <v>88300000</v>
      </c>
      <c r="J1086" s="17">
        <f t="shared" si="3256"/>
        <v>95600000</v>
      </c>
      <c r="K1086" s="17">
        <f t="shared" ref="K1086:M1086" si="3257">roundup((XLOOKUP($D1086,$T$3:$T$10,$U$3:$U$10)*XLOOKUP(K$2,$AA$3:$AA$5,$AD$3:$AD$5)-ABS(XLOOKUP($C1086,$Q$3:$Q$16,$R$3:$R$16)))*$B1086,-5)</f>
        <v>40500000</v>
      </c>
      <c r="L1086" s="17">
        <f t="shared" si="3257"/>
        <v>99500000</v>
      </c>
      <c r="M1086" s="17">
        <f t="shared" si="3257"/>
        <v>107500000</v>
      </c>
    </row>
    <row r="1087">
      <c r="A1087" s="14" t="s">
        <v>1130</v>
      </c>
      <c r="B1087" s="14">
        <v>26.0</v>
      </c>
      <c r="C1087" s="15">
        <f t="shared" si="4"/>
        <v>1</v>
      </c>
      <c r="D1087" s="14" t="s">
        <v>208</v>
      </c>
      <c r="E1087" s="16">
        <f t="shared" ref="E1087:G1087" si="3258">ROUNDUP((XLOOKUP($D1087,$T$3:$T$10,$U$3:$U$10)*XLOOKUP(E$2,$AA$3:$AA$5,$AB$3:$AB$5)-ABS(XLOOKUP($C1087,$Q$3:$Q$16,$R$3:$R$16)))*$B1087,-5)</f>
        <v>10200000</v>
      </c>
      <c r="F1087" s="16">
        <f t="shared" si="3258"/>
        <v>14700000</v>
      </c>
      <c r="G1087" s="16">
        <f t="shared" si="3258"/>
        <v>15600000</v>
      </c>
      <c r="H1087" s="17">
        <f t="shared" ref="H1087:J1087" si="3259">roundup((XLOOKUP($D1087,$T$3:$T$10,$U$3:$U$10)*XLOOKUP(H$2,$AA$3:$AA$5,$AC$3:$AC$5)-ABS(XLOOKUP($C1087,$Q$3:$Q$16,$R$3:$R$16)))*$B1087,-5)</f>
        <v>9200000</v>
      </c>
      <c r="I1087" s="17">
        <f t="shared" si="3259"/>
        <v>17200000</v>
      </c>
      <c r="J1087" s="17">
        <f t="shared" si="3259"/>
        <v>18300000</v>
      </c>
      <c r="K1087" s="17">
        <f t="shared" ref="K1087:M1087" si="3260">roundup((XLOOKUP($D1087,$T$3:$T$10,$U$3:$U$10)*XLOOKUP(K$2,$AA$3:$AA$5,$AD$3:$AD$5)-ABS(XLOOKUP($C1087,$Q$3:$Q$16,$R$3:$R$16)))*$B1087,-5)</f>
        <v>10000000</v>
      </c>
      <c r="L1087" s="17">
        <f t="shared" si="3260"/>
        <v>18800000</v>
      </c>
      <c r="M1087" s="17">
        <f t="shared" si="3260"/>
        <v>20000000</v>
      </c>
    </row>
    <row r="1088">
      <c r="A1088" s="14" t="s">
        <v>1131</v>
      </c>
      <c r="B1088" s="14">
        <v>137.0</v>
      </c>
      <c r="C1088" s="15">
        <f t="shared" si="4"/>
        <v>11</v>
      </c>
      <c r="D1088" s="14" t="s">
        <v>33</v>
      </c>
      <c r="E1088" s="16">
        <f t="shared" ref="E1088:G1088" si="3261">ROUNDUP((XLOOKUP($D1088,$T$3:$T$10,$U$3:$U$10)*XLOOKUP(E$2,$AA$3:$AA$5,$AB$3:$AB$5)-ABS(XLOOKUP($C1088,$Q$3:$Q$16,$R$3:$R$16)))*$B1088,-5)</f>
        <v>29700000</v>
      </c>
      <c r="F1088" s="16">
        <f t="shared" si="3261"/>
        <v>52800000</v>
      </c>
      <c r="G1088" s="16">
        <f t="shared" si="3261"/>
        <v>57500000</v>
      </c>
      <c r="H1088" s="17">
        <f t="shared" ref="H1088:J1088" si="3262">roundup((XLOOKUP($D1088,$T$3:$T$10,$U$3:$U$10)*XLOOKUP(H$2,$AA$3:$AA$5,$AC$3:$AC$5)-ABS(XLOOKUP($C1088,$Q$3:$Q$16,$R$3:$R$16)))*$B1088,-5)</f>
        <v>24500000</v>
      </c>
      <c r="I1088" s="17">
        <f t="shared" si="3262"/>
        <v>65300000</v>
      </c>
      <c r="J1088" s="17">
        <f t="shared" si="3262"/>
        <v>70900000</v>
      </c>
      <c r="K1088" s="17">
        <f t="shared" ref="K1088:M1088" si="3263">roundup((XLOOKUP($D1088,$T$3:$T$10,$U$3:$U$10)*XLOOKUP(K$2,$AA$3:$AA$5,$AD$3:$AD$5)-ABS(XLOOKUP($C1088,$Q$3:$Q$16,$R$3:$R$16)))*$B1088,-5)</f>
        <v>29000000</v>
      </c>
      <c r="L1088" s="17">
        <f t="shared" si="3263"/>
        <v>73800000</v>
      </c>
      <c r="M1088" s="17">
        <f t="shared" si="3263"/>
        <v>79900000</v>
      </c>
    </row>
    <row r="1089">
      <c r="A1089" s="14" t="s">
        <v>1132</v>
      </c>
      <c r="B1089" s="14">
        <v>101.0</v>
      </c>
      <c r="C1089" s="15">
        <f t="shared" si="4"/>
        <v>11</v>
      </c>
      <c r="D1089" s="14" t="s">
        <v>36</v>
      </c>
      <c r="E1089" s="16">
        <f t="shared" ref="E1089:G1089" si="3264">ROUNDUP((XLOOKUP($D1089,$T$3:$T$10,$U$3:$U$10)*XLOOKUP(E$2,$AA$3:$AA$5,$AB$3:$AB$5)-ABS(XLOOKUP($C1089,$Q$3:$Q$16,$R$3:$R$16)))*$B1089,-5)</f>
        <v>26500000</v>
      </c>
      <c r="F1089" s="16">
        <f t="shared" si="3264"/>
        <v>45600000</v>
      </c>
      <c r="G1089" s="16">
        <f t="shared" si="3264"/>
        <v>49500000</v>
      </c>
      <c r="H1089" s="17">
        <f t="shared" ref="H1089:J1089" si="3265">roundup((XLOOKUP($D1089,$T$3:$T$10,$U$3:$U$10)*XLOOKUP(H$2,$AA$3:$AA$5,$AC$3:$AC$5)-ABS(XLOOKUP($C1089,$Q$3:$Q$16,$R$3:$R$16)))*$B1089,-5)</f>
        <v>22200000</v>
      </c>
      <c r="I1089" s="17">
        <f t="shared" si="3265"/>
        <v>55900000</v>
      </c>
      <c r="J1089" s="17">
        <f t="shared" si="3265"/>
        <v>60500000</v>
      </c>
      <c r="K1089" s="17">
        <f t="shared" ref="K1089:M1089" si="3266">roundup((XLOOKUP($D1089,$T$3:$T$10,$U$3:$U$10)*XLOOKUP(K$2,$AA$3:$AA$5,$AD$3:$AD$5)-ABS(XLOOKUP($C1089,$Q$3:$Q$16,$R$3:$R$16)))*$B1089,-5)</f>
        <v>25900000</v>
      </c>
      <c r="L1089" s="17">
        <f t="shared" si="3266"/>
        <v>62900000</v>
      </c>
      <c r="M1089" s="17">
        <f t="shared" si="3266"/>
        <v>68000000</v>
      </c>
    </row>
    <row r="1090">
      <c r="A1090" s="14" t="s">
        <v>1133</v>
      </c>
      <c r="B1090" s="14">
        <v>102.0</v>
      </c>
      <c r="C1090" s="15">
        <f t="shared" si="4"/>
        <v>11</v>
      </c>
      <c r="D1090" s="14" t="s">
        <v>33</v>
      </c>
      <c r="E1090" s="16">
        <f t="shared" ref="E1090:G1090" si="3267">ROUNDUP((XLOOKUP($D1090,$T$3:$T$10,$U$3:$U$10)*XLOOKUP(E$2,$AA$3:$AA$5,$AB$3:$AB$5)-ABS(XLOOKUP($C1090,$Q$3:$Q$16,$R$3:$R$16)))*$B1090,-5)</f>
        <v>22200000</v>
      </c>
      <c r="F1090" s="16">
        <f t="shared" si="3267"/>
        <v>39300000</v>
      </c>
      <c r="G1090" s="16">
        <f t="shared" si="3267"/>
        <v>42800000</v>
      </c>
      <c r="H1090" s="17">
        <f t="shared" ref="H1090:J1090" si="3268">roundup((XLOOKUP($D1090,$T$3:$T$10,$U$3:$U$10)*XLOOKUP(H$2,$AA$3:$AA$5,$AC$3:$AC$5)-ABS(XLOOKUP($C1090,$Q$3:$Q$16,$R$3:$R$16)))*$B1090,-5)</f>
        <v>18200000</v>
      </c>
      <c r="I1090" s="17">
        <f t="shared" si="3268"/>
        <v>48600000</v>
      </c>
      <c r="J1090" s="17">
        <f t="shared" si="3268"/>
        <v>52800000</v>
      </c>
      <c r="K1090" s="17">
        <f t="shared" ref="K1090:M1090" si="3269">roundup((XLOOKUP($D1090,$T$3:$T$10,$U$3:$U$10)*XLOOKUP(K$2,$AA$3:$AA$5,$AD$3:$AD$5)-ABS(XLOOKUP($C1090,$Q$3:$Q$16,$R$3:$R$16)))*$B1090,-5)</f>
        <v>21600000</v>
      </c>
      <c r="L1090" s="17">
        <f t="shared" si="3269"/>
        <v>55000000</v>
      </c>
      <c r="M1090" s="17">
        <f t="shared" si="3269"/>
        <v>59500000</v>
      </c>
    </row>
    <row r="1091">
      <c r="A1091" s="14" t="s">
        <v>1134</v>
      </c>
      <c r="B1091" s="14">
        <v>280.0</v>
      </c>
      <c r="C1091" s="15">
        <f t="shared" si="4"/>
        <v>14</v>
      </c>
      <c r="D1091" s="14" t="s">
        <v>36</v>
      </c>
      <c r="E1091" s="16">
        <f t="shared" ref="E1091:G1091" si="3270">ROUNDUP((XLOOKUP($D1091,$T$3:$T$10,$U$3:$U$10)*XLOOKUP(E$2,$AA$3:$AA$5,$AB$3:$AB$5)-ABS(XLOOKUP($C1091,$Q$3:$Q$16,$R$3:$R$16)))*$B1091,-5)</f>
        <v>65300000</v>
      </c>
      <c r="F1091" s="16">
        <f t="shared" si="3270"/>
        <v>118100000</v>
      </c>
      <c r="G1091" s="16">
        <f t="shared" si="3270"/>
        <v>129000000</v>
      </c>
      <c r="H1091" s="17">
        <f t="shared" ref="H1091:J1091" si="3271">roundup((XLOOKUP($D1091,$T$3:$T$10,$U$3:$U$10)*XLOOKUP(H$2,$AA$3:$AA$5,$AC$3:$AC$5)-ABS(XLOOKUP($C1091,$Q$3:$Q$16,$R$3:$R$16)))*$B1091,-5)</f>
        <v>53300000</v>
      </c>
      <c r="I1091" s="17">
        <f t="shared" si="3271"/>
        <v>146800000</v>
      </c>
      <c r="J1091" s="17">
        <f t="shared" si="3271"/>
        <v>159500000</v>
      </c>
      <c r="K1091" s="17">
        <f t="shared" ref="K1091:M1091" si="3272">roundup((XLOOKUP($D1091,$T$3:$T$10,$U$3:$U$10)*XLOOKUP(K$2,$AA$3:$AA$5,$AD$3:$AD$5)-ABS(XLOOKUP($C1091,$Q$3:$Q$16,$R$3:$R$16)))*$B1091,-5)</f>
        <v>63700000</v>
      </c>
      <c r="L1091" s="17">
        <f t="shared" si="3272"/>
        <v>166300000</v>
      </c>
      <c r="M1091" s="17">
        <f t="shared" si="3272"/>
        <v>180300000</v>
      </c>
    </row>
    <row r="1092">
      <c r="A1092" s="14" t="s">
        <v>1135</v>
      </c>
      <c r="B1092" s="14">
        <v>228.0</v>
      </c>
      <c r="C1092" s="15">
        <f t="shared" si="4"/>
        <v>14</v>
      </c>
      <c r="D1092" s="14" t="s">
        <v>33</v>
      </c>
      <c r="E1092" s="16">
        <f t="shared" ref="E1092:G1092" si="3273">ROUNDUP((XLOOKUP($D1092,$T$3:$T$10,$U$3:$U$10)*XLOOKUP(E$2,$AA$3:$AA$5,$AB$3:$AB$5)-ABS(XLOOKUP($C1092,$Q$3:$Q$16,$R$3:$R$16)))*$B1092,-5)</f>
        <v>42800000</v>
      </c>
      <c r="F1092" s="16">
        <f t="shared" si="3273"/>
        <v>81200000</v>
      </c>
      <c r="G1092" s="16">
        <f t="shared" si="3273"/>
        <v>89100000</v>
      </c>
      <c r="H1092" s="17">
        <f t="shared" ref="H1092:J1092" si="3274">roundup((XLOOKUP($D1092,$T$3:$T$10,$U$3:$U$10)*XLOOKUP(H$2,$AA$3:$AA$5,$AC$3:$AC$5)-ABS(XLOOKUP($C1092,$Q$3:$Q$16,$R$3:$R$16)))*$B1092,-5)</f>
        <v>34100000</v>
      </c>
      <c r="I1092" s="17">
        <f t="shared" si="3274"/>
        <v>102000000</v>
      </c>
      <c r="J1092" s="17">
        <f t="shared" si="3274"/>
        <v>111300000</v>
      </c>
      <c r="K1092" s="17">
        <f t="shared" ref="K1092:M1092" si="3275">roundup((XLOOKUP($D1092,$T$3:$T$10,$U$3:$U$10)*XLOOKUP(K$2,$AA$3:$AA$5,$AD$3:$AD$5)-ABS(XLOOKUP($C1092,$Q$3:$Q$16,$R$3:$R$16)))*$B1092,-5)</f>
        <v>41700000</v>
      </c>
      <c r="L1092" s="17">
        <f t="shared" si="3275"/>
        <v>116200000</v>
      </c>
      <c r="M1092" s="17">
        <f t="shared" si="3275"/>
        <v>126300000</v>
      </c>
    </row>
    <row r="1093">
      <c r="A1093" s="14" t="s">
        <v>1136</v>
      </c>
      <c r="B1093" s="14">
        <v>263.0</v>
      </c>
      <c r="C1093" s="15">
        <f t="shared" si="4"/>
        <v>14</v>
      </c>
      <c r="D1093" s="14" t="s">
        <v>36</v>
      </c>
      <c r="E1093" s="16">
        <f t="shared" ref="E1093:G1093" si="3276">ROUNDUP((XLOOKUP($D1093,$T$3:$T$10,$U$3:$U$10)*XLOOKUP(E$2,$AA$3:$AA$5,$AB$3:$AB$5)-ABS(XLOOKUP($C1093,$Q$3:$Q$16,$R$3:$R$16)))*$B1093,-5)</f>
        <v>61400000</v>
      </c>
      <c r="F1093" s="16">
        <f t="shared" si="3276"/>
        <v>110900000</v>
      </c>
      <c r="G1093" s="16">
        <f t="shared" si="3276"/>
        <v>121200000</v>
      </c>
      <c r="H1093" s="17">
        <f t="shared" ref="H1093:J1093" si="3277">roundup((XLOOKUP($D1093,$T$3:$T$10,$U$3:$U$10)*XLOOKUP(H$2,$AA$3:$AA$5,$AC$3:$AC$5)-ABS(XLOOKUP($C1093,$Q$3:$Q$16,$R$3:$R$16)))*$B1093,-5)</f>
        <v>50100000</v>
      </c>
      <c r="I1093" s="17">
        <f t="shared" si="3277"/>
        <v>137900000</v>
      </c>
      <c r="J1093" s="17">
        <f t="shared" si="3277"/>
        <v>149900000</v>
      </c>
      <c r="K1093" s="17">
        <f t="shared" ref="K1093:M1093" si="3278">roundup((XLOOKUP($D1093,$T$3:$T$10,$U$3:$U$10)*XLOOKUP(K$2,$AA$3:$AA$5,$AD$3:$AD$5)-ABS(XLOOKUP($C1093,$Q$3:$Q$16,$R$3:$R$16)))*$B1093,-5)</f>
        <v>59800000</v>
      </c>
      <c r="L1093" s="17">
        <f t="shared" si="3278"/>
        <v>156200000</v>
      </c>
      <c r="M1093" s="17">
        <f t="shared" si="3278"/>
        <v>169300000</v>
      </c>
    </row>
    <row r="1094">
      <c r="A1094" s="14" t="s">
        <v>1137</v>
      </c>
      <c r="B1094" s="14">
        <v>208.0</v>
      </c>
      <c r="C1094" s="15">
        <f t="shared" si="4"/>
        <v>13</v>
      </c>
      <c r="D1094" s="14" t="s">
        <v>33</v>
      </c>
      <c r="E1094" s="16">
        <f t="shared" ref="E1094:G1094" si="3279">ROUNDUP((XLOOKUP($D1094,$T$3:$T$10,$U$3:$U$10)*XLOOKUP(E$2,$AA$3:$AA$5,$AB$3:$AB$5)-ABS(XLOOKUP($C1094,$Q$3:$Q$16,$R$3:$R$16)))*$B1094,-5)</f>
        <v>41000000</v>
      </c>
      <c r="F1094" s="16">
        <f t="shared" si="3279"/>
        <v>75900000</v>
      </c>
      <c r="G1094" s="16">
        <f t="shared" si="3279"/>
        <v>83100000</v>
      </c>
      <c r="H1094" s="17">
        <f t="shared" ref="H1094:J1094" si="3280">roundup((XLOOKUP($D1094,$T$3:$T$10,$U$3:$U$10)*XLOOKUP(H$2,$AA$3:$AA$5,$AC$3:$AC$5)-ABS(XLOOKUP($C1094,$Q$3:$Q$16,$R$3:$R$16)))*$B1094,-5)</f>
        <v>33000000</v>
      </c>
      <c r="I1094" s="17">
        <f t="shared" si="3280"/>
        <v>95000000</v>
      </c>
      <c r="J1094" s="17">
        <f t="shared" si="3280"/>
        <v>103400000</v>
      </c>
      <c r="K1094" s="17">
        <f t="shared" ref="K1094:M1094" si="3281">roundup((XLOOKUP($D1094,$T$3:$T$10,$U$3:$U$10)*XLOOKUP(K$2,$AA$3:$AA$5,$AD$3:$AD$5)-ABS(XLOOKUP($C1094,$Q$3:$Q$16,$R$3:$R$16)))*$B1094,-5)</f>
        <v>39900000</v>
      </c>
      <c r="L1094" s="17">
        <f t="shared" si="3281"/>
        <v>107900000</v>
      </c>
      <c r="M1094" s="17">
        <f t="shared" si="3281"/>
        <v>117100000</v>
      </c>
    </row>
    <row r="1095">
      <c r="A1095" s="14" t="s">
        <v>1138</v>
      </c>
      <c r="B1095" s="14">
        <v>272.0</v>
      </c>
      <c r="C1095" s="15">
        <f t="shared" si="4"/>
        <v>14</v>
      </c>
      <c r="D1095" s="14" t="s">
        <v>36</v>
      </c>
      <c r="E1095" s="16">
        <f t="shared" ref="E1095:G1095" si="3282">ROUNDUP((XLOOKUP($D1095,$T$3:$T$10,$U$3:$U$10)*XLOOKUP(E$2,$AA$3:$AA$5,$AB$3:$AB$5)-ABS(XLOOKUP($C1095,$Q$3:$Q$16,$R$3:$R$16)))*$B1095,-5)</f>
        <v>63500000</v>
      </c>
      <c r="F1095" s="16">
        <f t="shared" si="3282"/>
        <v>114700000</v>
      </c>
      <c r="G1095" s="16">
        <f t="shared" si="3282"/>
        <v>125300000</v>
      </c>
      <c r="H1095" s="17">
        <f t="shared" ref="H1095:J1095" si="3283">roundup((XLOOKUP($D1095,$T$3:$T$10,$U$3:$U$10)*XLOOKUP(H$2,$AA$3:$AA$5,$AC$3:$AC$5)-ABS(XLOOKUP($C1095,$Q$3:$Q$16,$R$3:$R$16)))*$B1095,-5)</f>
        <v>51800000</v>
      </c>
      <c r="I1095" s="17">
        <f t="shared" si="3283"/>
        <v>142600000</v>
      </c>
      <c r="J1095" s="17">
        <f t="shared" si="3283"/>
        <v>155000000</v>
      </c>
      <c r="K1095" s="17">
        <f t="shared" ref="K1095:M1095" si="3284">roundup((XLOOKUP($D1095,$T$3:$T$10,$U$3:$U$10)*XLOOKUP(K$2,$AA$3:$AA$5,$AD$3:$AD$5)-ABS(XLOOKUP($C1095,$Q$3:$Q$16,$R$3:$R$16)))*$B1095,-5)</f>
        <v>61900000</v>
      </c>
      <c r="L1095" s="17">
        <f t="shared" si="3284"/>
        <v>161500000</v>
      </c>
      <c r="M1095" s="17">
        <f t="shared" si="3284"/>
        <v>175100000</v>
      </c>
    </row>
    <row r="1096">
      <c r="A1096" s="14" t="s">
        <v>1139</v>
      </c>
      <c r="B1096" s="14">
        <v>366.0</v>
      </c>
      <c r="C1096" s="15">
        <f t="shared" si="4"/>
        <v>14</v>
      </c>
      <c r="D1096" s="14" t="s">
        <v>36</v>
      </c>
      <c r="E1096" s="16">
        <f t="shared" ref="E1096:G1096" si="3285">ROUNDUP((XLOOKUP($D1096,$T$3:$T$10,$U$3:$U$10)*XLOOKUP(E$2,$AA$3:$AA$5,$AB$3:$AB$5)-ABS(XLOOKUP($C1096,$Q$3:$Q$16,$R$3:$R$16)))*$B1096,-5)</f>
        <v>85400000</v>
      </c>
      <c r="F1096" s="16">
        <f t="shared" si="3285"/>
        <v>154300000</v>
      </c>
      <c r="G1096" s="16">
        <f t="shared" si="3285"/>
        <v>168600000</v>
      </c>
      <c r="H1096" s="17">
        <f t="shared" ref="H1096:J1096" si="3286">roundup((XLOOKUP($D1096,$T$3:$T$10,$U$3:$U$10)*XLOOKUP(H$2,$AA$3:$AA$5,$AC$3:$AC$5)-ABS(XLOOKUP($C1096,$Q$3:$Q$16,$R$3:$R$16)))*$B1096,-5)</f>
        <v>69700000</v>
      </c>
      <c r="I1096" s="17">
        <f t="shared" si="3286"/>
        <v>191900000</v>
      </c>
      <c r="J1096" s="17">
        <f t="shared" si="3286"/>
        <v>208500000</v>
      </c>
      <c r="K1096" s="17">
        <f t="shared" ref="K1096:M1096" si="3287">roundup((XLOOKUP($D1096,$T$3:$T$10,$U$3:$U$10)*XLOOKUP(K$2,$AA$3:$AA$5,$AD$3:$AD$5)-ABS(XLOOKUP($C1096,$Q$3:$Q$16,$R$3:$R$16)))*$B1096,-5)</f>
        <v>83300000</v>
      </c>
      <c r="L1096" s="17">
        <f t="shared" si="3287"/>
        <v>217300000</v>
      </c>
      <c r="M1096" s="17">
        <f t="shared" si="3287"/>
        <v>235600000</v>
      </c>
    </row>
    <row r="1097">
      <c r="A1097" s="14" t="s">
        <v>1140</v>
      </c>
      <c r="B1097" s="14">
        <v>113.0</v>
      </c>
      <c r="C1097" s="15">
        <f t="shared" si="4"/>
        <v>11</v>
      </c>
      <c r="D1097" s="14" t="s">
        <v>36</v>
      </c>
      <c r="E1097" s="16">
        <f t="shared" ref="E1097:G1097" si="3288">ROUNDUP((XLOOKUP($D1097,$T$3:$T$10,$U$3:$U$10)*XLOOKUP(E$2,$AA$3:$AA$5,$AB$3:$AB$5)-ABS(XLOOKUP($C1097,$Q$3:$Q$16,$R$3:$R$16)))*$B1097,-5)</f>
        <v>29700000</v>
      </c>
      <c r="F1097" s="16">
        <f t="shared" si="3288"/>
        <v>51000000</v>
      </c>
      <c r="G1097" s="16">
        <f t="shared" si="3288"/>
        <v>55400000</v>
      </c>
      <c r="H1097" s="17">
        <f t="shared" ref="H1097:J1097" si="3289">roundup((XLOOKUP($D1097,$T$3:$T$10,$U$3:$U$10)*XLOOKUP(H$2,$AA$3:$AA$5,$AC$3:$AC$5)-ABS(XLOOKUP($C1097,$Q$3:$Q$16,$R$3:$R$16)))*$B1097,-5)</f>
        <v>24800000</v>
      </c>
      <c r="I1097" s="17">
        <f t="shared" si="3289"/>
        <v>62600000</v>
      </c>
      <c r="J1097" s="17">
        <f t="shared" si="3289"/>
        <v>67700000</v>
      </c>
      <c r="K1097" s="17">
        <f t="shared" ref="K1097:M1097" si="3290">roundup((XLOOKUP($D1097,$T$3:$T$10,$U$3:$U$10)*XLOOKUP(K$2,$AA$3:$AA$5,$AD$3:$AD$5)-ABS(XLOOKUP($C1097,$Q$3:$Q$16,$R$3:$R$16)))*$B1097,-5)</f>
        <v>29000000</v>
      </c>
      <c r="L1097" s="17">
        <f t="shared" si="3290"/>
        <v>70400000</v>
      </c>
      <c r="M1097" s="17">
        <f t="shared" si="3290"/>
        <v>76100000</v>
      </c>
    </row>
    <row r="1098">
      <c r="A1098" s="14" t="s">
        <v>1141</v>
      </c>
      <c r="B1098" s="14">
        <v>138.0</v>
      </c>
      <c r="C1098" s="15">
        <f t="shared" si="4"/>
        <v>11</v>
      </c>
      <c r="D1098" s="14" t="s">
        <v>33</v>
      </c>
      <c r="E1098" s="16">
        <f t="shared" ref="E1098:G1098" si="3291">ROUNDUP((XLOOKUP($D1098,$T$3:$T$10,$U$3:$U$10)*XLOOKUP(E$2,$AA$3:$AA$5,$AB$3:$AB$5)-ABS(XLOOKUP($C1098,$Q$3:$Q$16,$R$3:$R$16)))*$B1098,-5)</f>
        <v>30000000</v>
      </c>
      <c r="F1098" s="16">
        <f t="shared" si="3291"/>
        <v>53100000</v>
      </c>
      <c r="G1098" s="16">
        <f t="shared" si="3291"/>
        <v>57900000</v>
      </c>
      <c r="H1098" s="17">
        <f t="shared" ref="H1098:J1098" si="3292">roundup((XLOOKUP($D1098,$T$3:$T$10,$U$3:$U$10)*XLOOKUP(H$2,$AA$3:$AA$5,$AC$3:$AC$5)-ABS(XLOOKUP($C1098,$Q$3:$Q$16,$R$3:$R$16)))*$B1098,-5)</f>
        <v>24700000</v>
      </c>
      <c r="I1098" s="17">
        <f t="shared" si="3292"/>
        <v>65800000</v>
      </c>
      <c r="J1098" s="17">
        <f t="shared" si="3292"/>
        <v>71400000</v>
      </c>
      <c r="K1098" s="17">
        <f t="shared" ref="K1098:M1098" si="3293">roundup((XLOOKUP($D1098,$T$3:$T$10,$U$3:$U$10)*XLOOKUP(K$2,$AA$3:$AA$5,$AD$3:$AD$5)-ABS(XLOOKUP($C1098,$Q$3:$Q$16,$R$3:$R$16)))*$B1098,-5)</f>
        <v>29200000</v>
      </c>
      <c r="L1098" s="17">
        <f t="shared" si="3293"/>
        <v>74300000</v>
      </c>
      <c r="M1098" s="17">
        <f t="shared" si="3293"/>
        <v>80500000</v>
      </c>
    </row>
    <row r="1099">
      <c r="A1099" s="14" t="s">
        <v>1142</v>
      </c>
      <c r="B1099" s="14">
        <v>159.0</v>
      </c>
      <c r="C1099" s="15">
        <f t="shared" si="4"/>
        <v>11</v>
      </c>
      <c r="D1099" s="14" t="s">
        <v>33</v>
      </c>
      <c r="E1099" s="16">
        <f t="shared" ref="E1099:G1099" si="3294">ROUNDUP((XLOOKUP($D1099,$T$3:$T$10,$U$3:$U$10)*XLOOKUP(E$2,$AA$3:$AA$5,$AB$3:$AB$5)-ABS(XLOOKUP($C1099,$Q$3:$Q$16,$R$3:$R$16)))*$B1099,-5)</f>
        <v>34500000</v>
      </c>
      <c r="F1099" s="16">
        <f t="shared" si="3294"/>
        <v>61200000</v>
      </c>
      <c r="G1099" s="16">
        <f t="shared" si="3294"/>
        <v>66800000</v>
      </c>
      <c r="H1099" s="17">
        <f t="shared" ref="H1099:J1099" si="3295">roundup((XLOOKUP($D1099,$T$3:$T$10,$U$3:$U$10)*XLOOKUP(H$2,$AA$3:$AA$5,$AC$3:$AC$5)-ABS(XLOOKUP($C1099,$Q$3:$Q$16,$R$3:$R$16)))*$B1099,-5)</f>
        <v>28400000</v>
      </c>
      <c r="I1099" s="17">
        <f t="shared" si="3295"/>
        <v>75800000</v>
      </c>
      <c r="J1099" s="17">
        <f t="shared" si="3295"/>
        <v>82200000</v>
      </c>
      <c r="K1099" s="17">
        <f t="shared" ref="K1099:M1099" si="3296">roundup((XLOOKUP($D1099,$T$3:$T$10,$U$3:$U$10)*XLOOKUP(K$2,$AA$3:$AA$5,$AD$3:$AD$5)-ABS(XLOOKUP($C1099,$Q$3:$Q$16,$R$3:$R$16)))*$B1099,-5)</f>
        <v>33700000</v>
      </c>
      <c r="L1099" s="17">
        <f t="shared" si="3296"/>
        <v>85600000</v>
      </c>
      <c r="M1099" s="17">
        <f t="shared" si="3296"/>
        <v>92700000</v>
      </c>
    </row>
    <row r="1100">
      <c r="A1100" s="14" t="s">
        <v>1143</v>
      </c>
      <c r="B1100" s="14">
        <v>130.0</v>
      </c>
      <c r="C1100" s="15">
        <f t="shared" si="4"/>
        <v>11</v>
      </c>
      <c r="D1100" s="14" t="s">
        <v>36</v>
      </c>
      <c r="E1100" s="16">
        <f t="shared" ref="E1100:G1100" si="3297">ROUNDUP((XLOOKUP($D1100,$T$3:$T$10,$U$3:$U$10)*XLOOKUP(E$2,$AA$3:$AA$5,$AB$3:$AB$5)-ABS(XLOOKUP($C1100,$Q$3:$Q$16,$R$3:$R$16)))*$B1100,-5)</f>
        <v>34100000</v>
      </c>
      <c r="F1100" s="16">
        <f t="shared" si="3297"/>
        <v>58600000</v>
      </c>
      <c r="G1100" s="16">
        <f t="shared" si="3297"/>
        <v>63700000</v>
      </c>
      <c r="H1100" s="17">
        <f t="shared" ref="H1100:J1100" si="3298">roundup((XLOOKUP($D1100,$T$3:$T$10,$U$3:$U$10)*XLOOKUP(H$2,$AA$3:$AA$5,$AC$3:$AC$5)-ABS(XLOOKUP($C1100,$Q$3:$Q$16,$R$3:$R$16)))*$B1100,-5)</f>
        <v>28600000</v>
      </c>
      <c r="I1100" s="17">
        <f t="shared" si="3298"/>
        <v>72000000</v>
      </c>
      <c r="J1100" s="17">
        <f t="shared" si="3298"/>
        <v>77900000</v>
      </c>
      <c r="K1100" s="17">
        <f t="shared" ref="K1100:M1100" si="3299">roundup((XLOOKUP($D1100,$T$3:$T$10,$U$3:$U$10)*XLOOKUP(K$2,$AA$3:$AA$5,$AD$3:$AD$5)-ABS(XLOOKUP($C1100,$Q$3:$Q$16,$R$3:$R$16)))*$B1100,-5)</f>
        <v>33400000</v>
      </c>
      <c r="L1100" s="17">
        <f t="shared" si="3299"/>
        <v>81000000</v>
      </c>
      <c r="M1100" s="17">
        <f t="shared" si="3299"/>
        <v>87500000</v>
      </c>
    </row>
    <row r="1101">
      <c r="A1101" s="14" t="s">
        <v>1144</v>
      </c>
      <c r="B1101" s="14">
        <v>112.0</v>
      </c>
      <c r="C1101" s="15">
        <f t="shared" si="4"/>
        <v>11</v>
      </c>
      <c r="D1101" s="14" t="s">
        <v>33</v>
      </c>
      <c r="E1101" s="16">
        <f t="shared" ref="E1101:G1101" si="3300">ROUNDUP((XLOOKUP($D1101,$T$3:$T$10,$U$3:$U$10)*XLOOKUP(E$2,$AA$3:$AA$5,$AB$3:$AB$5)-ABS(XLOOKUP($C1101,$Q$3:$Q$16,$R$3:$R$16)))*$B1101,-5)</f>
        <v>24300000</v>
      </c>
      <c r="F1101" s="16">
        <f t="shared" si="3300"/>
        <v>43100000</v>
      </c>
      <c r="G1101" s="16">
        <f t="shared" si="3300"/>
        <v>47000000</v>
      </c>
      <c r="H1101" s="17">
        <f t="shared" ref="H1101:J1101" si="3301">roundup((XLOOKUP($D1101,$T$3:$T$10,$U$3:$U$10)*XLOOKUP(H$2,$AA$3:$AA$5,$AC$3:$AC$5)-ABS(XLOOKUP($C1101,$Q$3:$Q$16,$R$3:$R$16)))*$B1101,-5)</f>
        <v>20000000</v>
      </c>
      <c r="I1101" s="17">
        <f t="shared" si="3301"/>
        <v>53400000</v>
      </c>
      <c r="J1101" s="17">
        <f t="shared" si="3301"/>
        <v>57900000</v>
      </c>
      <c r="K1101" s="17">
        <f t="shared" ref="K1101:M1101" si="3302">roundup((XLOOKUP($D1101,$T$3:$T$10,$U$3:$U$10)*XLOOKUP(K$2,$AA$3:$AA$5,$AD$3:$AD$5)-ABS(XLOOKUP($C1101,$Q$3:$Q$16,$R$3:$R$16)))*$B1101,-5)</f>
        <v>23700000</v>
      </c>
      <c r="L1101" s="17">
        <f t="shared" si="3302"/>
        <v>60300000</v>
      </c>
      <c r="M1101" s="17">
        <f t="shared" si="3302"/>
        <v>65300000</v>
      </c>
    </row>
    <row r="1102">
      <c r="A1102" s="14" t="s">
        <v>1145</v>
      </c>
      <c r="B1102" s="14">
        <v>75.0</v>
      </c>
      <c r="C1102" s="15">
        <f t="shared" si="4"/>
        <v>9</v>
      </c>
      <c r="D1102" s="14" t="s">
        <v>33</v>
      </c>
      <c r="E1102" s="16">
        <f t="shared" ref="E1102:G1102" si="3303">ROUNDUP((XLOOKUP($D1102,$T$3:$T$10,$U$3:$U$10)*XLOOKUP(E$2,$AA$3:$AA$5,$AB$3:$AB$5)-ABS(XLOOKUP($C1102,$Q$3:$Q$16,$R$3:$R$16)))*$B1102,-5)</f>
        <v>23100000</v>
      </c>
      <c r="F1102" s="16">
        <f t="shared" si="3303"/>
        <v>35700000</v>
      </c>
      <c r="G1102" s="16">
        <f t="shared" si="3303"/>
        <v>38300000</v>
      </c>
      <c r="H1102" s="17">
        <f t="shared" ref="H1102:J1102" si="3304">roundup((XLOOKUP($D1102,$T$3:$T$10,$U$3:$U$10)*XLOOKUP(H$2,$AA$3:$AA$5,$AC$3:$AC$5)-ABS(XLOOKUP($C1102,$Q$3:$Q$16,$R$3:$R$16)))*$B1102,-5)</f>
        <v>20300000</v>
      </c>
      <c r="I1102" s="17">
        <f t="shared" si="3304"/>
        <v>42600000</v>
      </c>
      <c r="J1102" s="17">
        <f t="shared" si="3304"/>
        <v>45600000</v>
      </c>
      <c r="K1102" s="17">
        <f t="shared" ref="K1102:M1102" si="3305">roundup((XLOOKUP($D1102,$T$3:$T$10,$U$3:$U$10)*XLOOKUP(K$2,$AA$3:$AA$5,$AD$3:$AD$5)-ABS(XLOOKUP($C1102,$Q$3:$Q$16,$R$3:$R$16)))*$B1102,-5)</f>
        <v>22700000</v>
      </c>
      <c r="L1102" s="17">
        <f t="shared" si="3305"/>
        <v>47200000</v>
      </c>
      <c r="M1102" s="17">
        <f t="shared" si="3305"/>
        <v>50600000</v>
      </c>
    </row>
    <row r="1103">
      <c r="A1103" s="14" t="s">
        <v>1146</v>
      </c>
      <c r="B1103" s="14">
        <v>130.0</v>
      </c>
      <c r="C1103" s="15">
        <f t="shared" si="4"/>
        <v>11</v>
      </c>
      <c r="D1103" s="14" t="s">
        <v>33</v>
      </c>
      <c r="E1103" s="16">
        <f t="shared" ref="E1103:G1103" si="3306">ROUNDUP((XLOOKUP($D1103,$T$3:$T$10,$U$3:$U$10)*XLOOKUP(E$2,$AA$3:$AA$5,$AB$3:$AB$5)-ABS(XLOOKUP($C1103,$Q$3:$Q$16,$R$3:$R$16)))*$B1103,-5)</f>
        <v>28200000</v>
      </c>
      <c r="F1103" s="16">
        <f t="shared" si="3306"/>
        <v>50100000</v>
      </c>
      <c r="G1103" s="16">
        <f t="shared" si="3306"/>
        <v>54600000</v>
      </c>
      <c r="H1103" s="17">
        <f t="shared" ref="H1103:J1103" si="3307">roundup((XLOOKUP($D1103,$T$3:$T$10,$U$3:$U$10)*XLOOKUP(H$2,$AA$3:$AA$5,$AC$3:$AC$5)-ABS(XLOOKUP($C1103,$Q$3:$Q$16,$R$3:$R$16)))*$B1103,-5)</f>
        <v>23200000</v>
      </c>
      <c r="I1103" s="17">
        <f t="shared" si="3307"/>
        <v>62000000</v>
      </c>
      <c r="J1103" s="17">
        <f t="shared" si="3307"/>
        <v>67200000</v>
      </c>
      <c r="K1103" s="17">
        <f t="shared" ref="K1103:M1103" si="3308">roundup((XLOOKUP($D1103,$T$3:$T$10,$U$3:$U$10)*XLOOKUP(K$2,$AA$3:$AA$5,$AD$3:$AD$5)-ABS(XLOOKUP($C1103,$Q$3:$Q$16,$R$3:$R$16)))*$B1103,-5)</f>
        <v>27500000</v>
      </c>
      <c r="L1103" s="17">
        <f t="shared" si="3308"/>
        <v>70000000</v>
      </c>
      <c r="M1103" s="17">
        <f t="shared" si="3308"/>
        <v>75800000</v>
      </c>
    </row>
    <row r="1104">
      <c r="A1104" s="14" t="s">
        <v>1147</v>
      </c>
      <c r="B1104" s="14">
        <v>93.0</v>
      </c>
      <c r="C1104" s="15">
        <f t="shared" si="4"/>
        <v>11</v>
      </c>
      <c r="D1104" s="14" t="s">
        <v>28</v>
      </c>
      <c r="E1104" s="16">
        <f t="shared" ref="E1104:G1104" si="3309">ROUNDUP((XLOOKUP($D1104,$T$3:$T$10,$U$3:$U$10)*XLOOKUP(E$2,$AA$3:$AA$5,$AB$3:$AB$5)-ABS(XLOOKUP($C1104,$Q$3:$Q$16,$R$3:$R$16)))*$B1104,-5)</f>
        <v>25700000</v>
      </c>
      <c r="F1104" s="16">
        <f t="shared" si="3309"/>
        <v>43700000</v>
      </c>
      <c r="G1104" s="16">
        <f t="shared" si="3309"/>
        <v>47500000</v>
      </c>
      <c r="H1104" s="17">
        <f t="shared" ref="H1104:J1104" si="3310">roundup((XLOOKUP($D1104,$T$3:$T$10,$U$3:$U$10)*XLOOKUP(H$2,$AA$3:$AA$5,$AC$3:$AC$5)-ABS(XLOOKUP($C1104,$Q$3:$Q$16,$R$3:$R$16)))*$B1104,-5)</f>
        <v>21600000</v>
      </c>
      <c r="I1104" s="17">
        <f t="shared" si="3310"/>
        <v>53600000</v>
      </c>
      <c r="J1104" s="17">
        <f t="shared" si="3310"/>
        <v>57900000</v>
      </c>
      <c r="K1104" s="17">
        <f t="shared" ref="K1104:M1104" si="3311">roundup((XLOOKUP($D1104,$T$3:$T$10,$U$3:$U$10)*XLOOKUP(K$2,$AA$3:$AA$5,$AD$3:$AD$5)-ABS(XLOOKUP($C1104,$Q$3:$Q$16,$R$3:$R$16)))*$B1104,-5)</f>
        <v>25100000</v>
      </c>
      <c r="L1104" s="17">
        <f t="shared" si="3311"/>
        <v>60300000</v>
      </c>
      <c r="M1104" s="17">
        <f t="shared" si="3311"/>
        <v>65100000</v>
      </c>
    </row>
    <row r="1105">
      <c r="A1105" s="14" t="s">
        <v>1148</v>
      </c>
      <c r="B1105" s="14">
        <v>93.0</v>
      </c>
      <c r="C1105" s="15">
        <f t="shared" si="4"/>
        <v>11</v>
      </c>
      <c r="D1105" s="14" t="s">
        <v>33</v>
      </c>
      <c r="E1105" s="16">
        <f t="shared" ref="E1105:G1105" si="3312">ROUNDUP((XLOOKUP($D1105,$T$3:$T$10,$U$3:$U$10)*XLOOKUP(E$2,$AA$3:$AA$5,$AB$3:$AB$5)-ABS(XLOOKUP($C1105,$Q$3:$Q$16,$R$3:$R$16)))*$B1105,-5)</f>
        <v>20200000</v>
      </c>
      <c r="F1105" s="16">
        <f t="shared" si="3312"/>
        <v>35800000</v>
      </c>
      <c r="G1105" s="16">
        <f t="shared" si="3312"/>
        <v>39100000</v>
      </c>
      <c r="H1105" s="17">
        <f t="shared" ref="H1105:J1105" si="3313">roundup((XLOOKUP($D1105,$T$3:$T$10,$U$3:$U$10)*XLOOKUP(H$2,$AA$3:$AA$5,$AC$3:$AC$5)-ABS(XLOOKUP($C1105,$Q$3:$Q$16,$R$3:$R$16)))*$B1105,-5)</f>
        <v>16600000</v>
      </c>
      <c r="I1105" s="17">
        <f t="shared" si="3313"/>
        <v>44300000</v>
      </c>
      <c r="J1105" s="17">
        <f t="shared" si="3313"/>
        <v>48100000</v>
      </c>
      <c r="K1105" s="17">
        <f t="shared" ref="K1105:M1105" si="3314">roundup((XLOOKUP($D1105,$T$3:$T$10,$U$3:$U$10)*XLOOKUP(K$2,$AA$3:$AA$5,$AD$3:$AD$5)-ABS(XLOOKUP($C1105,$Q$3:$Q$16,$R$3:$R$16)))*$B1105,-5)</f>
        <v>19700000</v>
      </c>
      <c r="L1105" s="17">
        <f t="shared" si="3314"/>
        <v>50100000</v>
      </c>
      <c r="M1105" s="17">
        <f t="shared" si="3314"/>
        <v>54300000</v>
      </c>
    </row>
    <row r="1106">
      <c r="A1106" s="14" t="s">
        <v>1149</v>
      </c>
      <c r="B1106" s="14">
        <v>95.0</v>
      </c>
      <c r="C1106" s="15">
        <f t="shared" si="4"/>
        <v>11</v>
      </c>
      <c r="D1106" s="14" t="s">
        <v>33</v>
      </c>
      <c r="E1106" s="16">
        <f t="shared" ref="E1106:G1106" si="3315">ROUNDUP((XLOOKUP($D1106,$T$3:$T$10,$U$3:$U$10)*XLOOKUP(E$2,$AA$3:$AA$5,$AB$3:$AB$5)-ABS(XLOOKUP($C1106,$Q$3:$Q$16,$R$3:$R$16)))*$B1106,-5)</f>
        <v>20600000</v>
      </c>
      <c r="F1106" s="16">
        <f t="shared" si="3315"/>
        <v>36600000</v>
      </c>
      <c r="G1106" s="16">
        <f t="shared" si="3315"/>
        <v>39900000</v>
      </c>
      <c r="H1106" s="17">
        <f t="shared" ref="H1106:J1106" si="3316">roundup((XLOOKUP($D1106,$T$3:$T$10,$U$3:$U$10)*XLOOKUP(H$2,$AA$3:$AA$5,$AC$3:$AC$5)-ABS(XLOOKUP($C1106,$Q$3:$Q$16,$R$3:$R$16)))*$B1106,-5)</f>
        <v>17000000</v>
      </c>
      <c r="I1106" s="17">
        <f t="shared" si="3316"/>
        <v>45300000</v>
      </c>
      <c r="J1106" s="17">
        <f t="shared" si="3316"/>
        <v>49200000</v>
      </c>
      <c r="K1106" s="17">
        <f t="shared" ref="K1106:M1106" si="3317">roundup((XLOOKUP($D1106,$T$3:$T$10,$U$3:$U$10)*XLOOKUP(K$2,$AA$3:$AA$5,$AD$3:$AD$5)-ABS(XLOOKUP($C1106,$Q$3:$Q$16,$R$3:$R$16)))*$B1106,-5)</f>
        <v>20100000</v>
      </c>
      <c r="L1106" s="17">
        <f t="shared" si="3317"/>
        <v>51200000</v>
      </c>
      <c r="M1106" s="17">
        <f t="shared" si="3317"/>
        <v>55400000</v>
      </c>
    </row>
    <row r="1107">
      <c r="A1107" s="14" t="s">
        <v>1150</v>
      </c>
      <c r="B1107" s="14">
        <v>81.0</v>
      </c>
      <c r="C1107" s="15">
        <f t="shared" si="4"/>
        <v>11</v>
      </c>
      <c r="D1107" s="14" t="s">
        <v>33</v>
      </c>
      <c r="E1107" s="16">
        <f t="shared" ref="E1107:G1107" si="3318">ROUNDUP((XLOOKUP($D1107,$T$3:$T$10,$U$3:$U$10)*XLOOKUP(E$2,$AA$3:$AA$5,$AB$3:$AB$5)-ABS(XLOOKUP($C1107,$Q$3:$Q$16,$R$3:$R$16)))*$B1107,-5)</f>
        <v>17600000</v>
      </c>
      <c r="F1107" s="16">
        <f t="shared" si="3318"/>
        <v>31200000</v>
      </c>
      <c r="G1107" s="16">
        <f t="shared" si="3318"/>
        <v>34000000</v>
      </c>
      <c r="H1107" s="17">
        <f t="shared" ref="H1107:J1107" si="3319">roundup((XLOOKUP($D1107,$T$3:$T$10,$U$3:$U$10)*XLOOKUP(H$2,$AA$3:$AA$5,$AC$3:$AC$5)-ABS(XLOOKUP($C1107,$Q$3:$Q$16,$R$3:$R$16)))*$B1107,-5)</f>
        <v>14500000</v>
      </c>
      <c r="I1107" s="17">
        <f t="shared" si="3319"/>
        <v>38600000</v>
      </c>
      <c r="J1107" s="17">
        <f t="shared" si="3319"/>
        <v>41900000</v>
      </c>
      <c r="K1107" s="17">
        <f t="shared" ref="K1107:M1107" si="3320">roundup((XLOOKUP($D1107,$T$3:$T$10,$U$3:$U$10)*XLOOKUP(K$2,$AA$3:$AA$5,$AD$3:$AD$5)-ABS(XLOOKUP($C1107,$Q$3:$Q$16,$R$3:$R$16)))*$B1107,-5)</f>
        <v>17200000</v>
      </c>
      <c r="L1107" s="17">
        <f t="shared" si="3320"/>
        <v>43700000</v>
      </c>
      <c r="M1107" s="17">
        <f t="shared" si="3320"/>
        <v>47300000</v>
      </c>
    </row>
    <row r="1108">
      <c r="A1108" s="14" t="s">
        <v>1151</v>
      </c>
      <c r="B1108" s="14">
        <v>103.0</v>
      </c>
      <c r="C1108" s="15">
        <f t="shared" si="4"/>
        <v>11</v>
      </c>
      <c r="D1108" s="14" t="s">
        <v>36</v>
      </c>
      <c r="E1108" s="16">
        <f t="shared" ref="E1108:G1108" si="3321">ROUNDUP((XLOOKUP($D1108,$T$3:$T$10,$U$3:$U$10)*XLOOKUP(E$2,$AA$3:$AA$5,$AB$3:$AB$5)-ABS(XLOOKUP($C1108,$Q$3:$Q$16,$R$3:$R$16)))*$B1108,-5)</f>
        <v>27100000</v>
      </c>
      <c r="F1108" s="16">
        <f t="shared" si="3321"/>
        <v>46500000</v>
      </c>
      <c r="G1108" s="16">
        <f t="shared" si="3321"/>
        <v>50500000</v>
      </c>
      <c r="H1108" s="17">
        <f t="shared" ref="H1108:J1108" si="3322">roundup((XLOOKUP($D1108,$T$3:$T$10,$U$3:$U$10)*XLOOKUP(H$2,$AA$3:$AA$5,$AC$3:$AC$5)-ABS(XLOOKUP($C1108,$Q$3:$Q$16,$R$3:$R$16)))*$B1108,-5)</f>
        <v>22600000</v>
      </c>
      <c r="I1108" s="17">
        <f t="shared" si="3322"/>
        <v>57000000</v>
      </c>
      <c r="J1108" s="17">
        <f t="shared" si="3322"/>
        <v>61700000</v>
      </c>
      <c r="K1108" s="17">
        <f t="shared" ref="K1108:M1108" si="3323">roundup((XLOOKUP($D1108,$T$3:$T$10,$U$3:$U$10)*XLOOKUP(K$2,$AA$3:$AA$5,$AD$3:$AD$5)-ABS(XLOOKUP($C1108,$Q$3:$Q$16,$R$3:$R$16)))*$B1108,-5)</f>
        <v>26500000</v>
      </c>
      <c r="L1108" s="17">
        <f t="shared" si="3323"/>
        <v>64200000</v>
      </c>
      <c r="M1108" s="17">
        <f t="shared" si="3323"/>
        <v>69300000</v>
      </c>
    </row>
    <row r="1109">
      <c r="A1109" s="14" t="s">
        <v>1152</v>
      </c>
      <c r="B1109" s="14">
        <v>114.0</v>
      </c>
      <c r="C1109" s="15">
        <f t="shared" si="4"/>
        <v>11</v>
      </c>
      <c r="D1109" s="14" t="s">
        <v>33</v>
      </c>
      <c r="E1109" s="16">
        <f t="shared" ref="E1109:G1109" si="3324">ROUNDUP((XLOOKUP($D1109,$T$3:$T$10,$U$3:$U$10)*XLOOKUP(E$2,$AA$3:$AA$5,$AB$3:$AB$5)-ABS(XLOOKUP($C1109,$Q$3:$Q$16,$R$3:$R$16)))*$B1109,-5)</f>
        <v>24800000</v>
      </c>
      <c r="F1109" s="16">
        <f t="shared" si="3324"/>
        <v>43900000</v>
      </c>
      <c r="G1109" s="16">
        <f t="shared" si="3324"/>
        <v>47900000</v>
      </c>
      <c r="H1109" s="17">
        <f t="shared" ref="H1109:J1109" si="3325">roundup((XLOOKUP($D1109,$T$3:$T$10,$U$3:$U$10)*XLOOKUP(H$2,$AA$3:$AA$5,$AC$3:$AC$5)-ABS(XLOOKUP($C1109,$Q$3:$Q$16,$R$3:$R$16)))*$B1109,-5)</f>
        <v>20400000</v>
      </c>
      <c r="I1109" s="17">
        <f t="shared" si="3325"/>
        <v>54300000</v>
      </c>
      <c r="J1109" s="17">
        <f t="shared" si="3325"/>
        <v>59000000</v>
      </c>
      <c r="K1109" s="17">
        <f t="shared" ref="K1109:M1109" si="3326">roundup((XLOOKUP($D1109,$T$3:$T$10,$U$3:$U$10)*XLOOKUP(K$2,$AA$3:$AA$5,$AD$3:$AD$5)-ABS(XLOOKUP($C1109,$Q$3:$Q$16,$R$3:$R$16)))*$B1109,-5)</f>
        <v>24200000</v>
      </c>
      <c r="L1109" s="17">
        <f t="shared" si="3326"/>
        <v>61400000</v>
      </c>
      <c r="M1109" s="17">
        <f t="shared" si="3326"/>
        <v>66500000</v>
      </c>
    </row>
    <row r="1110">
      <c r="A1110" s="14" t="s">
        <v>1153</v>
      </c>
      <c r="B1110" s="14">
        <v>84.0</v>
      </c>
      <c r="C1110" s="15">
        <f t="shared" si="4"/>
        <v>11</v>
      </c>
      <c r="D1110" s="14" t="s">
        <v>36</v>
      </c>
      <c r="E1110" s="16">
        <f t="shared" ref="E1110:G1110" si="3327">ROUNDUP((XLOOKUP($D1110,$T$3:$T$10,$U$3:$U$10)*XLOOKUP(E$2,$AA$3:$AA$5,$AB$3:$AB$5)-ABS(XLOOKUP($C1110,$Q$3:$Q$16,$R$3:$R$16)))*$B1110,-5)</f>
        <v>22100000</v>
      </c>
      <c r="F1110" s="16">
        <f t="shared" si="3327"/>
        <v>37900000</v>
      </c>
      <c r="G1110" s="16">
        <f t="shared" si="3327"/>
        <v>41200000</v>
      </c>
      <c r="H1110" s="17">
        <f t="shared" ref="H1110:J1110" si="3328">roundup((XLOOKUP($D1110,$T$3:$T$10,$U$3:$U$10)*XLOOKUP(H$2,$AA$3:$AA$5,$AC$3:$AC$5)-ABS(XLOOKUP($C1110,$Q$3:$Q$16,$R$3:$R$16)))*$B1110,-5)</f>
        <v>18500000</v>
      </c>
      <c r="I1110" s="17">
        <f t="shared" si="3328"/>
        <v>46500000</v>
      </c>
      <c r="J1110" s="17">
        <f t="shared" si="3328"/>
        <v>50300000</v>
      </c>
      <c r="K1110" s="17">
        <f t="shared" ref="K1110:M1110" si="3329">roundup((XLOOKUP($D1110,$T$3:$T$10,$U$3:$U$10)*XLOOKUP(K$2,$AA$3:$AA$5,$AD$3:$AD$5)-ABS(XLOOKUP($C1110,$Q$3:$Q$16,$R$3:$R$16)))*$B1110,-5)</f>
        <v>21600000</v>
      </c>
      <c r="L1110" s="17">
        <f t="shared" si="3329"/>
        <v>52400000</v>
      </c>
      <c r="M1110" s="17">
        <f t="shared" si="3329"/>
        <v>56600000</v>
      </c>
    </row>
    <row r="1111">
      <c r="A1111" s="14" t="s">
        <v>1154</v>
      </c>
      <c r="B1111" s="14">
        <v>81.0</v>
      </c>
      <c r="C1111" s="15">
        <f t="shared" si="4"/>
        <v>11</v>
      </c>
      <c r="D1111" s="14" t="s">
        <v>36</v>
      </c>
      <c r="E1111" s="16">
        <f t="shared" ref="E1111:G1111" si="3330">ROUNDUP((XLOOKUP($D1111,$T$3:$T$10,$U$3:$U$10)*XLOOKUP(E$2,$AA$3:$AA$5,$AB$3:$AB$5)-ABS(XLOOKUP($C1111,$Q$3:$Q$16,$R$3:$R$16)))*$B1111,-5)</f>
        <v>21300000</v>
      </c>
      <c r="F1111" s="16">
        <f t="shared" si="3330"/>
        <v>36500000</v>
      </c>
      <c r="G1111" s="16">
        <f t="shared" si="3330"/>
        <v>39700000</v>
      </c>
      <c r="H1111" s="17">
        <f t="shared" ref="H1111:J1111" si="3331">roundup((XLOOKUP($D1111,$T$3:$T$10,$U$3:$U$10)*XLOOKUP(H$2,$AA$3:$AA$5,$AC$3:$AC$5)-ABS(XLOOKUP($C1111,$Q$3:$Q$16,$R$3:$R$16)))*$B1111,-5)</f>
        <v>17800000</v>
      </c>
      <c r="I1111" s="17">
        <f t="shared" si="3331"/>
        <v>44900000</v>
      </c>
      <c r="J1111" s="17">
        <f t="shared" si="3331"/>
        <v>48500000</v>
      </c>
      <c r="K1111" s="17">
        <f t="shared" ref="K1111:M1111" si="3332">roundup((XLOOKUP($D1111,$T$3:$T$10,$U$3:$U$10)*XLOOKUP(K$2,$AA$3:$AA$5,$AD$3:$AD$5)-ABS(XLOOKUP($C1111,$Q$3:$Q$16,$R$3:$R$16)))*$B1111,-5)</f>
        <v>20800000</v>
      </c>
      <c r="L1111" s="17">
        <f t="shared" si="3332"/>
        <v>50500000</v>
      </c>
      <c r="M1111" s="17">
        <f t="shared" si="3332"/>
        <v>54500000</v>
      </c>
    </row>
    <row r="1112">
      <c r="A1112" s="14" t="s">
        <v>1155</v>
      </c>
      <c r="B1112" s="14">
        <v>95.0</v>
      </c>
      <c r="C1112" s="15">
        <f t="shared" si="4"/>
        <v>11</v>
      </c>
      <c r="D1112" s="14" t="s">
        <v>36</v>
      </c>
      <c r="E1112" s="16">
        <f t="shared" ref="E1112:G1112" si="3333">ROUNDUP((XLOOKUP($D1112,$T$3:$T$10,$U$3:$U$10)*XLOOKUP(E$2,$AA$3:$AA$5,$AB$3:$AB$5)-ABS(XLOOKUP($C1112,$Q$3:$Q$16,$R$3:$R$16)))*$B1112,-5)</f>
        <v>25000000</v>
      </c>
      <c r="F1112" s="16">
        <f t="shared" si="3333"/>
        <v>42900000</v>
      </c>
      <c r="G1112" s="16">
        <f t="shared" si="3333"/>
        <v>46600000</v>
      </c>
      <c r="H1112" s="17">
        <f t="shared" ref="H1112:J1112" si="3334">roundup((XLOOKUP($D1112,$T$3:$T$10,$U$3:$U$10)*XLOOKUP(H$2,$AA$3:$AA$5,$AC$3:$AC$5)-ABS(XLOOKUP($C1112,$Q$3:$Q$16,$R$3:$R$16)))*$B1112,-5)</f>
        <v>20900000</v>
      </c>
      <c r="I1112" s="17">
        <f t="shared" si="3334"/>
        <v>52600000</v>
      </c>
      <c r="J1112" s="17">
        <f t="shared" si="3334"/>
        <v>56900000</v>
      </c>
      <c r="K1112" s="17">
        <f t="shared" ref="K1112:M1112" si="3335">roundup((XLOOKUP($D1112,$T$3:$T$10,$U$3:$U$10)*XLOOKUP(K$2,$AA$3:$AA$5,$AD$3:$AD$5)-ABS(XLOOKUP($C1112,$Q$3:$Q$16,$R$3:$R$16)))*$B1112,-5)</f>
        <v>24400000</v>
      </c>
      <c r="L1112" s="17">
        <f t="shared" si="3335"/>
        <v>59200000</v>
      </c>
      <c r="M1112" s="17">
        <f t="shared" si="3335"/>
        <v>64000000</v>
      </c>
    </row>
    <row r="1113">
      <c r="A1113" s="14" t="s">
        <v>1156</v>
      </c>
      <c r="B1113" s="14">
        <v>47.0</v>
      </c>
      <c r="C1113" s="15">
        <f t="shared" si="4"/>
        <v>6</v>
      </c>
      <c r="D1113" s="14" t="s">
        <v>33</v>
      </c>
      <c r="E1113" s="16">
        <f t="shared" ref="E1113:G1113" si="3336">ROUNDUP((XLOOKUP($D1113,$T$3:$T$10,$U$3:$U$10)*XLOOKUP(E$2,$AA$3:$AA$5,$AB$3:$AB$5)-ABS(XLOOKUP($C1113,$Q$3:$Q$16,$R$3:$R$16)))*$B1113,-5)</f>
        <v>15600000</v>
      </c>
      <c r="F1113" s="16">
        <f t="shared" si="3336"/>
        <v>23500000</v>
      </c>
      <c r="G1113" s="16">
        <f t="shared" si="3336"/>
        <v>25200000</v>
      </c>
      <c r="H1113" s="17">
        <f t="shared" ref="H1113:J1113" si="3337">roundup((XLOOKUP($D1113,$T$3:$T$10,$U$3:$U$10)*XLOOKUP(H$2,$AA$3:$AA$5,$AC$3:$AC$5)-ABS(XLOOKUP($C1113,$Q$3:$Q$16,$R$3:$R$16)))*$B1113,-5)</f>
        <v>13800000</v>
      </c>
      <c r="I1113" s="17">
        <f t="shared" si="3337"/>
        <v>27800000</v>
      </c>
      <c r="J1113" s="17">
        <f t="shared" si="3337"/>
        <v>29700000</v>
      </c>
      <c r="K1113" s="17">
        <f t="shared" ref="K1113:M1113" si="3338">roundup((XLOOKUP($D1113,$T$3:$T$10,$U$3:$U$10)*XLOOKUP(K$2,$AA$3:$AA$5,$AD$3:$AD$5)-ABS(XLOOKUP($C1113,$Q$3:$Q$16,$R$3:$R$16)))*$B1113,-5)</f>
        <v>15400000</v>
      </c>
      <c r="L1113" s="17">
        <f t="shared" si="3338"/>
        <v>30800000</v>
      </c>
      <c r="M1113" s="17">
        <f t="shared" si="3338"/>
        <v>32900000</v>
      </c>
    </row>
    <row r="1114">
      <c r="A1114" s="14" t="s">
        <v>1157</v>
      </c>
      <c r="B1114" s="14">
        <v>56.0</v>
      </c>
      <c r="C1114" s="15">
        <f t="shared" si="4"/>
        <v>8</v>
      </c>
      <c r="D1114" s="14" t="s">
        <v>33</v>
      </c>
      <c r="E1114" s="16">
        <f t="shared" ref="E1114:G1114" si="3339">ROUNDUP((XLOOKUP($D1114,$T$3:$T$10,$U$3:$U$10)*XLOOKUP(E$2,$AA$3:$AA$5,$AB$3:$AB$5)-ABS(XLOOKUP($C1114,$Q$3:$Q$16,$R$3:$R$16)))*$B1114,-5)</f>
        <v>17500000</v>
      </c>
      <c r="F1114" s="16">
        <f t="shared" si="3339"/>
        <v>26900000</v>
      </c>
      <c r="G1114" s="16">
        <f t="shared" si="3339"/>
        <v>28900000</v>
      </c>
      <c r="H1114" s="17">
        <f t="shared" ref="H1114:J1114" si="3340">roundup((XLOOKUP($D1114,$T$3:$T$10,$U$3:$U$10)*XLOOKUP(H$2,$AA$3:$AA$5,$AC$3:$AC$5)-ABS(XLOOKUP($C1114,$Q$3:$Q$16,$R$3:$R$16)))*$B1114,-5)</f>
        <v>15400000</v>
      </c>
      <c r="I1114" s="17">
        <f t="shared" si="3340"/>
        <v>32000000</v>
      </c>
      <c r="J1114" s="17">
        <f t="shared" si="3340"/>
        <v>34300000</v>
      </c>
      <c r="K1114" s="17">
        <f t="shared" ref="K1114:M1114" si="3341">roundup((XLOOKUP($D1114,$T$3:$T$10,$U$3:$U$10)*XLOOKUP(K$2,$AA$3:$AA$5,$AD$3:$AD$5)-ABS(XLOOKUP($C1114,$Q$3:$Q$16,$R$3:$R$16)))*$B1114,-5)</f>
        <v>17200000</v>
      </c>
      <c r="L1114" s="17">
        <f t="shared" si="3341"/>
        <v>35500000</v>
      </c>
      <c r="M1114" s="17">
        <f t="shared" si="3341"/>
        <v>38000000</v>
      </c>
    </row>
    <row r="1115">
      <c r="A1115" s="14" t="s">
        <v>1158</v>
      </c>
      <c r="B1115" s="14">
        <v>111.0</v>
      </c>
      <c r="C1115" s="15">
        <f t="shared" si="4"/>
        <v>11</v>
      </c>
      <c r="D1115" s="14" t="s">
        <v>33</v>
      </c>
      <c r="E1115" s="16">
        <f t="shared" ref="E1115:G1115" si="3342">ROUNDUP((XLOOKUP($D1115,$T$3:$T$10,$U$3:$U$10)*XLOOKUP(E$2,$AA$3:$AA$5,$AB$3:$AB$5)-ABS(XLOOKUP($C1115,$Q$3:$Q$16,$R$3:$R$16)))*$B1115,-5)</f>
        <v>24100000</v>
      </c>
      <c r="F1115" s="16">
        <f t="shared" si="3342"/>
        <v>42800000</v>
      </c>
      <c r="G1115" s="16">
        <f t="shared" si="3342"/>
        <v>46600000</v>
      </c>
      <c r="H1115" s="17">
        <f t="shared" ref="H1115:J1115" si="3343">roundup((XLOOKUP($D1115,$T$3:$T$10,$U$3:$U$10)*XLOOKUP(H$2,$AA$3:$AA$5,$AC$3:$AC$5)-ABS(XLOOKUP($C1115,$Q$3:$Q$16,$R$3:$R$16)))*$B1115,-5)</f>
        <v>19900000</v>
      </c>
      <c r="I1115" s="17">
        <f t="shared" si="3343"/>
        <v>52900000</v>
      </c>
      <c r="J1115" s="17">
        <f t="shared" si="3343"/>
        <v>57400000</v>
      </c>
      <c r="K1115" s="17">
        <f t="shared" ref="K1115:M1115" si="3344">roundup((XLOOKUP($D1115,$T$3:$T$10,$U$3:$U$10)*XLOOKUP(K$2,$AA$3:$AA$5,$AD$3:$AD$5)-ABS(XLOOKUP($C1115,$Q$3:$Q$16,$R$3:$R$16)))*$B1115,-5)</f>
        <v>23500000</v>
      </c>
      <c r="L1115" s="17">
        <f t="shared" si="3344"/>
        <v>59800000</v>
      </c>
      <c r="M1115" s="17">
        <f t="shared" si="3344"/>
        <v>64800000</v>
      </c>
    </row>
    <row r="1116">
      <c r="A1116" s="14" t="s">
        <v>1159</v>
      </c>
      <c r="B1116" s="14">
        <v>123.0</v>
      </c>
      <c r="C1116" s="15">
        <f t="shared" si="4"/>
        <v>11</v>
      </c>
      <c r="D1116" s="14" t="s">
        <v>36</v>
      </c>
      <c r="E1116" s="16">
        <f t="shared" ref="E1116:G1116" si="3345">ROUNDUP((XLOOKUP($D1116,$T$3:$T$10,$U$3:$U$10)*XLOOKUP(E$2,$AA$3:$AA$5,$AB$3:$AB$5)-ABS(XLOOKUP($C1116,$Q$3:$Q$16,$R$3:$R$16)))*$B1116,-5)</f>
        <v>32300000</v>
      </c>
      <c r="F1116" s="16">
        <f t="shared" si="3345"/>
        <v>55500000</v>
      </c>
      <c r="G1116" s="16">
        <f t="shared" si="3345"/>
        <v>60300000</v>
      </c>
      <c r="H1116" s="17">
        <f t="shared" ref="H1116:J1116" si="3346">roundup((XLOOKUP($D1116,$T$3:$T$10,$U$3:$U$10)*XLOOKUP(H$2,$AA$3:$AA$5,$AC$3:$AC$5)-ABS(XLOOKUP($C1116,$Q$3:$Q$16,$R$3:$R$16)))*$B1116,-5)</f>
        <v>27000000</v>
      </c>
      <c r="I1116" s="17">
        <f t="shared" si="3346"/>
        <v>68100000</v>
      </c>
      <c r="J1116" s="17">
        <f t="shared" si="3346"/>
        <v>73700000</v>
      </c>
      <c r="K1116" s="17">
        <f t="shared" ref="K1116:M1116" si="3347">roundup((XLOOKUP($D1116,$T$3:$T$10,$U$3:$U$10)*XLOOKUP(K$2,$AA$3:$AA$5,$AD$3:$AD$5)-ABS(XLOOKUP($C1116,$Q$3:$Q$16,$R$3:$R$16)))*$B1116,-5)</f>
        <v>31600000</v>
      </c>
      <c r="L1116" s="17">
        <f t="shared" si="3347"/>
        <v>76600000</v>
      </c>
      <c r="M1116" s="17">
        <f t="shared" si="3347"/>
        <v>82800000</v>
      </c>
    </row>
    <row r="1117">
      <c r="A1117" s="14" t="s">
        <v>1160</v>
      </c>
      <c r="B1117" s="14">
        <v>86.0</v>
      </c>
      <c r="C1117" s="15">
        <f t="shared" si="4"/>
        <v>11</v>
      </c>
      <c r="D1117" s="14" t="s">
        <v>36</v>
      </c>
      <c r="E1117" s="16">
        <f t="shared" ref="E1117:G1117" si="3348">ROUNDUP((XLOOKUP($D1117,$T$3:$T$10,$U$3:$U$10)*XLOOKUP(E$2,$AA$3:$AA$5,$AB$3:$AB$5)-ABS(XLOOKUP($C1117,$Q$3:$Q$16,$R$3:$R$16)))*$B1117,-5)</f>
        <v>22600000</v>
      </c>
      <c r="F1117" s="16">
        <f t="shared" si="3348"/>
        <v>38800000</v>
      </c>
      <c r="G1117" s="16">
        <f t="shared" si="3348"/>
        <v>42100000</v>
      </c>
      <c r="H1117" s="17">
        <f t="shared" ref="H1117:J1117" si="3349">roundup((XLOOKUP($D1117,$T$3:$T$10,$U$3:$U$10)*XLOOKUP(H$2,$AA$3:$AA$5,$AC$3:$AC$5)-ABS(XLOOKUP($C1117,$Q$3:$Q$16,$R$3:$R$16)))*$B1117,-5)</f>
        <v>18900000</v>
      </c>
      <c r="I1117" s="17">
        <f t="shared" si="3349"/>
        <v>47600000</v>
      </c>
      <c r="J1117" s="17">
        <f t="shared" si="3349"/>
        <v>51500000</v>
      </c>
      <c r="K1117" s="17">
        <f t="shared" ref="K1117:M1117" si="3350">roundup((XLOOKUP($D1117,$T$3:$T$10,$U$3:$U$10)*XLOOKUP(K$2,$AA$3:$AA$5,$AD$3:$AD$5)-ABS(XLOOKUP($C1117,$Q$3:$Q$16,$R$3:$R$16)))*$B1117,-5)</f>
        <v>22100000</v>
      </c>
      <c r="L1117" s="17">
        <f t="shared" si="3350"/>
        <v>53600000</v>
      </c>
      <c r="M1117" s="17">
        <f t="shared" si="3350"/>
        <v>57900000</v>
      </c>
    </row>
    <row r="1118">
      <c r="A1118" s="14" t="s">
        <v>1161</v>
      </c>
      <c r="B1118" s="14">
        <v>75.0</v>
      </c>
      <c r="C1118" s="15">
        <f t="shared" si="4"/>
        <v>9</v>
      </c>
      <c r="D1118" s="14" t="s">
        <v>36</v>
      </c>
      <c r="E1118" s="16">
        <f t="shared" ref="E1118:G1118" si="3351">ROUNDUP((XLOOKUP($D1118,$T$3:$T$10,$U$3:$U$10)*XLOOKUP(E$2,$AA$3:$AA$5,$AB$3:$AB$5)-ABS(XLOOKUP($C1118,$Q$3:$Q$16,$R$3:$R$16)))*$B1118,-5)</f>
        <v>26500000</v>
      </c>
      <c r="F1118" s="16">
        <f t="shared" si="3351"/>
        <v>40700000</v>
      </c>
      <c r="G1118" s="16">
        <f t="shared" si="3351"/>
        <v>43600000</v>
      </c>
      <c r="H1118" s="17">
        <f t="shared" ref="H1118:J1118" si="3352">roundup((XLOOKUP($D1118,$T$3:$T$10,$U$3:$U$10)*XLOOKUP(H$2,$AA$3:$AA$5,$AC$3:$AC$5)-ABS(XLOOKUP($C1118,$Q$3:$Q$16,$R$3:$R$16)))*$B1118,-5)</f>
        <v>23300000</v>
      </c>
      <c r="I1118" s="17">
        <f t="shared" si="3352"/>
        <v>48400000</v>
      </c>
      <c r="J1118" s="17">
        <f t="shared" si="3352"/>
        <v>51800000</v>
      </c>
      <c r="K1118" s="17">
        <f t="shared" ref="K1118:M1118" si="3353">roundup((XLOOKUP($D1118,$T$3:$T$10,$U$3:$U$10)*XLOOKUP(K$2,$AA$3:$AA$5,$AD$3:$AD$5)-ABS(XLOOKUP($C1118,$Q$3:$Q$16,$R$3:$R$16)))*$B1118,-5)</f>
        <v>26100000</v>
      </c>
      <c r="L1118" s="17">
        <f t="shared" si="3353"/>
        <v>53600000</v>
      </c>
      <c r="M1118" s="17">
        <f t="shared" si="3353"/>
        <v>57300000</v>
      </c>
    </row>
    <row r="1119">
      <c r="A1119" s="14" t="s">
        <v>1162</v>
      </c>
      <c r="B1119" s="14">
        <v>93.0</v>
      </c>
      <c r="C1119" s="15">
        <f t="shared" si="4"/>
        <v>11</v>
      </c>
      <c r="D1119" s="14" t="s">
        <v>33</v>
      </c>
      <c r="E1119" s="16">
        <f t="shared" ref="E1119:G1119" si="3354">ROUNDUP((XLOOKUP($D1119,$T$3:$T$10,$U$3:$U$10)*XLOOKUP(E$2,$AA$3:$AA$5,$AB$3:$AB$5)-ABS(XLOOKUP($C1119,$Q$3:$Q$16,$R$3:$R$16)))*$B1119,-5)</f>
        <v>20200000</v>
      </c>
      <c r="F1119" s="16">
        <f t="shared" si="3354"/>
        <v>35800000</v>
      </c>
      <c r="G1119" s="16">
        <f t="shared" si="3354"/>
        <v>39100000</v>
      </c>
      <c r="H1119" s="17">
        <f t="shared" ref="H1119:J1119" si="3355">roundup((XLOOKUP($D1119,$T$3:$T$10,$U$3:$U$10)*XLOOKUP(H$2,$AA$3:$AA$5,$AC$3:$AC$5)-ABS(XLOOKUP($C1119,$Q$3:$Q$16,$R$3:$R$16)))*$B1119,-5)</f>
        <v>16600000</v>
      </c>
      <c r="I1119" s="17">
        <f t="shared" si="3355"/>
        <v>44300000</v>
      </c>
      <c r="J1119" s="17">
        <f t="shared" si="3355"/>
        <v>48100000</v>
      </c>
      <c r="K1119" s="17">
        <f t="shared" ref="K1119:M1119" si="3356">roundup((XLOOKUP($D1119,$T$3:$T$10,$U$3:$U$10)*XLOOKUP(K$2,$AA$3:$AA$5,$AD$3:$AD$5)-ABS(XLOOKUP($C1119,$Q$3:$Q$16,$R$3:$R$16)))*$B1119,-5)</f>
        <v>19700000</v>
      </c>
      <c r="L1119" s="17">
        <f t="shared" si="3356"/>
        <v>50100000</v>
      </c>
      <c r="M1119" s="17">
        <f t="shared" si="3356"/>
        <v>54300000</v>
      </c>
    </row>
    <row r="1120">
      <c r="A1120" s="14" t="s">
        <v>1163</v>
      </c>
      <c r="B1120" s="14">
        <v>61.0</v>
      </c>
      <c r="C1120" s="15">
        <f t="shared" si="4"/>
        <v>9</v>
      </c>
      <c r="D1120" s="14" t="s">
        <v>36</v>
      </c>
      <c r="E1120" s="16">
        <f t="shared" ref="E1120:G1120" si="3357">ROUNDUP((XLOOKUP($D1120,$T$3:$T$10,$U$3:$U$10)*XLOOKUP(E$2,$AA$3:$AA$5,$AB$3:$AB$5)-ABS(XLOOKUP($C1120,$Q$3:$Q$16,$R$3:$R$16)))*$B1120,-5)</f>
        <v>21600000</v>
      </c>
      <c r="F1120" s="16">
        <f t="shared" si="3357"/>
        <v>33100000</v>
      </c>
      <c r="G1120" s="16">
        <f t="shared" si="3357"/>
        <v>35500000</v>
      </c>
      <c r="H1120" s="17">
        <f t="shared" ref="H1120:J1120" si="3358">roundup((XLOOKUP($D1120,$T$3:$T$10,$U$3:$U$10)*XLOOKUP(H$2,$AA$3:$AA$5,$AC$3:$AC$5)-ABS(XLOOKUP($C1120,$Q$3:$Q$16,$R$3:$R$16)))*$B1120,-5)</f>
        <v>19000000</v>
      </c>
      <c r="I1120" s="17">
        <f t="shared" si="3358"/>
        <v>39300000</v>
      </c>
      <c r="J1120" s="17">
        <f t="shared" si="3358"/>
        <v>42100000</v>
      </c>
      <c r="K1120" s="17">
        <f t="shared" ref="K1120:M1120" si="3359">roundup((XLOOKUP($D1120,$T$3:$T$10,$U$3:$U$10)*XLOOKUP(K$2,$AA$3:$AA$5,$AD$3:$AD$5)-ABS(XLOOKUP($C1120,$Q$3:$Q$16,$R$3:$R$16)))*$B1120,-5)</f>
        <v>21200000</v>
      </c>
      <c r="L1120" s="17">
        <f t="shared" si="3359"/>
        <v>43600000</v>
      </c>
      <c r="M1120" s="17">
        <f t="shared" si="3359"/>
        <v>46600000</v>
      </c>
    </row>
    <row r="1121">
      <c r="A1121" s="14" t="s">
        <v>1164</v>
      </c>
      <c r="B1121" s="14">
        <v>87.0</v>
      </c>
      <c r="C1121" s="15">
        <f t="shared" si="4"/>
        <v>11</v>
      </c>
      <c r="D1121" s="14" t="s">
        <v>28</v>
      </c>
      <c r="E1121" s="16">
        <f t="shared" ref="E1121:G1121" si="3360">ROUNDUP((XLOOKUP($D1121,$T$3:$T$10,$U$3:$U$10)*XLOOKUP(E$2,$AA$3:$AA$5,$AB$3:$AB$5)-ABS(XLOOKUP($C1121,$Q$3:$Q$16,$R$3:$R$16)))*$B1121,-5)</f>
        <v>24000000</v>
      </c>
      <c r="F1121" s="16">
        <f t="shared" si="3360"/>
        <v>40900000</v>
      </c>
      <c r="G1121" s="16">
        <f t="shared" si="3360"/>
        <v>44400000</v>
      </c>
      <c r="H1121" s="17">
        <f t="shared" ref="H1121:J1121" si="3361">roundup((XLOOKUP($D1121,$T$3:$T$10,$U$3:$U$10)*XLOOKUP(H$2,$AA$3:$AA$5,$AC$3:$AC$5)-ABS(XLOOKUP($C1121,$Q$3:$Q$16,$R$3:$R$16)))*$B1121,-5)</f>
        <v>20200000</v>
      </c>
      <c r="I1121" s="17">
        <f t="shared" si="3361"/>
        <v>50100000</v>
      </c>
      <c r="J1121" s="17">
        <f t="shared" si="3361"/>
        <v>54200000</v>
      </c>
      <c r="K1121" s="17">
        <f t="shared" ref="K1121:M1121" si="3362">roundup((XLOOKUP($D1121,$T$3:$T$10,$U$3:$U$10)*XLOOKUP(K$2,$AA$3:$AA$5,$AD$3:$AD$5)-ABS(XLOOKUP($C1121,$Q$3:$Q$16,$R$3:$R$16)))*$B1121,-5)</f>
        <v>23500000</v>
      </c>
      <c r="L1121" s="17">
        <f t="shared" si="3362"/>
        <v>56400000</v>
      </c>
      <c r="M1121" s="17">
        <f t="shared" si="3362"/>
        <v>60900000</v>
      </c>
    </row>
    <row r="1122">
      <c r="A1122" s="14" t="s">
        <v>1165</v>
      </c>
      <c r="B1122" s="14">
        <v>93.0</v>
      </c>
      <c r="C1122" s="15">
        <f t="shared" si="4"/>
        <v>11</v>
      </c>
      <c r="D1122" s="14" t="s">
        <v>33</v>
      </c>
      <c r="E1122" s="16">
        <f t="shared" ref="E1122:G1122" si="3363">ROUNDUP((XLOOKUP($D1122,$T$3:$T$10,$U$3:$U$10)*XLOOKUP(E$2,$AA$3:$AA$5,$AB$3:$AB$5)-ABS(XLOOKUP($C1122,$Q$3:$Q$16,$R$3:$R$16)))*$B1122,-5)</f>
        <v>20200000</v>
      </c>
      <c r="F1122" s="16">
        <f t="shared" si="3363"/>
        <v>35800000</v>
      </c>
      <c r="G1122" s="16">
        <f t="shared" si="3363"/>
        <v>39100000</v>
      </c>
      <c r="H1122" s="17">
        <f t="shared" ref="H1122:J1122" si="3364">roundup((XLOOKUP($D1122,$T$3:$T$10,$U$3:$U$10)*XLOOKUP(H$2,$AA$3:$AA$5,$AC$3:$AC$5)-ABS(XLOOKUP($C1122,$Q$3:$Q$16,$R$3:$R$16)))*$B1122,-5)</f>
        <v>16600000</v>
      </c>
      <c r="I1122" s="17">
        <f t="shared" si="3364"/>
        <v>44300000</v>
      </c>
      <c r="J1122" s="17">
        <f t="shared" si="3364"/>
        <v>48100000</v>
      </c>
      <c r="K1122" s="17">
        <f t="shared" ref="K1122:M1122" si="3365">roundup((XLOOKUP($D1122,$T$3:$T$10,$U$3:$U$10)*XLOOKUP(K$2,$AA$3:$AA$5,$AD$3:$AD$5)-ABS(XLOOKUP($C1122,$Q$3:$Q$16,$R$3:$R$16)))*$B1122,-5)</f>
        <v>19700000</v>
      </c>
      <c r="L1122" s="17">
        <f t="shared" si="3365"/>
        <v>50100000</v>
      </c>
      <c r="M1122" s="17">
        <f t="shared" si="3365"/>
        <v>54300000</v>
      </c>
    </row>
    <row r="1123">
      <c r="A1123" s="14" t="s">
        <v>1166</v>
      </c>
      <c r="B1123" s="14">
        <v>85.0</v>
      </c>
      <c r="C1123" s="15">
        <f t="shared" si="4"/>
        <v>11</v>
      </c>
      <c r="D1123" s="14" t="s">
        <v>33</v>
      </c>
      <c r="E1123" s="16">
        <f t="shared" ref="E1123:G1123" si="3366">ROUNDUP((XLOOKUP($D1123,$T$3:$T$10,$U$3:$U$10)*XLOOKUP(E$2,$AA$3:$AA$5,$AB$3:$AB$5)-ABS(XLOOKUP($C1123,$Q$3:$Q$16,$R$3:$R$16)))*$B1123,-5)</f>
        <v>18500000</v>
      </c>
      <c r="F1123" s="16">
        <f t="shared" si="3366"/>
        <v>32800000</v>
      </c>
      <c r="G1123" s="16">
        <f t="shared" si="3366"/>
        <v>35700000</v>
      </c>
      <c r="H1123" s="17">
        <f t="shared" ref="H1123:J1123" si="3367">roundup((XLOOKUP($D1123,$T$3:$T$10,$U$3:$U$10)*XLOOKUP(H$2,$AA$3:$AA$5,$AC$3:$AC$5)-ABS(XLOOKUP($C1123,$Q$3:$Q$16,$R$3:$R$16)))*$B1123,-5)</f>
        <v>15200000</v>
      </c>
      <c r="I1123" s="17">
        <f t="shared" si="3367"/>
        <v>40500000</v>
      </c>
      <c r="J1123" s="17">
        <f t="shared" si="3367"/>
        <v>44000000</v>
      </c>
      <c r="K1123" s="17">
        <f t="shared" ref="K1123:M1123" si="3368">roundup((XLOOKUP($D1123,$T$3:$T$10,$U$3:$U$10)*XLOOKUP(K$2,$AA$3:$AA$5,$AD$3:$AD$5)-ABS(XLOOKUP($C1123,$Q$3:$Q$16,$R$3:$R$16)))*$B1123,-5)</f>
        <v>18000000</v>
      </c>
      <c r="L1123" s="17">
        <f t="shared" si="3368"/>
        <v>45800000</v>
      </c>
      <c r="M1123" s="17">
        <f t="shared" si="3368"/>
        <v>49600000</v>
      </c>
    </row>
    <row r="1124">
      <c r="A1124" s="14" t="s">
        <v>1167</v>
      </c>
      <c r="B1124" s="14">
        <v>81.0</v>
      </c>
      <c r="C1124" s="15">
        <f t="shared" si="4"/>
        <v>11</v>
      </c>
      <c r="D1124" s="14" t="s">
        <v>208</v>
      </c>
      <c r="E1124" s="16">
        <f t="shared" ref="E1124:G1124" si="3369">ROUNDUP((XLOOKUP($D1124,$T$3:$T$10,$U$3:$U$10)*XLOOKUP(E$2,$AA$3:$AA$5,$AB$3:$AB$5)-ABS(XLOOKUP($C1124,$Q$3:$Q$16,$R$3:$R$16)))*$B1124,-5)</f>
        <v>18700000</v>
      </c>
      <c r="F1124" s="16">
        <f t="shared" si="3369"/>
        <v>32700000</v>
      </c>
      <c r="G1124" s="16">
        <f t="shared" si="3369"/>
        <v>35600000</v>
      </c>
      <c r="H1124" s="17">
        <f t="shared" ref="H1124:J1124" si="3370">roundup((XLOOKUP($D1124,$T$3:$T$10,$U$3:$U$10)*XLOOKUP(H$2,$AA$3:$AA$5,$AC$3:$AC$5)-ABS(XLOOKUP($C1124,$Q$3:$Q$16,$R$3:$R$16)))*$B1124,-5)</f>
        <v>15400000</v>
      </c>
      <c r="I1124" s="17">
        <f t="shared" si="3370"/>
        <v>40400000</v>
      </c>
      <c r="J1124" s="17">
        <f t="shared" si="3370"/>
        <v>43800000</v>
      </c>
      <c r="K1124" s="17">
        <f t="shared" ref="K1124:M1124" si="3371">roundup((XLOOKUP($D1124,$T$3:$T$10,$U$3:$U$10)*XLOOKUP(K$2,$AA$3:$AA$5,$AD$3:$AD$5)-ABS(XLOOKUP($C1124,$Q$3:$Q$16,$R$3:$R$16)))*$B1124,-5)</f>
        <v>18200000</v>
      </c>
      <c r="L1124" s="17">
        <f t="shared" si="3371"/>
        <v>45600000</v>
      </c>
      <c r="M1124" s="17">
        <f t="shared" si="3371"/>
        <v>49300000</v>
      </c>
    </row>
    <row r="1125">
      <c r="A1125" s="14" t="s">
        <v>1168</v>
      </c>
      <c r="B1125" s="14">
        <v>167.0</v>
      </c>
      <c r="C1125" s="15">
        <f t="shared" si="4"/>
        <v>12</v>
      </c>
      <c r="D1125" s="14" t="s">
        <v>33</v>
      </c>
      <c r="E1125" s="16">
        <f t="shared" ref="E1125:G1125" si="3372">ROUNDUP((XLOOKUP($D1125,$T$3:$T$10,$U$3:$U$10)*XLOOKUP(E$2,$AA$3:$AA$5,$AB$3:$AB$5)-ABS(XLOOKUP($C1125,$Q$3:$Q$16,$R$3:$R$16)))*$B1125,-5)</f>
        <v>35400000</v>
      </c>
      <c r="F1125" s="16">
        <f t="shared" si="3372"/>
        <v>63500000</v>
      </c>
      <c r="G1125" s="16">
        <f t="shared" si="3372"/>
        <v>69300000</v>
      </c>
      <c r="H1125" s="17">
        <f t="shared" ref="H1125:J1125" si="3373">roundup((XLOOKUP($D1125,$T$3:$T$10,$U$3:$U$10)*XLOOKUP(H$2,$AA$3:$AA$5,$AC$3:$AC$5)-ABS(XLOOKUP($C1125,$Q$3:$Q$16,$R$3:$R$16)))*$B1125,-5)</f>
        <v>29000000</v>
      </c>
      <c r="I1125" s="17">
        <f t="shared" si="3373"/>
        <v>78800000</v>
      </c>
      <c r="J1125" s="17">
        <f t="shared" si="3373"/>
        <v>85500000</v>
      </c>
      <c r="K1125" s="17">
        <f t="shared" ref="K1125:M1125" si="3374">roundup((XLOOKUP($D1125,$T$3:$T$10,$U$3:$U$10)*XLOOKUP(K$2,$AA$3:$AA$5,$AD$3:$AD$5)-ABS(XLOOKUP($C1125,$Q$3:$Q$16,$R$3:$R$16)))*$B1125,-5)</f>
        <v>34500000</v>
      </c>
      <c r="L1125" s="17">
        <f t="shared" si="3374"/>
        <v>89100000</v>
      </c>
      <c r="M1125" s="17">
        <f t="shared" si="3374"/>
        <v>96600000</v>
      </c>
    </row>
    <row r="1126">
      <c r="A1126" s="14" t="s">
        <v>1169</v>
      </c>
      <c r="B1126" s="14">
        <v>52.0</v>
      </c>
      <c r="C1126" s="15">
        <f t="shared" si="4"/>
        <v>7</v>
      </c>
      <c r="D1126" s="14" t="s">
        <v>36</v>
      </c>
      <c r="E1126" s="16">
        <f t="shared" ref="E1126:G1126" si="3375">ROUNDUP((XLOOKUP($D1126,$T$3:$T$10,$U$3:$U$10)*XLOOKUP(E$2,$AA$3:$AA$5,$AB$3:$AB$5)-ABS(XLOOKUP($C1126,$Q$3:$Q$16,$R$3:$R$16)))*$B1126,-5)</f>
        <v>19400000</v>
      </c>
      <c r="F1126" s="16">
        <f t="shared" si="3375"/>
        <v>29200000</v>
      </c>
      <c r="G1126" s="16">
        <f t="shared" si="3375"/>
        <v>31200000</v>
      </c>
      <c r="H1126" s="17">
        <f t="shared" ref="H1126:J1126" si="3376">roundup((XLOOKUP($D1126,$T$3:$T$10,$U$3:$U$10)*XLOOKUP(H$2,$AA$3:$AA$5,$AC$3:$AC$5)-ABS(XLOOKUP($C1126,$Q$3:$Q$16,$R$3:$R$16)))*$B1126,-5)</f>
        <v>17200000</v>
      </c>
      <c r="I1126" s="17">
        <f t="shared" si="3376"/>
        <v>34500000</v>
      </c>
      <c r="J1126" s="17">
        <f t="shared" si="3376"/>
        <v>36900000</v>
      </c>
      <c r="K1126" s="17">
        <f t="shared" ref="K1126:M1126" si="3377">roundup((XLOOKUP($D1126,$T$3:$T$10,$U$3:$U$10)*XLOOKUP(K$2,$AA$3:$AA$5,$AD$3:$AD$5)-ABS(XLOOKUP($C1126,$Q$3:$Q$16,$R$3:$R$16)))*$B1126,-5)</f>
        <v>19100000</v>
      </c>
      <c r="L1126" s="17">
        <f t="shared" si="3377"/>
        <v>38100000</v>
      </c>
      <c r="M1126" s="17">
        <f t="shared" si="3377"/>
        <v>40700000</v>
      </c>
    </row>
    <row r="1127">
      <c r="A1127" s="14" t="s">
        <v>1170</v>
      </c>
      <c r="B1127" s="14">
        <v>47.0</v>
      </c>
      <c r="C1127" s="15">
        <f t="shared" si="4"/>
        <v>6</v>
      </c>
      <c r="D1127" s="14" t="s">
        <v>33</v>
      </c>
      <c r="E1127" s="16">
        <f t="shared" ref="E1127:G1127" si="3378">ROUNDUP((XLOOKUP($D1127,$T$3:$T$10,$U$3:$U$10)*XLOOKUP(E$2,$AA$3:$AA$5,$AB$3:$AB$5)-ABS(XLOOKUP($C1127,$Q$3:$Q$16,$R$3:$R$16)))*$B1127,-5)</f>
        <v>15600000</v>
      </c>
      <c r="F1127" s="16">
        <f t="shared" si="3378"/>
        <v>23500000</v>
      </c>
      <c r="G1127" s="16">
        <f t="shared" si="3378"/>
        <v>25200000</v>
      </c>
      <c r="H1127" s="17">
        <f t="shared" ref="H1127:J1127" si="3379">roundup((XLOOKUP($D1127,$T$3:$T$10,$U$3:$U$10)*XLOOKUP(H$2,$AA$3:$AA$5,$AC$3:$AC$5)-ABS(XLOOKUP($C1127,$Q$3:$Q$16,$R$3:$R$16)))*$B1127,-5)</f>
        <v>13800000</v>
      </c>
      <c r="I1127" s="17">
        <f t="shared" si="3379"/>
        <v>27800000</v>
      </c>
      <c r="J1127" s="17">
        <f t="shared" si="3379"/>
        <v>29700000</v>
      </c>
      <c r="K1127" s="17">
        <f t="shared" ref="K1127:M1127" si="3380">roundup((XLOOKUP($D1127,$T$3:$T$10,$U$3:$U$10)*XLOOKUP(K$2,$AA$3:$AA$5,$AD$3:$AD$5)-ABS(XLOOKUP($C1127,$Q$3:$Q$16,$R$3:$R$16)))*$B1127,-5)</f>
        <v>15400000</v>
      </c>
      <c r="L1127" s="17">
        <f t="shared" si="3380"/>
        <v>30800000</v>
      </c>
      <c r="M1127" s="17">
        <f t="shared" si="3380"/>
        <v>32900000</v>
      </c>
    </row>
    <row r="1128">
      <c r="A1128" s="14" t="s">
        <v>1171</v>
      </c>
      <c r="B1128" s="14">
        <v>171.0</v>
      </c>
      <c r="C1128" s="15">
        <f t="shared" si="4"/>
        <v>12</v>
      </c>
      <c r="D1128" s="14" t="s">
        <v>33</v>
      </c>
      <c r="E1128" s="16">
        <f t="shared" ref="E1128:G1128" si="3381">ROUNDUP((XLOOKUP($D1128,$T$3:$T$10,$U$3:$U$10)*XLOOKUP(E$2,$AA$3:$AA$5,$AB$3:$AB$5)-ABS(XLOOKUP($C1128,$Q$3:$Q$16,$R$3:$R$16)))*$B1128,-5)</f>
        <v>36200000</v>
      </c>
      <c r="F1128" s="16">
        <f t="shared" si="3381"/>
        <v>65000000</v>
      </c>
      <c r="G1128" s="16">
        <f t="shared" si="3381"/>
        <v>70900000</v>
      </c>
      <c r="H1128" s="17">
        <f t="shared" ref="H1128:J1128" si="3382">roundup((XLOOKUP($D1128,$T$3:$T$10,$U$3:$U$10)*XLOOKUP(H$2,$AA$3:$AA$5,$AC$3:$AC$5)-ABS(XLOOKUP($C1128,$Q$3:$Q$16,$R$3:$R$16)))*$B1128,-5)</f>
        <v>29700000</v>
      </c>
      <c r="I1128" s="17">
        <f t="shared" si="3382"/>
        <v>80600000</v>
      </c>
      <c r="J1128" s="17">
        <f t="shared" si="3382"/>
        <v>87600000</v>
      </c>
      <c r="K1128" s="17">
        <f t="shared" ref="K1128:M1128" si="3383">roundup((XLOOKUP($D1128,$T$3:$T$10,$U$3:$U$10)*XLOOKUP(K$2,$AA$3:$AA$5,$AD$3:$AD$5)-ABS(XLOOKUP($C1128,$Q$3:$Q$16,$R$3:$R$16)))*$B1128,-5)</f>
        <v>35400000</v>
      </c>
      <c r="L1128" s="17">
        <f t="shared" si="3383"/>
        <v>91200000</v>
      </c>
      <c r="M1128" s="17">
        <f t="shared" si="3383"/>
        <v>98900000</v>
      </c>
    </row>
    <row r="1129">
      <c r="A1129" s="14" t="s">
        <v>1172</v>
      </c>
      <c r="B1129" s="14">
        <v>93.0</v>
      </c>
      <c r="C1129" s="15">
        <f t="shared" si="4"/>
        <v>11</v>
      </c>
      <c r="D1129" s="14" t="s">
        <v>36</v>
      </c>
      <c r="E1129" s="16">
        <f t="shared" ref="E1129:G1129" si="3384">ROUNDUP((XLOOKUP($D1129,$T$3:$T$10,$U$3:$U$10)*XLOOKUP(E$2,$AA$3:$AA$5,$AB$3:$AB$5)-ABS(XLOOKUP($C1129,$Q$3:$Q$16,$R$3:$R$16)))*$B1129,-5)</f>
        <v>24400000</v>
      </c>
      <c r="F1129" s="16">
        <f t="shared" si="3384"/>
        <v>41900000</v>
      </c>
      <c r="G1129" s="16">
        <f t="shared" si="3384"/>
        <v>45600000</v>
      </c>
      <c r="H1129" s="17">
        <f t="shared" ref="H1129:J1129" si="3385">roundup((XLOOKUP($D1129,$T$3:$T$10,$U$3:$U$10)*XLOOKUP(H$2,$AA$3:$AA$5,$AC$3:$AC$5)-ABS(XLOOKUP($C1129,$Q$3:$Q$16,$R$3:$R$16)))*$B1129,-5)</f>
        <v>20400000</v>
      </c>
      <c r="I1129" s="17">
        <f t="shared" si="3385"/>
        <v>51500000</v>
      </c>
      <c r="J1129" s="17">
        <f t="shared" si="3385"/>
        <v>55700000</v>
      </c>
      <c r="K1129" s="17">
        <f t="shared" ref="K1129:M1129" si="3386">roundup((XLOOKUP($D1129,$T$3:$T$10,$U$3:$U$10)*XLOOKUP(K$2,$AA$3:$AA$5,$AD$3:$AD$5)-ABS(XLOOKUP($C1129,$Q$3:$Q$16,$R$3:$R$16)))*$B1129,-5)</f>
        <v>23900000</v>
      </c>
      <c r="L1129" s="17">
        <f t="shared" si="3386"/>
        <v>58000000</v>
      </c>
      <c r="M1129" s="17">
        <f t="shared" si="3386"/>
        <v>62600000</v>
      </c>
    </row>
    <row r="1130">
      <c r="A1130" s="14" t="s">
        <v>1173</v>
      </c>
      <c r="B1130" s="14">
        <v>84.0</v>
      </c>
      <c r="C1130" s="15">
        <f t="shared" si="4"/>
        <v>11</v>
      </c>
      <c r="D1130" s="14" t="s">
        <v>33</v>
      </c>
      <c r="E1130" s="16">
        <f t="shared" ref="E1130:G1130" si="3387">ROUNDUP((XLOOKUP($D1130,$T$3:$T$10,$U$3:$U$10)*XLOOKUP(E$2,$AA$3:$AA$5,$AB$3:$AB$5)-ABS(XLOOKUP($C1130,$Q$3:$Q$16,$R$3:$R$16)))*$B1130,-5)</f>
        <v>18300000</v>
      </c>
      <c r="F1130" s="16">
        <f t="shared" si="3387"/>
        <v>32400000</v>
      </c>
      <c r="G1130" s="16">
        <f t="shared" si="3387"/>
        <v>35300000</v>
      </c>
      <c r="H1130" s="17">
        <f t="shared" ref="H1130:J1130" si="3388">roundup((XLOOKUP($D1130,$T$3:$T$10,$U$3:$U$10)*XLOOKUP(H$2,$AA$3:$AA$5,$AC$3:$AC$5)-ABS(XLOOKUP($C1130,$Q$3:$Q$16,$R$3:$R$16)))*$B1130,-5)</f>
        <v>15000000</v>
      </c>
      <c r="I1130" s="17">
        <f t="shared" si="3388"/>
        <v>40100000</v>
      </c>
      <c r="J1130" s="17">
        <f t="shared" si="3388"/>
        <v>43500000</v>
      </c>
      <c r="K1130" s="17">
        <f t="shared" ref="K1130:M1130" si="3389">roundup((XLOOKUP($D1130,$T$3:$T$10,$U$3:$U$10)*XLOOKUP(K$2,$AA$3:$AA$5,$AD$3:$AD$5)-ABS(XLOOKUP($C1130,$Q$3:$Q$16,$R$3:$R$16)))*$B1130,-5)</f>
        <v>17800000</v>
      </c>
      <c r="L1130" s="17">
        <f t="shared" si="3389"/>
        <v>45300000</v>
      </c>
      <c r="M1130" s="17">
        <f t="shared" si="3389"/>
        <v>49000000</v>
      </c>
    </row>
    <row r="1131">
      <c r="A1131" s="14" t="s">
        <v>1174</v>
      </c>
      <c r="B1131" s="14">
        <v>181.0</v>
      </c>
      <c r="C1131" s="15">
        <f t="shared" si="4"/>
        <v>13</v>
      </c>
      <c r="D1131" s="14" t="s">
        <v>33</v>
      </c>
      <c r="E1131" s="16">
        <f t="shared" ref="E1131:G1131" si="3390">ROUNDUP((XLOOKUP($D1131,$T$3:$T$10,$U$3:$U$10)*XLOOKUP(E$2,$AA$3:$AA$5,$AB$3:$AB$5)-ABS(XLOOKUP($C1131,$Q$3:$Q$16,$R$3:$R$16)))*$B1131,-5)</f>
        <v>35600000</v>
      </c>
      <c r="F1131" s="16">
        <f t="shared" si="3390"/>
        <v>66100000</v>
      </c>
      <c r="G1131" s="16">
        <f t="shared" si="3390"/>
        <v>72400000</v>
      </c>
      <c r="H1131" s="17">
        <f t="shared" ref="H1131:J1131" si="3391">roundup((XLOOKUP($D1131,$T$3:$T$10,$U$3:$U$10)*XLOOKUP(H$2,$AA$3:$AA$5,$AC$3:$AC$5)-ABS(XLOOKUP($C1131,$Q$3:$Q$16,$R$3:$R$16)))*$B1131,-5)</f>
        <v>28700000</v>
      </c>
      <c r="I1131" s="17">
        <f t="shared" si="3391"/>
        <v>82600000</v>
      </c>
      <c r="J1131" s="17">
        <f t="shared" si="3391"/>
        <v>90000000</v>
      </c>
      <c r="K1131" s="17">
        <f t="shared" ref="K1131:M1131" si="3392">roundup((XLOOKUP($D1131,$T$3:$T$10,$U$3:$U$10)*XLOOKUP(K$2,$AA$3:$AA$5,$AD$3:$AD$5)-ABS(XLOOKUP($C1131,$Q$3:$Q$16,$R$3:$R$16)))*$B1131,-5)</f>
        <v>34700000</v>
      </c>
      <c r="L1131" s="17">
        <f t="shared" si="3392"/>
        <v>93900000</v>
      </c>
      <c r="M1131" s="17">
        <f t="shared" si="3392"/>
        <v>101900000</v>
      </c>
    </row>
    <row r="1132">
      <c r="A1132" s="14" t="s">
        <v>1175</v>
      </c>
      <c r="B1132" s="14">
        <v>83.0</v>
      </c>
      <c r="C1132" s="15">
        <f t="shared" si="4"/>
        <v>11</v>
      </c>
      <c r="D1132" s="14" t="s">
        <v>33</v>
      </c>
      <c r="E1132" s="16">
        <f t="shared" ref="E1132:G1132" si="3393">ROUNDUP((XLOOKUP($D1132,$T$3:$T$10,$U$3:$U$10)*XLOOKUP(E$2,$AA$3:$AA$5,$AB$3:$AB$5)-ABS(XLOOKUP($C1132,$Q$3:$Q$16,$R$3:$R$16)))*$B1132,-5)</f>
        <v>18000000</v>
      </c>
      <c r="F1132" s="16">
        <f t="shared" si="3393"/>
        <v>32000000</v>
      </c>
      <c r="G1132" s="16">
        <f t="shared" si="3393"/>
        <v>34900000</v>
      </c>
      <c r="H1132" s="17">
        <f t="shared" ref="H1132:J1132" si="3394">roundup((XLOOKUP($D1132,$T$3:$T$10,$U$3:$U$10)*XLOOKUP(H$2,$AA$3:$AA$5,$AC$3:$AC$5)-ABS(XLOOKUP($C1132,$Q$3:$Q$16,$R$3:$R$16)))*$B1132,-5)</f>
        <v>14900000</v>
      </c>
      <c r="I1132" s="17">
        <f t="shared" si="3394"/>
        <v>39600000</v>
      </c>
      <c r="J1132" s="17">
        <f t="shared" si="3394"/>
        <v>42900000</v>
      </c>
      <c r="K1132" s="17">
        <f t="shared" ref="K1132:M1132" si="3395">roundup((XLOOKUP($D1132,$T$3:$T$10,$U$3:$U$10)*XLOOKUP(K$2,$AA$3:$AA$5,$AD$3:$AD$5)-ABS(XLOOKUP($C1132,$Q$3:$Q$16,$R$3:$R$16)))*$B1132,-5)</f>
        <v>17600000</v>
      </c>
      <c r="L1132" s="17">
        <f t="shared" si="3395"/>
        <v>44700000</v>
      </c>
      <c r="M1132" s="17">
        <f t="shared" si="3395"/>
        <v>48400000</v>
      </c>
    </row>
    <row r="1133">
      <c r="A1133" s="14" t="s">
        <v>1176</v>
      </c>
      <c r="B1133" s="14">
        <v>101.0</v>
      </c>
      <c r="C1133" s="15">
        <f t="shared" si="4"/>
        <v>11</v>
      </c>
      <c r="D1133" s="14" t="s">
        <v>33</v>
      </c>
      <c r="E1133" s="16">
        <f t="shared" ref="E1133:G1133" si="3396">ROUNDUP((XLOOKUP($D1133,$T$3:$T$10,$U$3:$U$10)*XLOOKUP(E$2,$AA$3:$AA$5,$AB$3:$AB$5)-ABS(XLOOKUP($C1133,$Q$3:$Q$16,$R$3:$R$16)))*$B1133,-5)</f>
        <v>21900000</v>
      </c>
      <c r="F1133" s="16">
        <f t="shared" si="3396"/>
        <v>38900000</v>
      </c>
      <c r="G1133" s="16">
        <f t="shared" si="3396"/>
        <v>42400000</v>
      </c>
      <c r="H1133" s="17">
        <f t="shared" ref="H1133:J1133" si="3397">roundup((XLOOKUP($D1133,$T$3:$T$10,$U$3:$U$10)*XLOOKUP(H$2,$AA$3:$AA$5,$AC$3:$AC$5)-ABS(XLOOKUP($C1133,$Q$3:$Q$16,$R$3:$R$16)))*$B1133,-5)</f>
        <v>18100000</v>
      </c>
      <c r="I1133" s="17">
        <f t="shared" si="3397"/>
        <v>48200000</v>
      </c>
      <c r="J1133" s="17">
        <f t="shared" si="3397"/>
        <v>52300000</v>
      </c>
      <c r="K1133" s="17">
        <f t="shared" ref="K1133:M1133" si="3398">roundup((XLOOKUP($D1133,$T$3:$T$10,$U$3:$U$10)*XLOOKUP(K$2,$AA$3:$AA$5,$AD$3:$AD$5)-ABS(XLOOKUP($C1133,$Q$3:$Q$16,$R$3:$R$16)))*$B1133,-5)</f>
        <v>21400000</v>
      </c>
      <c r="L1133" s="17">
        <f t="shared" si="3398"/>
        <v>54400000</v>
      </c>
      <c r="M1133" s="17">
        <f t="shared" si="3398"/>
        <v>58900000</v>
      </c>
    </row>
    <row r="1134">
      <c r="A1134" s="14" t="s">
        <v>1177</v>
      </c>
      <c r="B1134" s="14">
        <v>120.0</v>
      </c>
      <c r="C1134" s="15">
        <f t="shared" si="4"/>
        <v>11</v>
      </c>
      <c r="D1134" s="14" t="s">
        <v>36</v>
      </c>
      <c r="E1134" s="16">
        <f t="shared" ref="E1134:G1134" si="3399">ROUNDUP((XLOOKUP($D1134,$T$3:$T$10,$U$3:$U$10)*XLOOKUP(E$2,$AA$3:$AA$5,$AB$3:$AB$5)-ABS(XLOOKUP($C1134,$Q$3:$Q$16,$R$3:$R$16)))*$B1134,-5)</f>
        <v>31500000</v>
      </c>
      <c r="F1134" s="16">
        <f t="shared" si="3399"/>
        <v>54100000</v>
      </c>
      <c r="G1134" s="16">
        <f t="shared" si="3399"/>
        <v>58800000</v>
      </c>
      <c r="H1134" s="17">
        <f t="shared" ref="H1134:J1134" si="3400">roundup((XLOOKUP($D1134,$T$3:$T$10,$U$3:$U$10)*XLOOKUP(H$2,$AA$3:$AA$5,$AC$3:$AC$5)-ABS(XLOOKUP($C1134,$Q$3:$Q$16,$R$3:$R$16)))*$B1134,-5)</f>
        <v>26400000</v>
      </c>
      <c r="I1134" s="17">
        <f t="shared" si="3400"/>
        <v>66400000</v>
      </c>
      <c r="J1134" s="17">
        <f t="shared" si="3400"/>
        <v>71900000</v>
      </c>
      <c r="K1134" s="17">
        <f t="shared" ref="K1134:M1134" si="3401">roundup((XLOOKUP($D1134,$T$3:$T$10,$U$3:$U$10)*XLOOKUP(K$2,$AA$3:$AA$5,$AD$3:$AD$5)-ABS(XLOOKUP($C1134,$Q$3:$Q$16,$R$3:$R$16)))*$B1134,-5)</f>
        <v>30800000</v>
      </c>
      <c r="L1134" s="17">
        <f t="shared" si="3401"/>
        <v>74800000</v>
      </c>
      <c r="M1134" s="17">
        <f t="shared" si="3401"/>
        <v>80800000</v>
      </c>
    </row>
    <row r="1135">
      <c r="A1135" s="14" t="s">
        <v>1178</v>
      </c>
      <c r="B1135" s="14">
        <v>76.0</v>
      </c>
      <c r="C1135" s="15">
        <f t="shared" si="4"/>
        <v>10</v>
      </c>
      <c r="D1135" s="14" t="s">
        <v>28</v>
      </c>
      <c r="E1135" s="16">
        <f t="shared" ref="E1135:G1135" si="3402">ROUNDUP((XLOOKUP($D1135,$T$3:$T$10,$U$3:$U$10)*XLOOKUP(E$2,$AA$3:$AA$5,$AB$3:$AB$5)-ABS(XLOOKUP($C1135,$Q$3:$Q$16,$R$3:$R$16)))*$B1135,-5)</f>
        <v>23300000</v>
      </c>
      <c r="F1135" s="16">
        <f t="shared" si="3402"/>
        <v>38000000</v>
      </c>
      <c r="G1135" s="16">
        <f t="shared" si="3402"/>
        <v>41100000</v>
      </c>
      <c r="H1135" s="17">
        <f t="shared" ref="H1135:J1135" si="3403">roundup((XLOOKUP($D1135,$T$3:$T$10,$U$3:$U$10)*XLOOKUP(H$2,$AA$3:$AA$5,$AC$3:$AC$5)-ABS(XLOOKUP($C1135,$Q$3:$Q$16,$R$3:$R$16)))*$B1135,-5)</f>
        <v>19900000</v>
      </c>
      <c r="I1135" s="17">
        <f t="shared" si="3403"/>
        <v>46100000</v>
      </c>
      <c r="J1135" s="17">
        <f t="shared" si="3403"/>
        <v>49600000</v>
      </c>
      <c r="K1135" s="17">
        <f t="shared" ref="K1135:M1135" si="3404">roundup((XLOOKUP($D1135,$T$3:$T$10,$U$3:$U$10)*XLOOKUP(K$2,$AA$3:$AA$5,$AD$3:$AD$5)-ABS(XLOOKUP($C1135,$Q$3:$Q$16,$R$3:$R$16)))*$B1135,-5)</f>
        <v>22800000</v>
      </c>
      <c r="L1135" s="17">
        <f t="shared" si="3404"/>
        <v>51500000</v>
      </c>
      <c r="M1135" s="17">
        <f t="shared" si="3404"/>
        <v>55400000</v>
      </c>
    </row>
    <row r="1136">
      <c r="A1136" s="14" t="s">
        <v>1179</v>
      </c>
      <c r="B1136" s="14">
        <v>47.0</v>
      </c>
      <c r="C1136" s="15">
        <f t="shared" si="4"/>
        <v>6</v>
      </c>
      <c r="D1136" s="14" t="s">
        <v>33</v>
      </c>
      <c r="E1136" s="16">
        <f t="shared" ref="E1136:G1136" si="3405">ROUNDUP((XLOOKUP($D1136,$T$3:$T$10,$U$3:$U$10)*XLOOKUP(E$2,$AA$3:$AA$5,$AB$3:$AB$5)-ABS(XLOOKUP($C1136,$Q$3:$Q$16,$R$3:$R$16)))*$B1136,-5)</f>
        <v>15600000</v>
      </c>
      <c r="F1136" s="16">
        <f t="shared" si="3405"/>
        <v>23500000</v>
      </c>
      <c r="G1136" s="16">
        <f t="shared" si="3405"/>
        <v>25200000</v>
      </c>
      <c r="H1136" s="17">
        <f t="shared" ref="H1136:J1136" si="3406">roundup((XLOOKUP($D1136,$T$3:$T$10,$U$3:$U$10)*XLOOKUP(H$2,$AA$3:$AA$5,$AC$3:$AC$5)-ABS(XLOOKUP($C1136,$Q$3:$Q$16,$R$3:$R$16)))*$B1136,-5)</f>
        <v>13800000</v>
      </c>
      <c r="I1136" s="17">
        <f t="shared" si="3406"/>
        <v>27800000</v>
      </c>
      <c r="J1136" s="17">
        <f t="shared" si="3406"/>
        <v>29700000</v>
      </c>
      <c r="K1136" s="17">
        <f t="shared" ref="K1136:M1136" si="3407">roundup((XLOOKUP($D1136,$T$3:$T$10,$U$3:$U$10)*XLOOKUP(K$2,$AA$3:$AA$5,$AD$3:$AD$5)-ABS(XLOOKUP($C1136,$Q$3:$Q$16,$R$3:$R$16)))*$B1136,-5)</f>
        <v>15400000</v>
      </c>
      <c r="L1136" s="17">
        <f t="shared" si="3407"/>
        <v>30800000</v>
      </c>
      <c r="M1136" s="17">
        <f t="shared" si="3407"/>
        <v>32900000</v>
      </c>
    </row>
    <row r="1137">
      <c r="A1137" s="14" t="s">
        <v>1180</v>
      </c>
      <c r="B1137" s="14">
        <v>53.0</v>
      </c>
      <c r="C1137" s="15">
        <f t="shared" si="4"/>
        <v>7</v>
      </c>
      <c r="D1137" s="14" t="s">
        <v>28</v>
      </c>
      <c r="E1137" s="16">
        <f t="shared" ref="E1137:G1137" si="3408">ROUNDUP((XLOOKUP($D1137,$T$3:$T$10,$U$3:$U$10)*XLOOKUP(E$2,$AA$3:$AA$5,$AB$3:$AB$5)-ABS(XLOOKUP($C1137,$Q$3:$Q$16,$R$3:$R$16)))*$B1137,-5)</f>
        <v>20500000</v>
      </c>
      <c r="F1137" s="16">
        <f t="shared" si="3408"/>
        <v>30800000</v>
      </c>
      <c r="G1137" s="16">
        <f t="shared" si="3408"/>
        <v>32900000</v>
      </c>
      <c r="H1137" s="17">
        <f t="shared" ref="H1137:J1137" si="3409">roundup((XLOOKUP($D1137,$T$3:$T$10,$U$3:$U$10)*XLOOKUP(H$2,$AA$3:$AA$5,$AC$3:$AC$5)-ABS(XLOOKUP($C1137,$Q$3:$Q$16,$R$3:$R$16)))*$B1137,-5)</f>
        <v>18100000</v>
      </c>
      <c r="I1137" s="17">
        <f t="shared" si="3409"/>
        <v>36400000</v>
      </c>
      <c r="J1137" s="17">
        <f t="shared" si="3409"/>
        <v>38900000</v>
      </c>
      <c r="K1137" s="17">
        <f t="shared" ref="K1137:M1137" si="3410">roundup((XLOOKUP($D1137,$T$3:$T$10,$U$3:$U$10)*XLOOKUP(K$2,$AA$3:$AA$5,$AD$3:$AD$5)-ABS(XLOOKUP($C1137,$Q$3:$Q$16,$R$3:$R$16)))*$B1137,-5)</f>
        <v>20200000</v>
      </c>
      <c r="L1137" s="17">
        <f t="shared" si="3410"/>
        <v>40200000</v>
      </c>
      <c r="M1137" s="17">
        <f t="shared" si="3410"/>
        <v>42900000</v>
      </c>
    </row>
    <row r="1138">
      <c r="A1138" s="14" t="s">
        <v>1181</v>
      </c>
      <c r="B1138" s="14">
        <v>217.0</v>
      </c>
      <c r="C1138" s="15">
        <f t="shared" si="4"/>
        <v>13</v>
      </c>
      <c r="D1138" s="14" t="s">
        <v>36</v>
      </c>
      <c r="E1138" s="16">
        <f t="shared" ref="E1138:G1138" si="3411">ROUNDUP((XLOOKUP($D1138,$T$3:$T$10,$U$3:$U$10)*XLOOKUP(E$2,$AA$3:$AA$5,$AB$3:$AB$5)-ABS(XLOOKUP($C1138,$Q$3:$Q$16,$R$3:$R$16)))*$B1138,-5)</f>
        <v>52600000</v>
      </c>
      <c r="F1138" s="16">
        <f t="shared" si="3411"/>
        <v>93500000</v>
      </c>
      <c r="G1138" s="16">
        <f t="shared" si="3411"/>
        <v>101900000</v>
      </c>
      <c r="H1138" s="17">
        <f t="shared" ref="H1138:J1138" si="3412">roundup((XLOOKUP($D1138,$T$3:$T$10,$U$3:$U$10)*XLOOKUP(H$2,$AA$3:$AA$5,$AC$3:$AC$5)-ABS(XLOOKUP($C1138,$Q$3:$Q$16,$R$3:$R$16)))*$B1138,-5)</f>
        <v>43300000</v>
      </c>
      <c r="I1138" s="17">
        <f t="shared" si="3412"/>
        <v>115700000</v>
      </c>
      <c r="J1138" s="17">
        <f t="shared" si="3412"/>
        <v>125600000</v>
      </c>
      <c r="K1138" s="17">
        <f t="shared" ref="K1138:M1138" si="3413">roundup((XLOOKUP($D1138,$T$3:$T$10,$U$3:$U$10)*XLOOKUP(K$2,$AA$3:$AA$5,$AD$3:$AD$5)-ABS(XLOOKUP($C1138,$Q$3:$Q$16,$R$3:$R$16)))*$B1138,-5)</f>
        <v>51300000</v>
      </c>
      <c r="L1138" s="17">
        <f t="shared" si="3413"/>
        <v>130800000</v>
      </c>
      <c r="M1138" s="17">
        <f t="shared" si="3413"/>
        <v>141700000</v>
      </c>
    </row>
    <row r="1139">
      <c r="A1139" s="14" t="s">
        <v>1182</v>
      </c>
      <c r="B1139" s="14">
        <v>72.0</v>
      </c>
      <c r="C1139" s="15">
        <f t="shared" si="4"/>
        <v>9</v>
      </c>
      <c r="D1139" s="14" t="s">
        <v>33</v>
      </c>
      <c r="E1139" s="16">
        <f t="shared" ref="E1139:G1139" si="3414">ROUNDUP((XLOOKUP($D1139,$T$3:$T$10,$U$3:$U$10)*XLOOKUP(E$2,$AA$3:$AA$5,$AB$3:$AB$5)-ABS(XLOOKUP($C1139,$Q$3:$Q$16,$R$3:$R$16)))*$B1139,-5)</f>
        <v>22200000</v>
      </c>
      <c r="F1139" s="16">
        <f t="shared" si="3414"/>
        <v>34300000</v>
      </c>
      <c r="G1139" s="16">
        <f t="shared" si="3414"/>
        <v>36800000</v>
      </c>
      <c r="H1139" s="17">
        <f t="shared" ref="H1139:J1139" si="3415">roundup((XLOOKUP($D1139,$T$3:$T$10,$U$3:$U$10)*XLOOKUP(H$2,$AA$3:$AA$5,$AC$3:$AC$5)-ABS(XLOOKUP($C1139,$Q$3:$Q$16,$R$3:$R$16)))*$B1139,-5)</f>
        <v>19400000</v>
      </c>
      <c r="I1139" s="17">
        <f t="shared" si="3415"/>
        <v>40900000</v>
      </c>
      <c r="J1139" s="17">
        <f t="shared" si="3415"/>
        <v>43800000</v>
      </c>
      <c r="K1139" s="17">
        <f t="shared" ref="K1139:M1139" si="3416">roundup((XLOOKUP($D1139,$T$3:$T$10,$U$3:$U$10)*XLOOKUP(K$2,$AA$3:$AA$5,$AD$3:$AD$5)-ABS(XLOOKUP($C1139,$Q$3:$Q$16,$R$3:$R$16)))*$B1139,-5)</f>
        <v>21800000</v>
      </c>
      <c r="L1139" s="17">
        <f t="shared" si="3416"/>
        <v>45400000</v>
      </c>
      <c r="M1139" s="17">
        <f t="shared" si="3416"/>
        <v>48600000</v>
      </c>
    </row>
    <row r="1140">
      <c r="A1140" s="14" t="s">
        <v>1183</v>
      </c>
      <c r="B1140" s="14">
        <v>120.0</v>
      </c>
      <c r="C1140" s="15">
        <f t="shared" si="4"/>
        <v>11</v>
      </c>
      <c r="D1140" s="14" t="s">
        <v>36</v>
      </c>
      <c r="E1140" s="16">
        <f t="shared" ref="E1140:G1140" si="3417">ROUNDUP((XLOOKUP($D1140,$T$3:$T$10,$U$3:$U$10)*XLOOKUP(E$2,$AA$3:$AA$5,$AB$3:$AB$5)-ABS(XLOOKUP($C1140,$Q$3:$Q$16,$R$3:$R$16)))*$B1140,-5)</f>
        <v>31500000</v>
      </c>
      <c r="F1140" s="16">
        <f t="shared" si="3417"/>
        <v>54100000</v>
      </c>
      <c r="G1140" s="16">
        <f t="shared" si="3417"/>
        <v>58800000</v>
      </c>
      <c r="H1140" s="17">
        <f t="shared" ref="H1140:J1140" si="3418">roundup((XLOOKUP($D1140,$T$3:$T$10,$U$3:$U$10)*XLOOKUP(H$2,$AA$3:$AA$5,$AC$3:$AC$5)-ABS(XLOOKUP($C1140,$Q$3:$Q$16,$R$3:$R$16)))*$B1140,-5)</f>
        <v>26400000</v>
      </c>
      <c r="I1140" s="17">
        <f t="shared" si="3418"/>
        <v>66400000</v>
      </c>
      <c r="J1140" s="17">
        <f t="shared" si="3418"/>
        <v>71900000</v>
      </c>
      <c r="K1140" s="17">
        <f t="shared" ref="K1140:M1140" si="3419">roundup((XLOOKUP($D1140,$T$3:$T$10,$U$3:$U$10)*XLOOKUP(K$2,$AA$3:$AA$5,$AD$3:$AD$5)-ABS(XLOOKUP($C1140,$Q$3:$Q$16,$R$3:$R$16)))*$B1140,-5)</f>
        <v>30800000</v>
      </c>
      <c r="L1140" s="17">
        <f t="shared" si="3419"/>
        <v>74800000</v>
      </c>
      <c r="M1140" s="17">
        <f t="shared" si="3419"/>
        <v>80800000</v>
      </c>
    </row>
    <row r="1141">
      <c r="A1141" s="14" t="s">
        <v>1184</v>
      </c>
      <c r="B1141" s="14">
        <v>93.0</v>
      </c>
      <c r="C1141" s="15">
        <f t="shared" si="4"/>
        <v>11</v>
      </c>
      <c r="D1141" s="14" t="s">
        <v>33</v>
      </c>
      <c r="E1141" s="16">
        <f t="shared" ref="E1141:G1141" si="3420">ROUNDUP((XLOOKUP($D1141,$T$3:$T$10,$U$3:$U$10)*XLOOKUP(E$2,$AA$3:$AA$5,$AB$3:$AB$5)-ABS(XLOOKUP($C1141,$Q$3:$Q$16,$R$3:$R$16)))*$B1141,-5)</f>
        <v>20200000</v>
      </c>
      <c r="F1141" s="16">
        <f t="shared" si="3420"/>
        <v>35800000</v>
      </c>
      <c r="G1141" s="16">
        <f t="shared" si="3420"/>
        <v>39100000</v>
      </c>
      <c r="H1141" s="17">
        <f t="shared" ref="H1141:J1141" si="3421">roundup((XLOOKUP($D1141,$T$3:$T$10,$U$3:$U$10)*XLOOKUP(H$2,$AA$3:$AA$5,$AC$3:$AC$5)-ABS(XLOOKUP($C1141,$Q$3:$Q$16,$R$3:$R$16)))*$B1141,-5)</f>
        <v>16600000</v>
      </c>
      <c r="I1141" s="17">
        <f t="shared" si="3421"/>
        <v>44300000</v>
      </c>
      <c r="J1141" s="17">
        <f t="shared" si="3421"/>
        <v>48100000</v>
      </c>
      <c r="K1141" s="17">
        <f t="shared" ref="K1141:M1141" si="3422">roundup((XLOOKUP($D1141,$T$3:$T$10,$U$3:$U$10)*XLOOKUP(K$2,$AA$3:$AA$5,$AD$3:$AD$5)-ABS(XLOOKUP($C1141,$Q$3:$Q$16,$R$3:$R$16)))*$B1141,-5)</f>
        <v>19700000</v>
      </c>
      <c r="L1141" s="17">
        <f t="shared" si="3422"/>
        <v>50100000</v>
      </c>
      <c r="M1141" s="17">
        <f t="shared" si="3422"/>
        <v>54300000</v>
      </c>
    </row>
    <row r="1142">
      <c r="A1142" s="14" t="s">
        <v>1185</v>
      </c>
      <c r="B1142" s="14">
        <v>109.0</v>
      </c>
      <c r="C1142" s="15">
        <f t="shared" si="4"/>
        <v>11</v>
      </c>
      <c r="D1142" s="14" t="s">
        <v>33</v>
      </c>
      <c r="E1142" s="16">
        <f t="shared" ref="E1142:G1142" si="3423">ROUNDUP((XLOOKUP($D1142,$T$3:$T$10,$U$3:$U$10)*XLOOKUP(E$2,$AA$3:$AA$5,$AB$3:$AB$5)-ABS(XLOOKUP($C1142,$Q$3:$Q$16,$R$3:$R$16)))*$B1142,-5)</f>
        <v>23700000</v>
      </c>
      <c r="F1142" s="16">
        <f t="shared" si="3423"/>
        <v>42000000</v>
      </c>
      <c r="G1142" s="16">
        <f t="shared" si="3423"/>
        <v>45800000</v>
      </c>
      <c r="H1142" s="17">
        <f t="shared" ref="H1142:J1142" si="3424">roundup((XLOOKUP($D1142,$T$3:$T$10,$U$3:$U$10)*XLOOKUP(H$2,$AA$3:$AA$5,$AC$3:$AC$5)-ABS(XLOOKUP($C1142,$Q$3:$Q$16,$R$3:$R$16)))*$B1142,-5)</f>
        <v>19500000</v>
      </c>
      <c r="I1142" s="17">
        <f t="shared" si="3424"/>
        <v>52000000</v>
      </c>
      <c r="J1142" s="17">
        <f t="shared" si="3424"/>
        <v>56400000</v>
      </c>
      <c r="K1142" s="17">
        <f t="shared" ref="K1142:M1142" si="3425">roundup((XLOOKUP($D1142,$T$3:$T$10,$U$3:$U$10)*XLOOKUP(K$2,$AA$3:$AA$5,$AD$3:$AD$5)-ABS(XLOOKUP($C1142,$Q$3:$Q$16,$R$3:$R$16)))*$B1142,-5)</f>
        <v>23100000</v>
      </c>
      <c r="L1142" s="17">
        <f t="shared" si="3425"/>
        <v>58700000</v>
      </c>
      <c r="M1142" s="17">
        <f t="shared" si="3425"/>
        <v>63600000</v>
      </c>
    </row>
    <row r="1143">
      <c r="A1143" s="14" t="s">
        <v>1186</v>
      </c>
      <c r="B1143" s="14">
        <v>85.0</v>
      </c>
      <c r="C1143" s="15">
        <f t="shared" si="4"/>
        <v>11</v>
      </c>
      <c r="D1143" s="14" t="s">
        <v>28</v>
      </c>
      <c r="E1143" s="16">
        <f t="shared" ref="E1143:G1143" si="3426">ROUNDUP((XLOOKUP($D1143,$T$3:$T$10,$U$3:$U$10)*XLOOKUP(E$2,$AA$3:$AA$5,$AB$3:$AB$5)-ABS(XLOOKUP($C1143,$Q$3:$Q$16,$R$3:$R$16)))*$B1143,-5)</f>
        <v>23500000</v>
      </c>
      <c r="F1143" s="16">
        <f t="shared" si="3426"/>
        <v>40000000</v>
      </c>
      <c r="G1143" s="16">
        <f t="shared" si="3426"/>
        <v>43400000</v>
      </c>
      <c r="H1143" s="17">
        <f t="shared" ref="H1143:J1143" si="3427">roundup((XLOOKUP($D1143,$T$3:$T$10,$U$3:$U$10)*XLOOKUP(H$2,$AA$3:$AA$5,$AC$3:$AC$5)-ABS(XLOOKUP($C1143,$Q$3:$Q$16,$R$3:$R$16)))*$B1143,-5)</f>
        <v>19700000</v>
      </c>
      <c r="I1143" s="17">
        <f t="shared" si="3427"/>
        <v>49000000</v>
      </c>
      <c r="J1143" s="17">
        <f t="shared" si="3427"/>
        <v>53000000</v>
      </c>
      <c r="K1143" s="17">
        <f t="shared" ref="K1143:M1143" si="3428">roundup((XLOOKUP($D1143,$T$3:$T$10,$U$3:$U$10)*XLOOKUP(K$2,$AA$3:$AA$5,$AD$3:$AD$5)-ABS(XLOOKUP($C1143,$Q$3:$Q$16,$R$3:$R$16)))*$B1143,-5)</f>
        <v>23000000</v>
      </c>
      <c r="L1143" s="17">
        <f t="shared" si="3428"/>
        <v>55100000</v>
      </c>
      <c r="M1143" s="17">
        <f t="shared" si="3428"/>
        <v>59500000</v>
      </c>
    </row>
    <row r="1144">
      <c r="A1144" s="14" t="s">
        <v>1187</v>
      </c>
      <c r="B1144" s="14">
        <v>92.0</v>
      </c>
      <c r="C1144" s="15">
        <f t="shared" si="4"/>
        <v>11</v>
      </c>
      <c r="D1144" s="14" t="s">
        <v>33</v>
      </c>
      <c r="E1144" s="16">
        <f t="shared" ref="E1144:G1144" si="3429">ROUNDUP((XLOOKUP($D1144,$T$3:$T$10,$U$3:$U$10)*XLOOKUP(E$2,$AA$3:$AA$5,$AB$3:$AB$5)-ABS(XLOOKUP($C1144,$Q$3:$Q$16,$R$3:$R$16)))*$B1144,-5)</f>
        <v>20000000</v>
      </c>
      <c r="F1144" s="16">
        <f t="shared" si="3429"/>
        <v>35400000</v>
      </c>
      <c r="G1144" s="16">
        <f t="shared" si="3429"/>
        <v>38600000</v>
      </c>
      <c r="H1144" s="17">
        <f t="shared" ref="H1144:J1144" si="3430">roundup((XLOOKUP($D1144,$T$3:$T$10,$U$3:$U$10)*XLOOKUP(H$2,$AA$3:$AA$5,$AC$3:$AC$5)-ABS(XLOOKUP($C1144,$Q$3:$Q$16,$R$3:$R$16)))*$B1144,-5)</f>
        <v>16500000</v>
      </c>
      <c r="I1144" s="17">
        <f t="shared" si="3430"/>
        <v>43900000</v>
      </c>
      <c r="J1144" s="17">
        <f t="shared" si="3430"/>
        <v>47600000</v>
      </c>
      <c r="K1144" s="17">
        <f t="shared" ref="K1144:M1144" si="3431">roundup((XLOOKUP($D1144,$T$3:$T$10,$U$3:$U$10)*XLOOKUP(K$2,$AA$3:$AA$5,$AD$3:$AD$5)-ABS(XLOOKUP($C1144,$Q$3:$Q$16,$R$3:$R$16)))*$B1144,-5)</f>
        <v>19500000</v>
      </c>
      <c r="L1144" s="17">
        <f t="shared" si="3431"/>
        <v>49600000</v>
      </c>
      <c r="M1144" s="17">
        <f t="shared" si="3431"/>
        <v>53700000</v>
      </c>
    </row>
    <row r="1145">
      <c r="A1145" s="14" t="s">
        <v>1188</v>
      </c>
      <c r="B1145" s="14">
        <v>85.0</v>
      </c>
      <c r="C1145" s="15">
        <f t="shared" si="4"/>
        <v>11</v>
      </c>
      <c r="D1145" s="14" t="s">
        <v>36</v>
      </c>
      <c r="E1145" s="16">
        <f t="shared" ref="E1145:G1145" si="3432">ROUNDUP((XLOOKUP($D1145,$T$3:$T$10,$U$3:$U$10)*XLOOKUP(E$2,$AA$3:$AA$5,$AB$3:$AB$5)-ABS(XLOOKUP($C1145,$Q$3:$Q$16,$R$3:$R$16)))*$B1145,-5)</f>
        <v>22300000</v>
      </c>
      <c r="F1145" s="16">
        <f t="shared" si="3432"/>
        <v>38300000</v>
      </c>
      <c r="G1145" s="16">
        <f t="shared" si="3432"/>
        <v>41700000</v>
      </c>
      <c r="H1145" s="17">
        <f t="shared" ref="H1145:J1145" si="3433">roundup((XLOOKUP($D1145,$T$3:$T$10,$U$3:$U$10)*XLOOKUP(H$2,$AA$3:$AA$5,$AC$3:$AC$5)-ABS(XLOOKUP($C1145,$Q$3:$Q$16,$R$3:$R$16)))*$B1145,-5)</f>
        <v>18700000</v>
      </c>
      <c r="I1145" s="17">
        <f t="shared" si="3433"/>
        <v>47100000</v>
      </c>
      <c r="J1145" s="17">
        <f t="shared" si="3433"/>
        <v>50900000</v>
      </c>
      <c r="K1145" s="17">
        <f t="shared" ref="K1145:M1145" si="3434">roundup((XLOOKUP($D1145,$T$3:$T$10,$U$3:$U$10)*XLOOKUP(K$2,$AA$3:$AA$5,$AD$3:$AD$5)-ABS(XLOOKUP($C1145,$Q$3:$Q$16,$R$3:$R$16)))*$B1145,-5)</f>
        <v>21800000</v>
      </c>
      <c r="L1145" s="17">
        <f t="shared" si="3434"/>
        <v>53000000</v>
      </c>
      <c r="M1145" s="17">
        <f t="shared" si="3434"/>
        <v>57200000</v>
      </c>
    </row>
    <row r="1146">
      <c r="A1146" s="14" t="s">
        <v>1189</v>
      </c>
      <c r="B1146" s="14">
        <v>47.0</v>
      </c>
      <c r="C1146" s="15">
        <f t="shared" si="4"/>
        <v>6</v>
      </c>
      <c r="D1146" s="14" t="s">
        <v>36</v>
      </c>
      <c r="E1146" s="16">
        <f t="shared" ref="E1146:G1146" si="3435">ROUNDUP((XLOOKUP($D1146,$T$3:$T$10,$U$3:$U$10)*XLOOKUP(E$2,$AA$3:$AA$5,$AB$3:$AB$5)-ABS(XLOOKUP($C1146,$Q$3:$Q$16,$R$3:$R$16)))*$B1146,-5)</f>
        <v>17800000</v>
      </c>
      <c r="F1146" s="16">
        <f t="shared" si="3435"/>
        <v>26600000</v>
      </c>
      <c r="G1146" s="16">
        <f t="shared" si="3435"/>
        <v>28500000</v>
      </c>
      <c r="H1146" s="17">
        <f t="shared" ref="H1146:J1146" si="3436">roundup((XLOOKUP($D1146,$T$3:$T$10,$U$3:$U$10)*XLOOKUP(H$2,$AA$3:$AA$5,$AC$3:$AC$5)-ABS(XLOOKUP($C1146,$Q$3:$Q$16,$R$3:$R$16)))*$B1146,-5)</f>
        <v>15800000</v>
      </c>
      <c r="I1146" s="17">
        <f t="shared" si="3436"/>
        <v>31500000</v>
      </c>
      <c r="J1146" s="17">
        <f t="shared" si="3436"/>
        <v>33600000</v>
      </c>
      <c r="K1146" s="17">
        <f t="shared" ref="K1146:M1146" si="3437">roundup((XLOOKUP($D1146,$T$3:$T$10,$U$3:$U$10)*XLOOKUP(K$2,$AA$3:$AA$5,$AD$3:$AD$5)-ABS(XLOOKUP($C1146,$Q$3:$Q$16,$R$3:$R$16)))*$B1146,-5)</f>
        <v>17500000</v>
      </c>
      <c r="L1146" s="17">
        <f t="shared" si="3437"/>
        <v>34700000</v>
      </c>
      <c r="M1146" s="17">
        <f t="shared" si="3437"/>
        <v>37100000</v>
      </c>
    </row>
    <row r="1147">
      <c r="A1147" s="14" t="s">
        <v>1190</v>
      </c>
      <c r="B1147" s="14">
        <v>87.0</v>
      </c>
      <c r="C1147" s="15">
        <f t="shared" si="4"/>
        <v>11</v>
      </c>
      <c r="D1147" s="14" t="s">
        <v>36</v>
      </c>
      <c r="E1147" s="16">
        <f t="shared" ref="E1147:G1147" si="3438">ROUNDUP((XLOOKUP($D1147,$T$3:$T$10,$U$3:$U$10)*XLOOKUP(E$2,$AA$3:$AA$5,$AB$3:$AB$5)-ABS(XLOOKUP($C1147,$Q$3:$Q$16,$R$3:$R$16)))*$B1147,-5)</f>
        <v>22900000</v>
      </c>
      <c r="F1147" s="16">
        <f t="shared" si="3438"/>
        <v>39200000</v>
      </c>
      <c r="G1147" s="16">
        <f t="shared" si="3438"/>
        <v>42600000</v>
      </c>
      <c r="H1147" s="17">
        <f t="shared" ref="H1147:J1147" si="3439">roundup((XLOOKUP($D1147,$T$3:$T$10,$U$3:$U$10)*XLOOKUP(H$2,$AA$3:$AA$5,$AC$3:$AC$5)-ABS(XLOOKUP($C1147,$Q$3:$Q$16,$R$3:$R$16)))*$B1147,-5)</f>
        <v>19100000</v>
      </c>
      <c r="I1147" s="17">
        <f t="shared" si="3439"/>
        <v>48200000</v>
      </c>
      <c r="J1147" s="17">
        <f t="shared" si="3439"/>
        <v>52100000</v>
      </c>
      <c r="K1147" s="17">
        <f t="shared" ref="K1147:M1147" si="3440">roundup((XLOOKUP($D1147,$T$3:$T$10,$U$3:$U$10)*XLOOKUP(K$2,$AA$3:$AA$5,$AD$3:$AD$5)-ABS(XLOOKUP($C1147,$Q$3:$Q$16,$R$3:$R$16)))*$B1147,-5)</f>
        <v>22400000</v>
      </c>
      <c r="L1147" s="17">
        <f t="shared" si="3440"/>
        <v>54200000</v>
      </c>
      <c r="M1147" s="17">
        <f t="shared" si="3440"/>
        <v>58600000</v>
      </c>
    </row>
    <row r="1148">
      <c r="A1148" s="14" t="s">
        <v>1191</v>
      </c>
      <c r="B1148" s="14">
        <v>112.0</v>
      </c>
      <c r="C1148" s="15">
        <f t="shared" si="4"/>
        <v>11</v>
      </c>
      <c r="D1148" s="14" t="s">
        <v>33</v>
      </c>
      <c r="E1148" s="16">
        <f t="shared" ref="E1148:G1148" si="3441">ROUNDUP((XLOOKUP($D1148,$T$3:$T$10,$U$3:$U$10)*XLOOKUP(E$2,$AA$3:$AA$5,$AB$3:$AB$5)-ABS(XLOOKUP($C1148,$Q$3:$Q$16,$R$3:$R$16)))*$B1148,-5)</f>
        <v>24300000</v>
      </c>
      <c r="F1148" s="16">
        <f t="shared" si="3441"/>
        <v>43100000</v>
      </c>
      <c r="G1148" s="16">
        <f t="shared" si="3441"/>
        <v>47000000</v>
      </c>
      <c r="H1148" s="17">
        <f t="shared" ref="H1148:J1148" si="3442">roundup((XLOOKUP($D1148,$T$3:$T$10,$U$3:$U$10)*XLOOKUP(H$2,$AA$3:$AA$5,$AC$3:$AC$5)-ABS(XLOOKUP($C1148,$Q$3:$Q$16,$R$3:$R$16)))*$B1148,-5)</f>
        <v>20000000</v>
      </c>
      <c r="I1148" s="17">
        <f t="shared" si="3442"/>
        <v>53400000</v>
      </c>
      <c r="J1148" s="17">
        <f t="shared" si="3442"/>
        <v>57900000</v>
      </c>
      <c r="K1148" s="17">
        <f t="shared" ref="K1148:M1148" si="3443">roundup((XLOOKUP($D1148,$T$3:$T$10,$U$3:$U$10)*XLOOKUP(K$2,$AA$3:$AA$5,$AD$3:$AD$5)-ABS(XLOOKUP($C1148,$Q$3:$Q$16,$R$3:$R$16)))*$B1148,-5)</f>
        <v>23700000</v>
      </c>
      <c r="L1148" s="17">
        <f t="shared" si="3443"/>
        <v>60300000</v>
      </c>
      <c r="M1148" s="17">
        <f t="shared" si="3443"/>
        <v>65300000</v>
      </c>
    </row>
    <row r="1149">
      <c r="A1149" s="14" t="s">
        <v>1192</v>
      </c>
      <c r="B1149" s="14">
        <v>71.0</v>
      </c>
      <c r="C1149" s="15">
        <f t="shared" si="4"/>
        <v>9</v>
      </c>
      <c r="D1149" s="14" t="s">
        <v>197</v>
      </c>
      <c r="E1149" s="16">
        <f t="shared" ref="E1149:G1149" si="3444">ROUNDUP((XLOOKUP($D1149,$T$3:$T$10,$U$3:$U$10)*XLOOKUP(E$2,$AA$3:$AA$5,$AB$3:$AB$5)-ABS(XLOOKUP($C1149,$Q$3:$Q$16,$R$3:$R$16)))*$B1149,-5)</f>
        <v>23300000</v>
      </c>
      <c r="F1149" s="16">
        <f t="shared" si="3444"/>
        <v>35900000</v>
      </c>
      <c r="G1149" s="16">
        <f t="shared" si="3444"/>
        <v>38500000</v>
      </c>
      <c r="H1149" s="17">
        <f t="shared" ref="H1149:J1149" si="3445">roundup((XLOOKUP($D1149,$T$3:$T$10,$U$3:$U$10)*XLOOKUP(H$2,$AA$3:$AA$5,$AC$3:$AC$5)-ABS(XLOOKUP($C1149,$Q$3:$Q$16,$R$3:$R$16)))*$B1149,-5)</f>
        <v>20400000</v>
      </c>
      <c r="I1149" s="17">
        <f t="shared" si="3445"/>
        <v>42700000</v>
      </c>
      <c r="J1149" s="17">
        <f t="shared" si="3445"/>
        <v>45700000</v>
      </c>
      <c r="K1149" s="17">
        <f t="shared" ref="K1149:M1149" si="3446">roundup((XLOOKUP($D1149,$T$3:$T$10,$U$3:$U$10)*XLOOKUP(K$2,$AA$3:$AA$5,$AD$3:$AD$5)-ABS(XLOOKUP($C1149,$Q$3:$Q$16,$R$3:$R$16)))*$B1149,-5)</f>
        <v>22900000</v>
      </c>
      <c r="L1149" s="17">
        <f t="shared" si="3446"/>
        <v>47300000</v>
      </c>
      <c r="M1149" s="17">
        <f t="shared" si="3446"/>
        <v>50700000</v>
      </c>
    </row>
    <row r="1150">
      <c r="A1150" s="14" t="s">
        <v>1193</v>
      </c>
      <c r="B1150" s="14">
        <v>125.0</v>
      </c>
      <c r="C1150" s="15">
        <f t="shared" si="4"/>
        <v>11</v>
      </c>
      <c r="D1150" s="14" t="s">
        <v>24</v>
      </c>
      <c r="E1150" s="16">
        <f t="shared" ref="E1150:G1150" si="3447">ROUNDUP((XLOOKUP($D1150,$T$3:$T$10,$U$3:$U$10)*XLOOKUP(E$2,$AA$3:$AA$5,$AB$3:$AB$5)-ABS(XLOOKUP($C1150,$Q$3:$Q$16,$R$3:$R$16)))*$B1150,-5)</f>
        <v>34500000</v>
      </c>
      <c r="F1150" s="16">
        <f t="shared" si="3447"/>
        <v>58700000</v>
      </c>
      <c r="G1150" s="16">
        <f t="shared" si="3447"/>
        <v>63700000</v>
      </c>
      <c r="H1150" s="17">
        <f t="shared" ref="H1150:J1150" si="3448">roundup((XLOOKUP($D1150,$T$3:$T$10,$U$3:$U$10)*XLOOKUP(H$2,$AA$3:$AA$5,$AC$3:$AC$5)-ABS(XLOOKUP($C1150,$Q$3:$Q$16,$R$3:$R$16)))*$B1150,-5)</f>
        <v>28900000</v>
      </c>
      <c r="I1150" s="17">
        <f t="shared" si="3448"/>
        <v>72000000</v>
      </c>
      <c r="J1150" s="17">
        <f t="shared" si="3448"/>
        <v>77800000</v>
      </c>
      <c r="K1150" s="17">
        <f t="shared" ref="K1150:M1150" si="3449">roundup((XLOOKUP($D1150,$T$3:$T$10,$U$3:$U$10)*XLOOKUP(K$2,$AA$3:$AA$5,$AD$3:$AD$5)-ABS(XLOOKUP($C1150,$Q$3:$Q$16,$R$3:$R$16)))*$B1150,-5)</f>
        <v>33700000</v>
      </c>
      <c r="L1150" s="17">
        <f t="shared" si="3449"/>
        <v>80900000</v>
      </c>
      <c r="M1150" s="17">
        <f t="shared" si="3449"/>
        <v>87400000</v>
      </c>
    </row>
    <row r="1151">
      <c r="A1151" s="14" t="s">
        <v>1194</v>
      </c>
      <c r="B1151" s="14">
        <v>146.0</v>
      </c>
      <c r="C1151" s="15">
        <f t="shared" si="4"/>
        <v>11</v>
      </c>
      <c r="D1151" s="14" t="s">
        <v>28</v>
      </c>
      <c r="E1151" s="16">
        <f t="shared" ref="E1151:G1151" si="3450">ROUNDUP((XLOOKUP($D1151,$T$3:$T$10,$U$3:$U$10)*XLOOKUP(E$2,$AA$3:$AA$5,$AB$3:$AB$5)-ABS(XLOOKUP($C1151,$Q$3:$Q$16,$R$3:$R$16)))*$B1151,-5)</f>
        <v>40300000</v>
      </c>
      <c r="F1151" s="16">
        <f t="shared" si="3450"/>
        <v>68600000</v>
      </c>
      <c r="G1151" s="16">
        <f t="shared" si="3450"/>
        <v>74500000</v>
      </c>
      <c r="H1151" s="17">
        <f t="shared" ref="H1151:J1151" si="3451">roundup((XLOOKUP($D1151,$T$3:$T$10,$U$3:$U$10)*XLOOKUP(H$2,$AA$3:$AA$5,$AC$3:$AC$5)-ABS(XLOOKUP($C1151,$Q$3:$Q$16,$R$3:$R$16)))*$B1151,-5)</f>
        <v>33800000</v>
      </c>
      <c r="I1151" s="17">
        <f t="shared" si="3451"/>
        <v>84100000</v>
      </c>
      <c r="J1151" s="17">
        <f t="shared" si="3451"/>
        <v>90900000</v>
      </c>
      <c r="K1151" s="17">
        <f t="shared" ref="K1151:M1151" si="3452">roundup((XLOOKUP($D1151,$T$3:$T$10,$U$3:$U$10)*XLOOKUP(K$2,$AA$3:$AA$5,$AD$3:$AD$5)-ABS(XLOOKUP($C1151,$Q$3:$Q$16,$R$3:$R$16)))*$B1151,-5)</f>
        <v>39400000</v>
      </c>
      <c r="L1151" s="17">
        <f t="shared" si="3452"/>
        <v>94600000</v>
      </c>
      <c r="M1151" s="17">
        <f t="shared" si="3452"/>
        <v>102100000</v>
      </c>
    </row>
    <row r="1152">
      <c r="A1152" s="14" t="s">
        <v>1195</v>
      </c>
      <c r="B1152" s="14">
        <v>65.0</v>
      </c>
      <c r="C1152" s="15">
        <f t="shared" si="4"/>
        <v>9</v>
      </c>
      <c r="D1152" s="14" t="s">
        <v>36</v>
      </c>
      <c r="E1152" s="16">
        <f t="shared" ref="E1152:G1152" si="3453">ROUNDUP((XLOOKUP($D1152,$T$3:$T$10,$U$3:$U$10)*XLOOKUP(E$2,$AA$3:$AA$5,$AB$3:$AB$5)-ABS(XLOOKUP($C1152,$Q$3:$Q$16,$R$3:$R$16)))*$B1152,-5)</f>
        <v>23000000</v>
      </c>
      <c r="F1152" s="16">
        <f t="shared" si="3453"/>
        <v>35200000</v>
      </c>
      <c r="G1152" s="16">
        <f t="shared" si="3453"/>
        <v>37800000</v>
      </c>
      <c r="H1152" s="17">
        <f t="shared" ref="H1152:J1152" si="3454">roundup((XLOOKUP($D1152,$T$3:$T$10,$U$3:$U$10)*XLOOKUP(H$2,$AA$3:$AA$5,$AC$3:$AC$5)-ABS(XLOOKUP($C1152,$Q$3:$Q$16,$R$3:$R$16)))*$B1152,-5)</f>
        <v>20200000</v>
      </c>
      <c r="I1152" s="17">
        <f t="shared" si="3454"/>
        <v>41900000</v>
      </c>
      <c r="J1152" s="17">
        <f t="shared" si="3454"/>
        <v>44900000</v>
      </c>
      <c r="K1152" s="17">
        <f t="shared" ref="K1152:M1152" si="3455">roundup((XLOOKUP($D1152,$T$3:$T$10,$U$3:$U$10)*XLOOKUP(K$2,$AA$3:$AA$5,$AD$3:$AD$5)-ABS(XLOOKUP($C1152,$Q$3:$Q$16,$R$3:$R$16)))*$B1152,-5)</f>
        <v>22600000</v>
      </c>
      <c r="L1152" s="17">
        <f t="shared" si="3455"/>
        <v>46400000</v>
      </c>
      <c r="M1152" s="17">
        <f t="shared" si="3455"/>
        <v>49700000</v>
      </c>
    </row>
    <row r="1153">
      <c r="A1153" s="14" t="s">
        <v>1196</v>
      </c>
      <c r="B1153" s="14">
        <v>93.0</v>
      </c>
      <c r="C1153" s="15">
        <f t="shared" si="4"/>
        <v>11</v>
      </c>
      <c r="D1153" s="14" t="s">
        <v>33</v>
      </c>
      <c r="E1153" s="16">
        <f t="shared" ref="E1153:G1153" si="3456">ROUNDUP((XLOOKUP($D1153,$T$3:$T$10,$U$3:$U$10)*XLOOKUP(E$2,$AA$3:$AA$5,$AB$3:$AB$5)-ABS(XLOOKUP($C1153,$Q$3:$Q$16,$R$3:$R$16)))*$B1153,-5)</f>
        <v>20200000</v>
      </c>
      <c r="F1153" s="16">
        <f t="shared" si="3456"/>
        <v>35800000</v>
      </c>
      <c r="G1153" s="16">
        <f t="shared" si="3456"/>
        <v>39100000</v>
      </c>
      <c r="H1153" s="17">
        <f t="shared" ref="H1153:J1153" si="3457">roundup((XLOOKUP($D1153,$T$3:$T$10,$U$3:$U$10)*XLOOKUP(H$2,$AA$3:$AA$5,$AC$3:$AC$5)-ABS(XLOOKUP($C1153,$Q$3:$Q$16,$R$3:$R$16)))*$B1153,-5)</f>
        <v>16600000</v>
      </c>
      <c r="I1153" s="17">
        <f t="shared" si="3457"/>
        <v>44300000</v>
      </c>
      <c r="J1153" s="17">
        <f t="shared" si="3457"/>
        <v>48100000</v>
      </c>
      <c r="K1153" s="17">
        <f t="shared" ref="K1153:M1153" si="3458">roundup((XLOOKUP($D1153,$T$3:$T$10,$U$3:$U$10)*XLOOKUP(K$2,$AA$3:$AA$5,$AD$3:$AD$5)-ABS(XLOOKUP($C1153,$Q$3:$Q$16,$R$3:$R$16)))*$B1153,-5)</f>
        <v>19700000</v>
      </c>
      <c r="L1153" s="17">
        <f t="shared" si="3458"/>
        <v>50100000</v>
      </c>
      <c r="M1153" s="17">
        <f t="shared" si="3458"/>
        <v>54300000</v>
      </c>
    </row>
    <row r="1154">
      <c r="A1154" s="14" t="s">
        <v>1197</v>
      </c>
      <c r="B1154" s="14">
        <v>93.0</v>
      </c>
      <c r="C1154" s="15">
        <f t="shared" si="4"/>
        <v>11</v>
      </c>
      <c r="D1154" s="14" t="s">
        <v>36</v>
      </c>
      <c r="E1154" s="16">
        <f t="shared" ref="E1154:G1154" si="3459">ROUNDUP((XLOOKUP($D1154,$T$3:$T$10,$U$3:$U$10)*XLOOKUP(E$2,$AA$3:$AA$5,$AB$3:$AB$5)-ABS(XLOOKUP($C1154,$Q$3:$Q$16,$R$3:$R$16)))*$B1154,-5)</f>
        <v>24400000</v>
      </c>
      <c r="F1154" s="16">
        <f t="shared" si="3459"/>
        <v>41900000</v>
      </c>
      <c r="G1154" s="16">
        <f t="shared" si="3459"/>
        <v>45600000</v>
      </c>
      <c r="H1154" s="17">
        <f t="shared" ref="H1154:J1154" si="3460">roundup((XLOOKUP($D1154,$T$3:$T$10,$U$3:$U$10)*XLOOKUP(H$2,$AA$3:$AA$5,$AC$3:$AC$5)-ABS(XLOOKUP($C1154,$Q$3:$Q$16,$R$3:$R$16)))*$B1154,-5)</f>
        <v>20400000</v>
      </c>
      <c r="I1154" s="17">
        <f t="shared" si="3460"/>
        <v>51500000</v>
      </c>
      <c r="J1154" s="17">
        <f t="shared" si="3460"/>
        <v>55700000</v>
      </c>
      <c r="K1154" s="17">
        <f t="shared" ref="K1154:M1154" si="3461">roundup((XLOOKUP($D1154,$T$3:$T$10,$U$3:$U$10)*XLOOKUP(K$2,$AA$3:$AA$5,$AD$3:$AD$5)-ABS(XLOOKUP($C1154,$Q$3:$Q$16,$R$3:$R$16)))*$B1154,-5)</f>
        <v>23900000</v>
      </c>
      <c r="L1154" s="17">
        <f t="shared" si="3461"/>
        <v>58000000</v>
      </c>
      <c r="M1154" s="17">
        <f t="shared" si="3461"/>
        <v>62600000</v>
      </c>
    </row>
    <row r="1155">
      <c r="A1155" s="14" t="s">
        <v>1198</v>
      </c>
      <c r="B1155" s="14">
        <v>112.0</v>
      </c>
      <c r="C1155" s="15">
        <f t="shared" si="4"/>
        <v>11</v>
      </c>
      <c r="D1155" s="14" t="s">
        <v>33</v>
      </c>
      <c r="E1155" s="16">
        <f t="shared" ref="E1155:G1155" si="3462">ROUNDUP((XLOOKUP($D1155,$T$3:$T$10,$U$3:$U$10)*XLOOKUP(E$2,$AA$3:$AA$5,$AB$3:$AB$5)-ABS(XLOOKUP($C1155,$Q$3:$Q$16,$R$3:$R$16)))*$B1155,-5)</f>
        <v>24300000</v>
      </c>
      <c r="F1155" s="16">
        <f t="shared" si="3462"/>
        <v>43100000</v>
      </c>
      <c r="G1155" s="16">
        <f t="shared" si="3462"/>
        <v>47000000</v>
      </c>
      <c r="H1155" s="17">
        <f t="shared" ref="H1155:J1155" si="3463">roundup((XLOOKUP($D1155,$T$3:$T$10,$U$3:$U$10)*XLOOKUP(H$2,$AA$3:$AA$5,$AC$3:$AC$5)-ABS(XLOOKUP($C1155,$Q$3:$Q$16,$R$3:$R$16)))*$B1155,-5)</f>
        <v>20000000</v>
      </c>
      <c r="I1155" s="17">
        <f t="shared" si="3463"/>
        <v>53400000</v>
      </c>
      <c r="J1155" s="17">
        <f t="shared" si="3463"/>
        <v>57900000</v>
      </c>
      <c r="K1155" s="17">
        <f t="shared" ref="K1155:M1155" si="3464">roundup((XLOOKUP($D1155,$T$3:$T$10,$U$3:$U$10)*XLOOKUP(K$2,$AA$3:$AA$5,$AD$3:$AD$5)-ABS(XLOOKUP($C1155,$Q$3:$Q$16,$R$3:$R$16)))*$B1155,-5)</f>
        <v>23700000</v>
      </c>
      <c r="L1155" s="17">
        <f t="shared" si="3464"/>
        <v>60300000</v>
      </c>
      <c r="M1155" s="17">
        <f t="shared" si="3464"/>
        <v>65300000</v>
      </c>
    </row>
    <row r="1156">
      <c r="A1156" s="14" t="s">
        <v>1199</v>
      </c>
      <c r="B1156" s="14">
        <v>75.0</v>
      </c>
      <c r="C1156" s="15">
        <f t="shared" si="4"/>
        <v>9</v>
      </c>
      <c r="D1156" s="14" t="s">
        <v>36</v>
      </c>
      <c r="E1156" s="16">
        <f t="shared" ref="E1156:G1156" si="3465">ROUNDUP((XLOOKUP($D1156,$T$3:$T$10,$U$3:$U$10)*XLOOKUP(E$2,$AA$3:$AA$5,$AB$3:$AB$5)-ABS(XLOOKUP($C1156,$Q$3:$Q$16,$R$3:$R$16)))*$B1156,-5)</f>
        <v>26500000</v>
      </c>
      <c r="F1156" s="16">
        <f t="shared" si="3465"/>
        <v>40700000</v>
      </c>
      <c r="G1156" s="16">
        <f t="shared" si="3465"/>
        <v>43600000</v>
      </c>
      <c r="H1156" s="17">
        <f t="shared" ref="H1156:J1156" si="3466">roundup((XLOOKUP($D1156,$T$3:$T$10,$U$3:$U$10)*XLOOKUP(H$2,$AA$3:$AA$5,$AC$3:$AC$5)-ABS(XLOOKUP($C1156,$Q$3:$Q$16,$R$3:$R$16)))*$B1156,-5)</f>
        <v>23300000</v>
      </c>
      <c r="I1156" s="17">
        <f t="shared" si="3466"/>
        <v>48400000</v>
      </c>
      <c r="J1156" s="17">
        <f t="shared" si="3466"/>
        <v>51800000</v>
      </c>
      <c r="K1156" s="17">
        <f t="shared" ref="K1156:M1156" si="3467">roundup((XLOOKUP($D1156,$T$3:$T$10,$U$3:$U$10)*XLOOKUP(K$2,$AA$3:$AA$5,$AD$3:$AD$5)-ABS(XLOOKUP($C1156,$Q$3:$Q$16,$R$3:$R$16)))*$B1156,-5)</f>
        <v>26100000</v>
      </c>
      <c r="L1156" s="17">
        <f t="shared" si="3467"/>
        <v>53600000</v>
      </c>
      <c r="M1156" s="17">
        <f t="shared" si="3467"/>
        <v>57300000</v>
      </c>
    </row>
    <row r="1157">
      <c r="A1157" s="14" t="s">
        <v>1200</v>
      </c>
      <c r="B1157" s="14">
        <v>144.0</v>
      </c>
      <c r="C1157" s="15">
        <f t="shared" si="4"/>
        <v>11</v>
      </c>
      <c r="D1157" s="14" t="s">
        <v>36</v>
      </c>
      <c r="E1157" s="16">
        <f t="shared" ref="E1157:G1157" si="3468">ROUNDUP((XLOOKUP($D1157,$T$3:$T$10,$U$3:$U$10)*XLOOKUP(E$2,$AA$3:$AA$5,$AB$3:$AB$5)-ABS(XLOOKUP($C1157,$Q$3:$Q$16,$R$3:$R$16)))*$B1157,-5)</f>
        <v>37800000</v>
      </c>
      <c r="F1157" s="16">
        <f t="shared" si="3468"/>
        <v>64900000</v>
      </c>
      <c r="G1157" s="16">
        <f t="shared" si="3468"/>
        <v>70500000</v>
      </c>
      <c r="H1157" s="17">
        <f t="shared" ref="H1157:J1157" si="3469">roundup((XLOOKUP($D1157,$T$3:$T$10,$U$3:$U$10)*XLOOKUP(H$2,$AA$3:$AA$5,$AC$3:$AC$5)-ABS(XLOOKUP($C1157,$Q$3:$Q$16,$R$3:$R$16)))*$B1157,-5)</f>
        <v>31600000</v>
      </c>
      <c r="I1157" s="17">
        <f t="shared" si="3469"/>
        <v>79700000</v>
      </c>
      <c r="J1157" s="17">
        <f t="shared" si="3469"/>
        <v>86300000</v>
      </c>
      <c r="K1157" s="17">
        <f t="shared" ref="K1157:M1157" si="3470">roundup((XLOOKUP($D1157,$T$3:$T$10,$U$3:$U$10)*XLOOKUP(K$2,$AA$3:$AA$5,$AD$3:$AD$5)-ABS(XLOOKUP($C1157,$Q$3:$Q$16,$R$3:$R$16)))*$B1157,-5)</f>
        <v>37000000</v>
      </c>
      <c r="L1157" s="17">
        <f t="shared" si="3470"/>
        <v>89700000</v>
      </c>
      <c r="M1157" s="17">
        <f t="shared" si="3470"/>
        <v>96900000</v>
      </c>
    </row>
    <row r="1158">
      <c r="A1158" s="14" t="s">
        <v>1201</v>
      </c>
      <c r="B1158" s="14">
        <v>393.0</v>
      </c>
      <c r="C1158" s="15">
        <f t="shared" si="4"/>
        <v>14</v>
      </c>
      <c r="D1158" s="14" t="s">
        <v>36</v>
      </c>
      <c r="E1158" s="16">
        <f t="shared" ref="E1158:G1158" si="3471">ROUNDUP((XLOOKUP($D1158,$T$3:$T$10,$U$3:$U$10)*XLOOKUP(E$2,$AA$3:$AA$5,$AB$3:$AB$5)-ABS(XLOOKUP($C1158,$Q$3:$Q$16,$R$3:$R$16)))*$B1158,-5)</f>
        <v>91700000</v>
      </c>
      <c r="F1158" s="16">
        <f t="shared" si="3471"/>
        <v>165700000</v>
      </c>
      <c r="G1158" s="16">
        <f t="shared" si="3471"/>
        <v>181000000</v>
      </c>
      <c r="H1158" s="17">
        <f t="shared" ref="H1158:J1158" si="3472">roundup((XLOOKUP($D1158,$T$3:$T$10,$U$3:$U$10)*XLOOKUP(H$2,$AA$3:$AA$5,$AC$3:$AC$5)-ABS(XLOOKUP($C1158,$Q$3:$Q$16,$R$3:$R$16)))*$B1158,-5)</f>
        <v>74800000</v>
      </c>
      <c r="I1158" s="17">
        <f t="shared" si="3472"/>
        <v>206000000</v>
      </c>
      <c r="J1158" s="17">
        <f t="shared" si="3472"/>
        <v>223900000</v>
      </c>
      <c r="K1158" s="17">
        <f t="shared" ref="K1158:M1158" si="3473">roundup((XLOOKUP($D1158,$T$3:$T$10,$U$3:$U$10)*XLOOKUP(K$2,$AA$3:$AA$5,$AD$3:$AD$5)-ABS(XLOOKUP($C1158,$Q$3:$Q$16,$R$3:$R$16)))*$B1158,-5)</f>
        <v>89400000</v>
      </c>
      <c r="L1158" s="17">
        <f t="shared" si="3473"/>
        <v>233400000</v>
      </c>
      <c r="M1158" s="17">
        <f t="shared" si="3473"/>
        <v>253000000</v>
      </c>
    </row>
    <row r="1159">
      <c r="A1159" s="14" t="s">
        <v>1202</v>
      </c>
      <c r="B1159" s="14">
        <v>47.0</v>
      </c>
      <c r="C1159" s="15">
        <f t="shared" si="4"/>
        <v>6</v>
      </c>
      <c r="D1159" s="14" t="s">
        <v>33</v>
      </c>
      <c r="E1159" s="16">
        <f t="shared" ref="E1159:G1159" si="3474">ROUNDUP((XLOOKUP($D1159,$T$3:$T$10,$U$3:$U$10)*XLOOKUP(E$2,$AA$3:$AA$5,$AB$3:$AB$5)-ABS(XLOOKUP($C1159,$Q$3:$Q$16,$R$3:$R$16)))*$B1159,-5)</f>
        <v>15600000</v>
      </c>
      <c r="F1159" s="16">
        <f t="shared" si="3474"/>
        <v>23500000</v>
      </c>
      <c r="G1159" s="16">
        <f t="shared" si="3474"/>
        <v>25200000</v>
      </c>
      <c r="H1159" s="17">
        <f t="shared" ref="H1159:J1159" si="3475">roundup((XLOOKUP($D1159,$T$3:$T$10,$U$3:$U$10)*XLOOKUP(H$2,$AA$3:$AA$5,$AC$3:$AC$5)-ABS(XLOOKUP($C1159,$Q$3:$Q$16,$R$3:$R$16)))*$B1159,-5)</f>
        <v>13800000</v>
      </c>
      <c r="I1159" s="17">
        <f t="shared" si="3475"/>
        <v>27800000</v>
      </c>
      <c r="J1159" s="17">
        <f t="shared" si="3475"/>
        <v>29700000</v>
      </c>
      <c r="K1159" s="17">
        <f t="shared" ref="K1159:M1159" si="3476">roundup((XLOOKUP($D1159,$T$3:$T$10,$U$3:$U$10)*XLOOKUP(K$2,$AA$3:$AA$5,$AD$3:$AD$5)-ABS(XLOOKUP($C1159,$Q$3:$Q$16,$R$3:$R$16)))*$B1159,-5)</f>
        <v>15400000</v>
      </c>
      <c r="L1159" s="17">
        <f t="shared" si="3476"/>
        <v>30800000</v>
      </c>
      <c r="M1159" s="17">
        <f t="shared" si="3476"/>
        <v>32900000</v>
      </c>
    </row>
    <row r="1160">
      <c r="A1160" s="14" t="s">
        <v>1203</v>
      </c>
      <c r="B1160" s="14">
        <v>136.0</v>
      </c>
      <c r="C1160" s="15">
        <f t="shared" si="4"/>
        <v>11</v>
      </c>
      <c r="D1160" s="14" t="s">
        <v>33</v>
      </c>
      <c r="E1160" s="16">
        <f t="shared" ref="E1160:G1160" si="3477">ROUNDUP((XLOOKUP($D1160,$T$3:$T$10,$U$3:$U$10)*XLOOKUP(E$2,$AA$3:$AA$5,$AB$3:$AB$5)-ABS(XLOOKUP($C1160,$Q$3:$Q$16,$R$3:$R$16)))*$B1160,-5)</f>
        <v>29500000</v>
      </c>
      <c r="F1160" s="16">
        <f t="shared" si="3477"/>
        <v>52400000</v>
      </c>
      <c r="G1160" s="16">
        <f t="shared" si="3477"/>
        <v>57100000</v>
      </c>
      <c r="H1160" s="17">
        <f t="shared" ref="H1160:J1160" si="3478">roundup((XLOOKUP($D1160,$T$3:$T$10,$U$3:$U$10)*XLOOKUP(H$2,$AA$3:$AA$5,$AC$3:$AC$5)-ABS(XLOOKUP($C1160,$Q$3:$Q$16,$R$3:$R$16)))*$B1160,-5)</f>
        <v>24300000</v>
      </c>
      <c r="I1160" s="17">
        <f t="shared" si="3478"/>
        <v>64800000</v>
      </c>
      <c r="J1160" s="17">
        <f t="shared" si="3478"/>
        <v>70300000</v>
      </c>
      <c r="K1160" s="17">
        <f t="shared" ref="K1160:M1160" si="3479">roundup((XLOOKUP($D1160,$T$3:$T$10,$U$3:$U$10)*XLOOKUP(K$2,$AA$3:$AA$5,$AD$3:$AD$5)-ABS(XLOOKUP($C1160,$Q$3:$Q$16,$R$3:$R$16)))*$B1160,-5)</f>
        <v>28800000</v>
      </c>
      <c r="L1160" s="17">
        <f t="shared" si="3479"/>
        <v>73300000</v>
      </c>
      <c r="M1160" s="17">
        <f t="shared" si="3479"/>
        <v>79300000</v>
      </c>
    </row>
    <row r="1161">
      <c r="A1161" s="14" t="s">
        <v>1204</v>
      </c>
      <c r="B1161" s="14">
        <v>82.0</v>
      </c>
      <c r="C1161" s="15">
        <f t="shared" si="4"/>
        <v>11</v>
      </c>
      <c r="D1161" s="14" t="s">
        <v>33</v>
      </c>
      <c r="E1161" s="16">
        <f t="shared" ref="E1161:G1161" si="3480">ROUNDUP((XLOOKUP($D1161,$T$3:$T$10,$U$3:$U$10)*XLOOKUP(E$2,$AA$3:$AA$5,$AB$3:$AB$5)-ABS(XLOOKUP($C1161,$Q$3:$Q$16,$R$3:$R$16)))*$B1161,-5)</f>
        <v>17800000</v>
      </c>
      <c r="F1161" s="16">
        <f t="shared" si="3480"/>
        <v>31600000</v>
      </c>
      <c r="G1161" s="16">
        <f t="shared" si="3480"/>
        <v>34400000</v>
      </c>
      <c r="H1161" s="17">
        <f t="shared" ref="H1161:J1161" si="3481">roundup((XLOOKUP($D1161,$T$3:$T$10,$U$3:$U$10)*XLOOKUP(H$2,$AA$3:$AA$5,$AC$3:$AC$5)-ABS(XLOOKUP($C1161,$Q$3:$Q$16,$R$3:$R$16)))*$B1161,-5)</f>
        <v>14700000</v>
      </c>
      <c r="I1161" s="17">
        <f t="shared" si="3481"/>
        <v>39100000</v>
      </c>
      <c r="J1161" s="17">
        <f t="shared" si="3481"/>
        <v>42400000</v>
      </c>
      <c r="K1161" s="17">
        <f t="shared" ref="K1161:M1161" si="3482">roundup((XLOOKUP($D1161,$T$3:$T$10,$U$3:$U$10)*XLOOKUP(K$2,$AA$3:$AA$5,$AD$3:$AD$5)-ABS(XLOOKUP($C1161,$Q$3:$Q$16,$R$3:$R$16)))*$B1161,-5)</f>
        <v>17400000</v>
      </c>
      <c r="L1161" s="17">
        <f t="shared" si="3482"/>
        <v>44200000</v>
      </c>
      <c r="M1161" s="17">
        <f t="shared" si="3482"/>
        <v>47800000</v>
      </c>
    </row>
    <row r="1162">
      <c r="A1162" s="14" t="s">
        <v>1205</v>
      </c>
      <c r="B1162" s="14">
        <v>108.0</v>
      </c>
      <c r="C1162" s="15">
        <f t="shared" si="4"/>
        <v>11</v>
      </c>
      <c r="D1162" s="14" t="s">
        <v>36</v>
      </c>
      <c r="E1162" s="16">
        <f t="shared" ref="E1162:G1162" si="3483">ROUNDUP((XLOOKUP($D1162,$T$3:$T$10,$U$3:$U$10)*XLOOKUP(E$2,$AA$3:$AA$5,$AB$3:$AB$5)-ABS(XLOOKUP($C1162,$Q$3:$Q$16,$R$3:$R$16)))*$B1162,-5)</f>
        <v>28400000</v>
      </c>
      <c r="F1162" s="16">
        <f t="shared" si="3483"/>
        <v>48700000</v>
      </c>
      <c r="G1162" s="16">
        <f t="shared" si="3483"/>
        <v>52900000</v>
      </c>
      <c r="H1162" s="17">
        <f t="shared" ref="H1162:J1162" si="3484">roundup((XLOOKUP($D1162,$T$3:$T$10,$U$3:$U$10)*XLOOKUP(H$2,$AA$3:$AA$5,$AC$3:$AC$5)-ABS(XLOOKUP($C1162,$Q$3:$Q$16,$R$3:$R$16)))*$B1162,-5)</f>
        <v>23700000</v>
      </c>
      <c r="I1162" s="17">
        <f t="shared" si="3484"/>
        <v>59800000</v>
      </c>
      <c r="J1162" s="17">
        <f t="shared" si="3484"/>
        <v>64700000</v>
      </c>
      <c r="K1162" s="17">
        <f t="shared" ref="K1162:M1162" si="3485">roundup((XLOOKUP($D1162,$T$3:$T$10,$U$3:$U$10)*XLOOKUP(K$2,$AA$3:$AA$5,$AD$3:$AD$5)-ABS(XLOOKUP($C1162,$Q$3:$Q$16,$R$3:$R$16)))*$B1162,-5)</f>
        <v>27700000</v>
      </c>
      <c r="L1162" s="17">
        <f t="shared" si="3485"/>
        <v>67300000</v>
      </c>
      <c r="M1162" s="17">
        <f t="shared" si="3485"/>
        <v>72700000</v>
      </c>
    </row>
    <row r="1163">
      <c r="A1163" s="14" t="s">
        <v>1206</v>
      </c>
      <c r="B1163" s="14">
        <v>79.0</v>
      </c>
      <c r="C1163" s="15">
        <f t="shared" si="4"/>
        <v>10</v>
      </c>
      <c r="D1163" s="14" t="s">
        <v>33</v>
      </c>
      <c r="E1163" s="16">
        <f t="shared" ref="E1163:G1163" si="3486">ROUNDUP((XLOOKUP($D1163,$T$3:$T$10,$U$3:$U$10)*XLOOKUP(E$2,$AA$3:$AA$5,$AB$3:$AB$5)-ABS(XLOOKUP($C1163,$Q$3:$Q$16,$R$3:$R$16)))*$B1163,-5)</f>
        <v>19500000</v>
      </c>
      <c r="F1163" s="16">
        <f t="shared" si="3486"/>
        <v>32800000</v>
      </c>
      <c r="G1163" s="16">
        <f t="shared" si="3486"/>
        <v>35600000</v>
      </c>
      <c r="H1163" s="17">
        <f t="shared" ref="H1163:J1163" si="3487">roundup((XLOOKUP($D1163,$T$3:$T$10,$U$3:$U$10)*XLOOKUP(H$2,$AA$3:$AA$5,$AC$3:$AC$5)-ABS(XLOOKUP($C1163,$Q$3:$Q$16,$R$3:$R$16)))*$B1163,-5)</f>
        <v>16500000</v>
      </c>
      <c r="I1163" s="17">
        <f t="shared" si="3487"/>
        <v>40000000</v>
      </c>
      <c r="J1163" s="17">
        <f t="shared" si="3487"/>
        <v>43300000</v>
      </c>
      <c r="K1163" s="17">
        <f t="shared" ref="K1163:M1163" si="3488">roundup((XLOOKUP($D1163,$T$3:$T$10,$U$3:$U$10)*XLOOKUP(K$2,$AA$3:$AA$5,$AD$3:$AD$5)-ABS(XLOOKUP($C1163,$Q$3:$Q$16,$R$3:$R$16)))*$B1163,-5)</f>
        <v>19100000</v>
      </c>
      <c r="L1163" s="17">
        <f t="shared" si="3488"/>
        <v>44900000</v>
      </c>
      <c r="M1163" s="17">
        <f t="shared" si="3488"/>
        <v>48500000</v>
      </c>
    </row>
    <row r="1164">
      <c r="A1164" s="14" t="s">
        <v>1207</v>
      </c>
      <c r="B1164" s="14">
        <v>87.0</v>
      </c>
      <c r="C1164" s="15">
        <f t="shared" si="4"/>
        <v>11</v>
      </c>
      <c r="D1164" s="14" t="s">
        <v>36</v>
      </c>
      <c r="E1164" s="16">
        <f t="shared" ref="E1164:G1164" si="3489">ROUNDUP((XLOOKUP($D1164,$T$3:$T$10,$U$3:$U$10)*XLOOKUP(E$2,$AA$3:$AA$5,$AB$3:$AB$5)-ABS(XLOOKUP($C1164,$Q$3:$Q$16,$R$3:$R$16)))*$B1164,-5)</f>
        <v>22900000</v>
      </c>
      <c r="F1164" s="16">
        <f t="shared" si="3489"/>
        <v>39200000</v>
      </c>
      <c r="G1164" s="16">
        <f t="shared" si="3489"/>
        <v>42600000</v>
      </c>
      <c r="H1164" s="17">
        <f t="shared" ref="H1164:J1164" si="3490">roundup((XLOOKUP($D1164,$T$3:$T$10,$U$3:$U$10)*XLOOKUP(H$2,$AA$3:$AA$5,$AC$3:$AC$5)-ABS(XLOOKUP($C1164,$Q$3:$Q$16,$R$3:$R$16)))*$B1164,-5)</f>
        <v>19100000</v>
      </c>
      <c r="I1164" s="17">
        <f t="shared" si="3490"/>
        <v>48200000</v>
      </c>
      <c r="J1164" s="17">
        <f t="shared" si="3490"/>
        <v>52100000</v>
      </c>
      <c r="K1164" s="17">
        <f t="shared" ref="K1164:M1164" si="3491">roundup((XLOOKUP($D1164,$T$3:$T$10,$U$3:$U$10)*XLOOKUP(K$2,$AA$3:$AA$5,$AD$3:$AD$5)-ABS(XLOOKUP($C1164,$Q$3:$Q$16,$R$3:$R$16)))*$B1164,-5)</f>
        <v>22400000</v>
      </c>
      <c r="L1164" s="17">
        <f t="shared" si="3491"/>
        <v>54200000</v>
      </c>
      <c r="M1164" s="17">
        <f t="shared" si="3491"/>
        <v>58600000</v>
      </c>
    </row>
    <row r="1165">
      <c r="A1165" s="14" t="s">
        <v>1208</v>
      </c>
      <c r="B1165" s="14">
        <v>64.0</v>
      </c>
      <c r="C1165" s="15">
        <f t="shared" si="4"/>
        <v>9</v>
      </c>
      <c r="D1165" s="14" t="s">
        <v>36</v>
      </c>
      <c r="E1165" s="16">
        <f t="shared" ref="E1165:G1165" si="3492">ROUNDUP((XLOOKUP($D1165,$T$3:$T$10,$U$3:$U$10)*XLOOKUP(E$2,$AA$3:$AA$5,$AB$3:$AB$5)-ABS(XLOOKUP($C1165,$Q$3:$Q$16,$R$3:$R$16)))*$B1165,-5)</f>
        <v>22700000</v>
      </c>
      <c r="F1165" s="16">
        <f t="shared" si="3492"/>
        <v>34700000</v>
      </c>
      <c r="G1165" s="16">
        <f t="shared" si="3492"/>
        <v>37200000</v>
      </c>
      <c r="H1165" s="17">
        <f t="shared" ref="H1165:J1165" si="3493">roundup((XLOOKUP($D1165,$T$3:$T$10,$U$3:$U$10)*XLOOKUP(H$2,$AA$3:$AA$5,$AC$3:$AC$5)-ABS(XLOOKUP($C1165,$Q$3:$Q$16,$R$3:$R$16)))*$B1165,-5)</f>
        <v>19900000</v>
      </c>
      <c r="I1165" s="17">
        <f t="shared" si="3493"/>
        <v>41300000</v>
      </c>
      <c r="J1165" s="17">
        <f t="shared" si="3493"/>
        <v>44200000</v>
      </c>
      <c r="K1165" s="17">
        <f t="shared" ref="K1165:M1165" si="3494">roundup((XLOOKUP($D1165,$T$3:$T$10,$U$3:$U$10)*XLOOKUP(K$2,$AA$3:$AA$5,$AD$3:$AD$5)-ABS(XLOOKUP($C1165,$Q$3:$Q$16,$R$3:$R$16)))*$B1165,-5)</f>
        <v>22300000</v>
      </c>
      <c r="L1165" s="17">
        <f t="shared" si="3494"/>
        <v>45700000</v>
      </c>
      <c r="M1165" s="17">
        <f t="shared" si="3494"/>
        <v>48900000</v>
      </c>
    </row>
    <row r="1166">
      <c r="A1166" s="14" t="s">
        <v>1209</v>
      </c>
      <c r="B1166" s="14">
        <v>83.0</v>
      </c>
      <c r="C1166" s="15">
        <f t="shared" si="4"/>
        <v>11</v>
      </c>
      <c r="D1166" s="14" t="s">
        <v>33</v>
      </c>
      <c r="E1166" s="16">
        <f t="shared" ref="E1166:G1166" si="3495">ROUNDUP((XLOOKUP($D1166,$T$3:$T$10,$U$3:$U$10)*XLOOKUP(E$2,$AA$3:$AA$5,$AB$3:$AB$5)-ABS(XLOOKUP($C1166,$Q$3:$Q$16,$R$3:$R$16)))*$B1166,-5)</f>
        <v>18000000</v>
      </c>
      <c r="F1166" s="16">
        <f t="shared" si="3495"/>
        <v>32000000</v>
      </c>
      <c r="G1166" s="16">
        <f t="shared" si="3495"/>
        <v>34900000</v>
      </c>
      <c r="H1166" s="17">
        <f t="shared" ref="H1166:J1166" si="3496">roundup((XLOOKUP($D1166,$T$3:$T$10,$U$3:$U$10)*XLOOKUP(H$2,$AA$3:$AA$5,$AC$3:$AC$5)-ABS(XLOOKUP($C1166,$Q$3:$Q$16,$R$3:$R$16)))*$B1166,-5)</f>
        <v>14900000</v>
      </c>
      <c r="I1166" s="17">
        <f t="shared" si="3496"/>
        <v>39600000</v>
      </c>
      <c r="J1166" s="17">
        <f t="shared" si="3496"/>
        <v>42900000</v>
      </c>
      <c r="K1166" s="17">
        <f t="shared" ref="K1166:M1166" si="3497">roundup((XLOOKUP($D1166,$T$3:$T$10,$U$3:$U$10)*XLOOKUP(K$2,$AA$3:$AA$5,$AD$3:$AD$5)-ABS(XLOOKUP($C1166,$Q$3:$Q$16,$R$3:$R$16)))*$B1166,-5)</f>
        <v>17600000</v>
      </c>
      <c r="L1166" s="17">
        <f t="shared" si="3497"/>
        <v>44700000</v>
      </c>
      <c r="M1166" s="17">
        <f t="shared" si="3497"/>
        <v>48400000</v>
      </c>
    </row>
    <row r="1167">
      <c r="A1167" s="14" t="s">
        <v>1210</v>
      </c>
      <c r="B1167" s="14">
        <v>112.0</v>
      </c>
      <c r="C1167" s="15">
        <f t="shared" si="4"/>
        <v>11</v>
      </c>
      <c r="D1167" s="14" t="s">
        <v>36</v>
      </c>
      <c r="E1167" s="16">
        <f t="shared" ref="E1167:G1167" si="3498">ROUNDUP((XLOOKUP($D1167,$T$3:$T$10,$U$3:$U$10)*XLOOKUP(E$2,$AA$3:$AA$5,$AB$3:$AB$5)-ABS(XLOOKUP($C1167,$Q$3:$Q$16,$R$3:$R$16)))*$B1167,-5)</f>
        <v>29400000</v>
      </c>
      <c r="F1167" s="16">
        <f t="shared" si="3498"/>
        <v>50500000</v>
      </c>
      <c r="G1167" s="16">
        <f t="shared" si="3498"/>
        <v>54900000</v>
      </c>
      <c r="H1167" s="17">
        <f t="shared" ref="H1167:J1167" si="3499">roundup((XLOOKUP($D1167,$T$3:$T$10,$U$3:$U$10)*XLOOKUP(H$2,$AA$3:$AA$5,$AC$3:$AC$5)-ABS(XLOOKUP($C1167,$Q$3:$Q$16,$R$3:$R$16)))*$B1167,-5)</f>
        <v>24600000</v>
      </c>
      <c r="I1167" s="17">
        <f t="shared" si="3499"/>
        <v>62000000</v>
      </c>
      <c r="J1167" s="17">
        <f t="shared" si="3499"/>
        <v>67100000</v>
      </c>
      <c r="K1167" s="17">
        <f t="shared" ref="K1167:M1167" si="3500">roundup((XLOOKUP($D1167,$T$3:$T$10,$U$3:$U$10)*XLOOKUP(K$2,$AA$3:$AA$5,$AD$3:$AD$5)-ABS(XLOOKUP($C1167,$Q$3:$Q$16,$R$3:$R$16)))*$B1167,-5)</f>
        <v>28800000</v>
      </c>
      <c r="L1167" s="17">
        <f t="shared" si="3500"/>
        <v>69800000</v>
      </c>
      <c r="M1167" s="17">
        <f t="shared" si="3500"/>
        <v>75400000</v>
      </c>
    </row>
    <row r="1168">
      <c r="A1168" s="14" t="s">
        <v>1211</v>
      </c>
      <c r="B1168" s="14">
        <v>47.0</v>
      </c>
      <c r="C1168" s="15">
        <f t="shared" si="4"/>
        <v>6</v>
      </c>
      <c r="D1168" s="14" t="s">
        <v>36</v>
      </c>
      <c r="E1168" s="16">
        <f t="shared" ref="E1168:G1168" si="3501">ROUNDUP((XLOOKUP($D1168,$T$3:$T$10,$U$3:$U$10)*XLOOKUP(E$2,$AA$3:$AA$5,$AB$3:$AB$5)-ABS(XLOOKUP($C1168,$Q$3:$Q$16,$R$3:$R$16)))*$B1168,-5)</f>
        <v>17800000</v>
      </c>
      <c r="F1168" s="16">
        <f t="shared" si="3501"/>
        <v>26600000</v>
      </c>
      <c r="G1168" s="16">
        <f t="shared" si="3501"/>
        <v>28500000</v>
      </c>
      <c r="H1168" s="17">
        <f t="shared" ref="H1168:J1168" si="3502">roundup((XLOOKUP($D1168,$T$3:$T$10,$U$3:$U$10)*XLOOKUP(H$2,$AA$3:$AA$5,$AC$3:$AC$5)-ABS(XLOOKUP($C1168,$Q$3:$Q$16,$R$3:$R$16)))*$B1168,-5)</f>
        <v>15800000</v>
      </c>
      <c r="I1168" s="17">
        <f t="shared" si="3502"/>
        <v>31500000</v>
      </c>
      <c r="J1168" s="17">
        <f t="shared" si="3502"/>
        <v>33600000</v>
      </c>
      <c r="K1168" s="17">
        <f t="shared" ref="K1168:M1168" si="3503">roundup((XLOOKUP($D1168,$T$3:$T$10,$U$3:$U$10)*XLOOKUP(K$2,$AA$3:$AA$5,$AD$3:$AD$5)-ABS(XLOOKUP($C1168,$Q$3:$Q$16,$R$3:$R$16)))*$B1168,-5)</f>
        <v>17500000</v>
      </c>
      <c r="L1168" s="17">
        <f t="shared" si="3503"/>
        <v>34700000</v>
      </c>
      <c r="M1168" s="17">
        <f t="shared" si="3503"/>
        <v>37100000</v>
      </c>
    </row>
    <row r="1169">
      <c r="A1169" s="14" t="s">
        <v>1212</v>
      </c>
      <c r="B1169" s="14">
        <v>71.0</v>
      </c>
      <c r="C1169" s="15">
        <f t="shared" si="4"/>
        <v>9</v>
      </c>
      <c r="D1169" s="14" t="s">
        <v>36</v>
      </c>
      <c r="E1169" s="16">
        <f t="shared" ref="E1169:G1169" si="3504">ROUNDUP((XLOOKUP($D1169,$T$3:$T$10,$U$3:$U$10)*XLOOKUP(E$2,$AA$3:$AA$5,$AB$3:$AB$5)-ABS(XLOOKUP($C1169,$Q$3:$Q$16,$R$3:$R$16)))*$B1169,-5)</f>
        <v>25100000</v>
      </c>
      <c r="F1169" s="16">
        <f t="shared" si="3504"/>
        <v>38500000</v>
      </c>
      <c r="G1169" s="16">
        <f t="shared" si="3504"/>
        <v>41300000</v>
      </c>
      <c r="H1169" s="17">
        <f t="shared" ref="H1169:J1169" si="3505">roundup((XLOOKUP($D1169,$T$3:$T$10,$U$3:$U$10)*XLOOKUP(H$2,$AA$3:$AA$5,$AC$3:$AC$5)-ABS(XLOOKUP($C1169,$Q$3:$Q$16,$R$3:$R$16)))*$B1169,-5)</f>
        <v>22100000</v>
      </c>
      <c r="I1169" s="17">
        <f t="shared" si="3505"/>
        <v>45800000</v>
      </c>
      <c r="J1169" s="17">
        <f t="shared" si="3505"/>
        <v>49000000</v>
      </c>
      <c r="K1169" s="17">
        <f t="shared" ref="K1169:M1169" si="3506">roundup((XLOOKUP($D1169,$T$3:$T$10,$U$3:$U$10)*XLOOKUP(K$2,$AA$3:$AA$5,$AD$3:$AD$5)-ABS(XLOOKUP($C1169,$Q$3:$Q$16,$R$3:$R$16)))*$B1169,-5)</f>
        <v>24700000</v>
      </c>
      <c r="L1169" s="17">
        <f t="shared" si="3506"/>
        <v>50700000</v>
      </c>
      <c r="M1169" s="17">
        <f t="shared" si="3506"/>
        <v>54300000</v>
      </c>
    </row>
    <row r="1170">
      <c r="A1170" s="14" t="s">
        <v>1213</v>
      </c>
      <c r="B1170" s="14">
        <v>95.0</v>
      </c>
      <c r="C1170" s="15">
        <f t="shared" si="4"/>
        <v>11</v>
      </c>
      <c r="D1170" s="14" t="s">
        <v>36</v>
      </c>
      <c r="E1170" s="16">
        <f t="shared" ref="E1170:G1170" si="3507">ROUNDUP((XLOOKUP($D1170,$T$3:$T$10,$U$3:$U$10)*XLOOKUP(E$2,$AA$3:$AA$5,$AB$3:$AB$5)-ABS(XLOOKUP($C1170,$Q$3:$Q$16,$R$3:$R$16)))*$B1170,-5)</f>
        <v>25000000</v>
      </c>
      <c r="F1170" s="16">
        <f t="shared" si="3507"/>
        <v>42900000</v>
      </c>
      <c r="G1170" s="16">
        <f t="shared" si="3507"/>
        <v>46600000</v>
      </c>
      <c r="H1170" s="17">
        <f t="shared" ref="H1170:J1170" si="3508">roundup((XLOOKUP($D1170,$T$3:$T$10,$U$3:$U$10)*XLOOKUP(H$2,$AA$3:$AA$5,$AC$3:$AC$5)-ABS(XLOOKUP($C1170,$Q$3:$Q$16,$R$3:$R$16)))*$B1170,-5)</f>
        <v>20900000</v>
      </c>
      <c r="I1170" s="17">
        <f t="shared" si="3508"/>
        <v>52600000</v>
      </c>
      <c r="J1170" s="17">
        <f t="shared" si="3508"/>
        <v>56900000</v>
      </c>
      <c r="K1170" s="17">
        <f t="shared" ref="K1170:M1170" si="3509">roundup((XLOOKUP($D1170,$T$3:$T$10,$U$3:$U$10)*XLOOKUP(K$2,$AA$3:$AA$5,$AD$3:$AD$5)-ABS(XLOOKUP($C1170,$Q$3:$Q$16,$R$3:$R$16)))*$B1170,-5)</f>
        <v>24400000</v>
      </c>
      <c r="L1170" s="17">
        <f t="shared" si="3509"/>
        <v>59200000</v>
      </c>
      <c r="M1170" s="17">
        <f t="shared" si="3509"/>
        <v>64000000</v>
      </c>
    </row>
    <row r="1171">
      <c r="A1171" s="14" t="s">
        <v>1214</v>
      </c>
      <c r="B1171" s="14">
        <v>93.0</v>
      </c>
      <c r="C1171" s="15">
        <f t="shared" si="4"/>
        <v>11</v>
      </c>
      <c r="D1171" s="14" t="s">
        <v>33</v>
      </c>
      <c r="E1171" s="16">
        <f t="shared" ref="E1171:G1171" si="3510">ROUNDUP((XLOOKUP($D1171,$T$3:$T$10,$U$3:$U$10)*XLOOKUP(E$2,$AA$3:$AA$5,$AB$3:$AB$5)-ABS(XLOOKUP($C1171,$Q$3:$Q$16,$R$3:$R$16)))*$B1171,-5)</f>
        <v>20200000</v>
      </c>
      <c r="F1171" s="16">
        <f t="shared" si="3510"/>
        <v>35800000</v>
      </c>
      <c r="G1171" s="16">
        <f t="shared" si="3510"/>
        <v>39100000</v>
      </c>
      <c r="H1171" s="17">
        <f t="shared" ref="H1171:J1171" si="3511">roundup((XLOOKUP($D1171,$T$3:$T$10,$U$3:$U$10)*XLOOKUP(H$2,$AA$3:$AA$5,$AC$3:$AC$5)-ABS(XLOOKUP($C1171,$Q$3:$Q$16,$R$3:$R$16)))*$B1171,-5)</f>
        <v>16600000</v>
      </c>
      <c r="I1171" s="17">
        <f t="shared" si="3511"/>
        <v>44300000</v>
      </c>
      <c r="J1171" s="17">
        <f t="shared" si="3511"/>
        <v>48100000</v>
      </c>
      <c r="K1171" s="17">
        <f t="shared" ref="K1171:M1171" si="3512">roundup((XLOOKUP($D1171,$T$3:$T$10,$U$3:$U$10)*XLOOKUP(K$2,$AA$3:$AA$5,$AD$3:$AD$5)-ABS(XLOOKUP($C1171,$Q$3:$Q$16,$R$3:$R$16)))*$B1171,-5)</f>
        <v>19700000</v>
      </c>
      <c r="L1171" s="17">
        <f t="shared" si="3512"/>
        <v>50100000</v>
      </c>
      <c r="M1171" s="17">
        <f t="shared" si="3512"/>
        <v>54300000</v>
      </c>
    </row>
    <row r="1172">
      <c r="A1172" s="14" t="s">
        <v>1215</v>
      </c>
      <c r="B1172" s="14">
        <v>81.0</v>
      </c>
      <c r="C1172" s="15">
        <f t="shared" si="4"/>
        <v>11</v>
      </c>
      <c r="D1172" s="14" t="s">
        <v>33</v>
      </c>
      <c r="E1172" s="16">
        <f t="shared" ref="E1172:G1172" si="3513">ROUNDUP((XLOOKUP($D1172,$T$3:$T$10,$U$3:$U$10)*XLOOKUP(E$2,$AA$3:$AA$5,$AB$3:$AB$5)-ABS(XLOOKUP($C1172,$Q$3:$Q$16,$R$3:$R$16)))*$B1172,-5)</f>
        <v>17600000</v>
      </c>
      <c r="F1172" s="16">
        <f t="shared" si="3513"/>
        <v>31200000</v>
      </c>
      <c r="G1172" s="16">
        <f t="shared" si="3513"/>
        <v>34000000</v>
      </c>
      <c r="H1172" s="17">
        <f t="shared" ref="H1172:J1172" si="3514">roundup((XLOOKUP($D1172,$T$3:$T$10,$U$3:$U$10)*XLOOKUP(H$2,$AA$3:$AA$5,$AC$3:$AC$5)-ABS(XLOOKUP($C1172,$Q$3:$Q$16,$R$3:$R$16)))*$B1172,-5)</f>
        <v>14500000</v>
      </c>
      <c r="I1172" s="17">
        <f t="shared" si="3514"/>
        <v>38600000</v>
      </c>
      <c r="J1172" s="17">
        <f t="shared" si="3514"/>
        <v>41900000</v>
      </c>
      <c r="K1172" s="17">
        <f t="shared" ref="K1172:M1172" si="3515">roundup((XLOOKUP($D1172,$T$3:$T$10,$U$3:$U$10)*XLOOKUP(K$2,$AA$3:$AA$5,$AD$3:$AD$5)-ABS(XLOOKUP($C1172,$Q$3:$Q$16,$R$3:$R$16)))*$B1172,-5)</f>
        <v>17200000</v>
      </c>
      <c r="L1172" s="17">
        <f t="shared" si="3515"/>
        <v>43700000</v>
      </c>
      <c r="M1172" s="17">
        <f t="shared" si="3515"/>
        <v>47300000</v>
      </c>
    </row>
    <row r="1173">
      <c r="A1173" s="14" t="s">
        <v>1216</v>
      </c>
      <c r="B1173" s="14">
        <v>79.0</v>
      </c>
      <c r="C1173" s="15">
        <f t="shared" si="4"/>
        <v>10</v>
      </c>
      <c r="D1173" s="14" t="s">
        <v>36</v>
      </c>
      <c r="E1173" s="16">
        <f t="shared" ref="E1173:G1173" si="3516">ROUNDUP((XLOOKUP($D1173,$T$3:$T$10,$U$3:$U$10)*XLOOKUP(E$2,$AA$3:$AA$5,$AB$3:$AB$5)-ABS(XLOOKUP($C1173,$Q$3:$Q$16,$R$3:$R$16)))*$B1173,-5)</f>
        <v>23100000</v>
      </c>
      <c r="F1173" s="16">
        <f t="shared" si="3516"/>
        <v>38000000</v>
      </c>
      <c r="G1173" s="16">
        <f t="shared" si="3516"/>
        <v>41100000</v>
      </c>
      <c r="H1173" s="17">
        <f t="shared" ref="H1173:J1173" si="3517">roundup((XLOOKUP($D1173,$T$3:$T$10,$U$3:$U$10)*XLOOKUP(H$2,$AA$3:$AA$5,$AC$3:$AC$5)-ABS(XLOOKUP($C1173,$Q$3:$Q$16,$R$3:$R$16)))*$B1173,-5)</f>
        <v>19700000</v>
      </c>
      <c r="I1173" s="17">
        <f t="shared" si="3517"/>
        <v>46100000</v>
      </c>
      <c r="J1173" s="17">
        <f t="shared" si="3517"/>
        <v>49700000</v>
      </c>
      <c r="K1173" s="17">
        <f t="shared" ref="K1173:M1173" si="3518">roundup((XLOOKUP($D1173,$T$3:$T$10,$U$3:$U$10)*XLOOKUP(K$2,$AA$3:$AA$5,$AD$3:$AD$5)-ABS(XLOOKUP($C1173,$Q$3:$Q$16,$R$3:$R$16)))*$B1173,-5)</f>
        <v>22700000</v>
      </c>
      <c r="L1173" s="17">
        <f t="shared" si="3518"/>
        <v>51600000</v>
      </c>
      <c r="M1173" s="17">
        <f t="shared" si="3518"/>
        <v>55600000</v>
      </c>
    </row>
    <row r="1174">
      <c r="A1174" s="14" t="s">
        <v>1217</v>
      </c>
      <c r="B1174" s="14">
        <v>171.0</v>
      </c>
      <c r="C1174" s="15">
        <f t="shared" si="4"/>
        <v>12</v>
      </c>
      <c r="D1174" s="14" t="s">
        <v>33</v>
      </c>
      <c r="E1174" s="16">
        <f t="shared" ref="E1174:G1174" si="3519">ROUNDUP((XLOOKUP($D1174,$T$3:$T$10,$U$3:$U$10)*XLOOKUP(E$2,$AA$3:$AA$5,$AB$3:$AB$5)-ABS(XLOOKUP($C1174,$Q$3:$Q$16,$R$3:$R$16)))*$B1174,-5)</f>
        <v>36200000</v>
      </c>
      <c r="F1174" s="16">
        <f t="shared" si="3519"/>
        <v>65000000</v>
      </c>
      <c r="G1174" s="16">
        <f t="shared" si="3519"/>
        <v>70900000</v>
      </c>
      <c r="H1174" s="17">
        <f t="shared" ref="H1174:J1174" si="3520">roundup((XLOOKUP($D1174,$T$3:$T$10,$U$3:$U$10)*XLOOKUP(H$2,$AA$3:$AA$5,$AC$3:$AC$5)-ABS(XLOOKUP($C1174,$Q$3:$Q$16,$R$3:$R$16)))*$B1174,-5)</f>
        <v>29700000</v>
      </c>
      <c r="I1174" s="17">
        <f t="shared" si="3520"/>
        <v>80600000</v>
      </c>
      <c r="J1174" s="17">
        <f t="shared" si="3520"/>
        <v>87600000</v>
      </c>
      <c r="K1174" s="17">
        <f t="shared" ref="K1174:M1174" si="3521">roundup((XLOOKUP($D1174,$T$3:$T$10,$U$3:$U$10)*XLOOKUP(K$2,$AA$3:$AA$5,$AD$3:$AD$5)-ABS(XLOOKUP($C1174,$Q$3:$Q$16,$R$3:$R$16)))*$B1174,-5)</f>
        <v>35400000</v>
      </c>
      <c r="L1174" s="17">
        <f t="shared" si="3521"/>
        <v>91200000</v>
      </c>
      <c r="M1174" s="17">
        <f t="shared" si="3521"/>
        <v>98900000</v>
      </c>
    </row>
    <row r="1175">
      <c r="A1175" s="14" t="s">
        <v>1218</v>
      </c>
      <c r="B1175" s="14">
        <v>140.0</v>
      </c>
      <c r="C1175" s="15">
        <f t="shared" si="4"/>
        <v>11</v>
      </c>
      <c r="D1175" s="14" t="s">
        <v>33</v>
      </c>
      <c r="E1175" s="16">
        <f t="shared" ref="E1175:G1175" si="3522">ROUNDUP((XLOOKUP($D1175,$T$3:$T$10,$U$3:$U$10)*XLOOKUP(E$2,$AA$3:$AA$5,$AB$3:$AB$5)-ABS(XLOOKUP($C1175,$Q$3:$Q$16,$R$3:$R$16)))*$B1175,-5)</f>
        <v>30400000</v>
      </c>
      <c r="F1175" s="16">
        <f t="shared" si="3522"/>
        <v>53900000</v>
      </c>
      <c r="G1175" s="16">
        <f t="shared" si="3522"/>
        <v>58800000</v>
      </c>
      <c r="H1175" s="17">
        <f t="shared" ref="H1175:J1175" si="3523">roundup((XLOOKUP($D1175,$T$3:$T$10,$U$3:$U$10)*XLOOKUP(H$2,$AA$3:$AA$5,$AC$3:$AC$5)-ABS(XLOOKUP($C1175,$Q$3:$Q$16,$R$3:$R$16)))*$B1175,-5)</f>
        <v>25000000</v>
      </c>
      <c r="I1175" s="17">
        <f t="shared" si="3523"/>
        <v>66700000</v>
      </c>
      <c r="J1175" s="17">
        <f t="shared" si="3523"/>
        <v>72400000</v>
      </c>
      <c r="K1175" s="17">
        <f t="shared" ref="K1175:M1175" si="3524">roundup((XLOOKUP($D1175,$T$3:$T$10,$U$3:$U$10)*XLOOKUP(K$2,$AA$3:$AA$5,$AD$3:$AD$5)-ABS(XLOOKUP($C1175,$Q$3:$Q$16,$R$3:$R$16)))*$B1175,-5)</f>
        <v>29700000</v>
      </c>
      <c r="L1175" s="17">
        <f t="shared" si="3524"/>
        <v>75400000</v>
      </c>
      <c r="M1175" s="17">
        <f t="shared" si="3524"/>
        <v>81700000</v>
      </c>
    </row>
    <row r="1176">
      <c r="A1176" s="14" t="s">
        <v>1219</v>
      </c>
      <c r="B1176" s="14">
        <v>62.0</v>
      </c>
      <c r="C1176" s="15">
        <f t="shared" si="4"/>
        <v>9</v>
      </c>
      <c r="D1176" s="14" t="s">
        <v>36</v>
      </c>
      <c r="E1176" s="16">
        <f t="shared" ref="E1176:G1176" si="3525">ROUNDUP((XLOOKUP($D1176,$T$3:$T$10,$U$3:$U$10)*XLOOKUP(E$2,$AA$3:$AA$5,$AB$3:$AB$5)-ABS(XLOOKUP($C1176,$Q$3:$Q$16,$R$3:$R$16)))*$B1176,-5)</f>
        <v>21900000</v>
      </c>
      <c r="F1176" s="16">
        <f t="shared" si="3525"/>
        <v>33600000</v>
      </c>
      <c r="G1176" s="16">
        <f t="shared" si="3525"/>
        <v>36000000</v>
      </c>
      <c r="H1176" s="17">
        <f t="shared" ref="H1176:J1176" si="3526">roundup((XLOOKUP($D1176,$T$3:$T$10,$U$3:$U$10)*XLOOKUP(H$2,$AA$3:$AA$5,$AC$3:$AC$5)-ABS(XLOOKUP($C1176,$Q$3:$Q$16,$R$3:$R$16)))*$B1176,-5)</f>
        <v>19300000</v>
      </c>
      <c r="I1176" s="17">
        <f t="shared" si="3526"/>
        <v>40000000</v>
      </c>
      <c r="J1176" s="17">
        <f t="shared" si="3526"/>
        <v>42800000</v>
      </c>
      <c r="K1176" s="17">
        <f t="shared" ref="K1176:M1176" si="3527">roundup((XLOOKUP($D1176,$T$3:$T$10,$U$3:$U$10)*XLOOKUP(K$2,$AA$3:$AA$5,$AD$3:$AD$5)-ABS(XLOOKUP($C1176,$Q$3:$Q$16,$R$3:$R$16)))*$B1176,-5)</f>
        <v>21600000</v>
      </c>
      <c r="L1176" s="17">
        <f t="shared" si="3527"/>
        <v>44300000</v>
      </c>
      <c r="M1176" s="17">
        <f t="shared" si="3527"/>
        <v>47400000</v>
      </c>
    </row>
    <row r="1177">
      <c r="A1177" s="14" t="s">
        <v>1220</v>
      </c>
      <c r="B1177" s="14">
        <v>117.0</v>
      </c>
      <c r="C1177" s="15">
        <f t="shared" si="4"/>
        <v>11</v>
      </c>
      <c r="D1177" s="14" t="s">
        <v>36</v>
      </c>
      <c r="E1177" s="16">
        <f t="shared" ref="E1177:G1177" si="3528">ROUNDUP((XLOOKUP($D1177,$T$3:$T$10,$U$3:$U$10)*XLOOKUP(E$2,$AA$3:$AA$5,$AB$3:$AB$5)-ABS(XLOOKUP($C1177,$Q$3:$Q$16,$R$3:$R$16)))*$B1177,-5)</f>
        <v>30700000</v>
      </c>
      <c r="F1177" s="16">
        <f t="shared" si="3528"/>
        <v>52800000</v>
      </c>
      <c r="G1177" s="16">
        <f t="shared" si="3528"/>
        <v>57300000</v>
      </c>
      <c r="H1177" s="17">
        <f t="shared" ref="H1177:J1177" si="3529">roundup((XLOOKUP($D1177,$T$3:$T$10,$U$3:$U$10)*XLOOKUP(H$2,$AA$3:$AA$5,$AC$3:$AC$5)-ABS(XLOOKUP($C1177,$Q$3:$Q$16,$R$3:$R$16)))*$B1177,-5)</f>
        <v>25700000</v>
      </c>
      <c r="I1177" s="17">
        <f t="shared" si="3529"/>
        <v>64800000</v>
      </c>
      <c r="J1177" s="17">
        <f t="shared" si="3529"/>
        <v>70100000</v>
      </c>
      <c r="K1177" s="17">
        <f t="shared" ref="K1177:M1177" si="3530">roundup((XLOOKUP($D1177,$T$3:$T$10,$U$3:$U$10)*XLOOKUP(K$2,$AA$3:$AA$5,$AD$3:$AD$5)-ABS(XLOOKUP($C1177,$Q$3:$Q$16,$R$3:$R$16)))*$B1177,-5)</f>
        <v>30000000</v>
      </c>
      <c r="L1177" s="17">
        <f t="shared" si="3530"/>
        <v>72900000</v>
      </c>
      <c r="M1177" s="17">
        <f t="shared" si="3530"/>
        <v>78800000</v>
      </c>
    </row>
    <row r="1178">
      <c r="A1178" s="14" t="s">
        <v>1221</v>
      </c>
      <c r="B1178" s="14">
        <v>65.0</v>
      </c>
      <c r="C1178" s="15">
        <f t="shared" si="4"/>
        <v>9</v>
      </c>
      <c r="D1178" s="14" t="s">
        <v>36</v>
      </c>
      <c r="E1178" s="16">
        <f t="shared" ref="E1178:G1178" si="3531">ROUNDUP((XLOOKUP($D1178,$T$3:$T$10,$U$3:$U$10)*XLOOKUP(E$2,$AA$3:$AA$5,$AB$3:$AB$5)-ABS(XLOOKUP($C1178,$Q$3:$Q$16,$R$3:$R$16)))*$B1178,-5)</f>
        <v>23000000</v>
      </c>
      <c r="F1178" s="16">
        <f t="shared" si="3531"/>
        <v>35200000</v>
      </c>
      <c r="G1178" s="16">
        <f t="shared" si="3531"/>
        <v>37800000</v>
      </c>
      <c r="H1178" s="17">
        <f t="shared" ref="H1178:J1178" si="3532">roundup((XLOOKUP($D1178,$T$3:$T$10,$U$3:$U$10)*XLOOKUP(H$2,$AA$3:$AA$5,$AC$3:$AC$5)-ABS(XLOOKUP($C1178,$Q$3:$Q$16,$R$3:$R$16)))*$B1178,-5)</f>
        <v>20200000</v>
      </c>
      <c r="I1178" s="17">
        <f t="shared" si="3532"/>
        <v>41900000</v>
      </c>
      <c r="J1178" s="17">
        <f t="shared" si="3532"/>
        <v>44900000</v>
      </c>
      <c r="K1178" s="17">
        <f t="shared" ref="K1178:M1178" si="3533">roundup((XLOOKUP($D1178,$T$3:$T$10,$U$3:$U$10)*XLOOKUP(K$2,$AA$3:$AA$5,$AD$3:$AD$5)-ABS(XLOOKUP($C1178,$Q$3:$Q$16,$R$3:$R$16)))*$B1178,-5)</f>
        <v>22600000</v>
      </c>
      <c r="L1178" s="17">
        <f t="shared" si="3533"/>
        <v>46400000</v>
      </c>
      <c r="M1178" s="17">
        <f t="shared" si="3533"/>
        <v>49700000</v>
      </c>
    </row>
    <row r="1179">
      <c r="A1179" s="14" t="s">
        <v>1222</v>
      </c>
      <c r="B1179" s="14">
        <v>65.0</v>
      </c>
      <c r="C1179" s="15">
        <f t="shared" si="4"/>
        <v>9</v>
      </c>
      <c r="D1179" s="14" t="s">
        <v>36</v>
      </c>
      <c r="E1179" s="16">
        <f t="shared" ref="E1179:G1179" si="3534">ROUNDUP((XLOOKUP($D1179,$T$3:$T$10,$U$3:$U$10)*XLOOKUP(E$2,$AA$3:$AA$5,$AB$3:$AB$5)-ABS(XLOOKUP($C1179,$Q$3:$Q$16,$R$3:$R$16)))*$B1179,-5)</f>
        <v>23000000</v>
      </c>
      <c r="F1179" s="16">
        <f t="shared" si="3534"/>
        <v>35200000</v>
      </c>
      <c r="G1179" s="16">
        <f t="shared" si="3534"/>
        <v>37800000</v>
      </c>
      <c r="H1179" s="17">
        <f t="shared" ref="H1179:J1179" si="3535">roundup((XLOOKUP($D1179,$T$3:$T$10,$U$3:$U$10)*XLOOKUP(H$2,$AA$3:$AA$5,$AC$3:$AC$5)-ABS(XLOOKUP($C1179,$Q$3:$Q$16,$R$3:$R$16)))*$B1179,-5)</f>
        <v>20200000</v>
      </c>
      <c r="I1179" s="17">
        <f t="shared" si="3535"/>
        <v>41900000</v>
      </c>
      <c r="J1179" s="17">
        <f t="shared" si="3535"/>
        <v>44900000</v>
      </c>
      <c r="K1179" s="17">
        <f t="shared" ref="K1179:M1179" si="3536">roundup((XLOOKUP($D1179,$T$3:$T$10,$U$3:$U$10)*XLOOKUP(K$2,$AA$3:$AA$5,$AD$3:$AD$5)-ABS(XLOOKUP($C1179,$Q$3:$Q$16,$R$3:$R$16)))*$B1179,-5)</f>
        <v>22600000</v>
      </c>
      <c r="L1179" s="17">
        <f t="shared" si="3536"/>
        <v>46400000</v>
      </c>
      <c r="M1179" s="17">
        <f t="shared" si="3536"/>
        <v>49700000</v>
      </c>
    </row>
    <row r="1180">
      <c r="A1180" s="14" t="s">
        <v>1223</v>
      </c>
      <c r="B1180" s="14">
        <v>120.0</v>
      </c>
      <c r="C1180" s="15">
        <f t="shared" si="4"/>
        <v>11</v>
      </c>
      <c r="D1180" s="14" t="s">
        <v>33</v>
      </c>
      <c r="E1180" s="16">
        <f t="shared" ref="E1180:G1180" si="3537">ROUNDUP((XLOOKUP($D1180,$T$3:$T$10,$U$3:$U$10)*XLOOKUP(E$2,$AA$3:$AA$5,$AB$3:$AB$5)-ABS(XLOOKUP($C1180,$Q$3:$Q$16,$R$3:$R$16)))*$B1180,-5)</f>
        <v>26100000</v>
      </c>
      <c r="F1180" s="16">
        <f t="shared" si="3537"/>
        <v>46200000</v>
      </c>
      <c r="G1180" s="16">
        <f t="shared" si="3537"/>
        <v>50400000</v>
      </c>
      <c r="H1180" s="17">
        <f t="shared" ref="H1180:J1180" si="3538">roundup((XLOOKUP($D1180,$T$3:$T$10,$U$3:$U$10)*XLOOKUP(H$2,$AA$3:$AA$5,$AC$3:$AC$5)-ABS(XLOOKUP($C1180,$Q$3:$Q$16,$R$3:$R$16)))*$B1180,-5)</f>
        <v>21500000</v>
      </c>
      <c r="I1180" s="17">
        <f t="shared" si="3538"/>
        <v>57200000</v>
      </c>
      <c r="J1180" s="17">
        <f t="shared" si="3538"/>
        <v>62100000</v>
      </c>
      <c r="K1180" s="17">
        <f t="shared" ref="K1180:M1180" si="3539">roundup((XLOOKUP($D1180,$T$3:$T$10,$U$3:$U$10)*XLOOKUP(K$2,$AA$3:$AA$5,$AD$3:$AD$5)-ABS(XLOOKUP($C1180,$Q$3:$Q$16,$R$3:$R$16)))*$B1180,-5)</f>
        <v>25400000</v>
      </c>
      <c r="L1180" s="17">
        <f t="shared" si="3539"/>
        <v>64600000</v>
      </c>
      <c r="M1180" s="17">
        <f t="shared" si="3539"/>
        <v>70000000</v>
      </c>
    </row>
    <row r="1181">
      <c r="A1181" s="14" t="s">
        <v>1224</v>
      </c>
      <c r="B1181" s="14">
        <v>70.0</v>
      </c>
      <c r="C1181" s="15">
        <f t="shared" si="4"/>
        <v>9</v>
      </c>
      <c r="D1181" s="14" t="s">
        <v>36</v>
      </c>
      <c r="E1181" s="16">
        <f t="shared" ref="E1181:G1181" si="3540">ROUNDUP((XLOOKUP($D1181,$T$3:$T$10,$U$3:$U$10)*XLOOKUP(E$2,$AA$3:$AA$5,$AB$3:$AB$5)-ABS(XLOOKUP($C1181,$Q$3:$Q$16,$R$3:$R$16)))*$B1181,-5)</f>
        <v>24800000</v>
      </c>
      <c r="F1181" s="16">
        <f t="shared" si="3540"/>
        <v>38000000</v>
      </c>
      <c r="G1181" s="16">
        <f t="shared" si="3540"/>
        <v>40700000</v>
      </c>
      <c r="H1181" s="17">
        <f t="shared" ref="H1181:J1181" si="3541">roundup((XLOOKUP($D1181,$T$3:$T$10,$U$3:$U$10)*XLOOKUP(H$2,$AA$3:$AA$5,$AC$3:$AC$5)-ABS(XLOOKUP($C1181,$Q$3:$Q$16,$R$3:$R$16)))*$B1181,-5)</f>
        <v>21800000</v>
      </c>
      <c r="I1181" s="17">
        <f t="shared" si="3541"/>
        <v>45100000</v>
      </c>
      <c r="J1181" s="17">
        <f t="shared" si="3541"/>
        <v>48300000</v>
      </c>
      <c r="K1181" s="17">
        <f t="shared" ref="K1181:M1181" si="3542">roundup((XLOOKUP($D1181,$T$3:$T$10,$U$3:$U$10)*XLOOKUP(K$2,$AA$3:$AA$5,$AD$3:$AD$5)-ABS(XLOOKUP($C1181,$Q$3:$Q$16,$R$3:$R$16)))*$B1181,-5)</f>
        <v>24400000</v>
      </c>
      <c r="L1181" s="17">
        <f t="shared" si="3542"/>
        <v>50000000</v>
      </c>
      <c r="M1181" s="17">
        <f t="shared" si="3542"/>
        <v>53500000</v>
      </c>
    </row>
    <row r="1182">
      <c r="A1182" s="14" t="s">
        <v>1225</v>
      </c>
      <c r="B1182" s="14">
        <v>47.0</v>
      </c>
      <c r="C1182" s="15">
        <f t="shared" si="4"/>
        <v>6</v>
      </c>
      <c r="D1182" s="14" t="s">
        <v>28</v>
      </c>
      <c r="E1182" s="16">
        <f t="shared" ref="E1182:G1182" si="3543">ROUNDUP((XLOOKUP($D1182,$T$3:$T$10,$U$3:$U$10)*XLOOKUP(E$2,$AA$3:$AA$5,$AB$3:$AB$5)-ABS(XLOOKUP($C1182,$Q$3:$Q$16,$R$3:$R$16)))*$B1182,-5)</f>
        <v>18400000</v>
      </c>
      <c r="F1182" s="16">
        <f t="shared" si="3543"/>
        <v>27500000</v>
      </c>
      <c r="G1182" s="16">
        <f t="shared" si="3543"/>
        <v>29400000</v>
      </c>
      <c r="H1182" s="17">
        <f t="shared" ref="H1182:J1182" si="3544">roundup((XLOOKUP($D1182,$T$3:$T$10,$U$3:$U$10)*XLOOKUP(H$2,$AA$3:$AA$5,$AC$3:$AC$5)-ABS(XLOOKUP($C1182,$Q$3:$Q$16,$R$3:$R$16)))*$B1182,-5)</f>
        <v>16300000</v>
      </c>
      <c r="I1182" s="17">
        <f t="shared" si="3544"/>
        <v>32500000</v>
      </c>
      <c r="J1182" s="17">
        <f t="shared" si="3544"/>
        <v>34700000</v>
      </c>
      <c r="K1182" s="17">
        <f t="shared" ref="K1182:M1182" si="3545">roundup((XLOOKUP($D1182,$T$3:$T$10,$U$3:$U$10)*XLOOKUP(K$2,$AA$3:$AA$5,$AD$3:$AD$5)-ABS(XLOOKUP($C1182,$Q$3:$Q$16,$R$3:$R$16)))*$B1182,-5)</f>
        <v>18100000</v>
      </c>
      <c r="L1182" s="17">
        <f t="shared" si="3545"/>
        <v>35900000</v>
      </c>
      <c r="M1182" s="17">
        <f t="shared" si="3545"/>
        <v>38300000</v>
      </c>
    </row>
    <row r="1183">
      <c r="A1183" s="14" t="s">
        <v>1226</v>
      </c>
      <c r="B1183" s="14">
        <v>156.0</v>
      </c>
      <c r="C1183" s="15">
        <f t="shared" si="4"/>
        <v>11</v>
      </c>
      <c r="D1183" s="14" t="s">
        <v>33</v>
      </c>
      <c r="E1183" s="16">
        <f t="shared" ref="E1183:G1183" si="3546">ROUNDUP((XLOOKUP($D1183,$T$3:$T$10,$U$3:$U$10)*XLOOKUP(E$2,$AA$3:$AA$5,$AB$3:$AB$5)-ABS(XLOOKUP($C1183,$Q$3:$Q$16,$R$3:$R$16)))*$B1183,-5)</f>
        <v>33900000</v>
      </c>
      <c r="F1183" s="16">
        <f t="shared" si="3546"/>
        <v>60100000</v>
      </c>
      <c r="G1183" s="16">
        <f t="shared" si="3546"/>
        <v>65500000</v>
      </c>
      <c r="H1183" s="17">
        <f t="shared" ref="H1183:J1183" si="3547">roundup((XLOOKUP($D1183,$T$3:$T$10,$U$3:$U$10)*XLOOKUP(H$2,$AA$3:$AA$5,$AC$3:$AC$5)-ABS(XLOOKUP($C1183,$Q$3:$Q$16,$R$3:$R$16)))*$B1183,-5)</f>
        <v>27900000</v>
      </c>
      <c r="I1183" s="17">
        <f t="shared" si="3547"/>
        <v>74400000</v>
      </c>
      <c r="J1183" s="17">
        <f t="shared" si="3547"/>
        <v>80700000</v>
      </c>
      <c r="K1183" s="17">
        <f t="shared" ref="K1183:M1183" si="3548">roundup((XLOOKUP($D1183,$T$3:$T$10,$U$3:$U$10)*XLOOKUP(K$2,$AA$3:$AA$5,$AD$3:$AD$5)-ABS(XLOOKUP($C1183,$Q$3:$Q$16,$R$3:$R$16)))*$B1183,-5)</f>
        <v>33000000</v>
      </c>
      <c r="L1183" s="17">
        <f t="shared" si="3548"/>
        <v>84000000</v>
      </c>
      <c r="M1183" s="17">
        <f t="shared" si="3548"/>
        <v>91000000</v>
      </c>
    </row>
    <row r="1184">
      <c r="A1184" s="14" t="s">
        <v>1227</v>
      </c>
      <c r="B1184" s="14">
        <v>84.0</v>
      </c>
      <c r="C1184" s="15">
        <f t="shared" si="4"/>
        <v>11</v>
      </c>
      <c r="D1184" s="14" t="s">
        <v>28</v>
      </c>
      <c r="E1184" s="16">
        <f t="shared" ref="E1184:G1184" si="3549">ROUNDUP((XLOOKUP($D1184,$T$3:$T$10,$U$3:$U$10)*XLOOKUP(E$2,$AA$3:$AA$5,$AB$3:$AB$5)-ABS(XLOOKUP($C1184,$Q$3:$Q$16,$R$3:$R$16)))*$B1184,-5)</f>
        <v>23200000</v>
      </c>
      <c r="F1184" s="16">
        <f t="shared" si="3549"/>
        <v>39500000</v>
      </c>
      <c r="G1184" s="16">
        <f t="shared" si="3549"/>
        <v>42900000</v>
      </c>
      <c r="H1184" s="17">
        <f t="shared" ref="H1184:J1184" si="3550">roundup((XLOOKUP($D1184,$T$3:$T$10,$U$3:$U$10)*XLOOKUP(H$2,$AA$3:$AA$5,$AC$3:$AC$5)-ABS(XLOOKUP($C1184,$Q$3:$Q$16,$R$3:$R$16)))*$B1184,-5)</f>
        <v>19500000</v>
      </c>
      <c r="I1184" s="17">
        <f t="shared" si="3550"/>
        <v>48400000</v>
      </c>
      <c r="J1184" s="17">
        <f t="shared" si="3550"/>
        <v>52300000</v>
      </c>
      <c r="K1184" s="17">
        <f t="shared" ref="K1184:M1184" si="3551">roundup((XLOOKUP($D1184,$T$3:$T$10,$U$3:$U$10)*XLOOKUP(K$2,$AA$3:$AA$5,$AD$3:$AD$5)-ABS(XLOOKUP($C1184,$Q$3:$Q$16,$R$3:$R$16)))*$B1184,-5)</f>
        <v>22700000</v>
      </c>
      <c r="L1184" s="17">
        <f t="shared" si="3551"/>
        <v>54400000</v>
      </c>
      <c r="M1184" s="17">
        <f t="shared" si="3551"/>
        <v>58800000</v>
      </c>
    </row>
    <row r="1185">
      <c r="A1185" s="14" t="s">
        <v>1228</v>
      </c>
      <c r="B1185" s="14">
        <v>52.0</v>
      </c>
      <c r="C1185" s="15">
        <f t="shared" si="4"/>
        <v>7</v>
      </c>
      <c r="D1185" s="14" t="s">
        <v>33</v>
      </c>
      <c r="E1185" s="16">
        <f t="shared" ref="E1185:G1185" si="3552">ROUNDUP((XLOOKUP($D1185,$T$3:$T$10,$U$3:$U$10)*XLOOKUP(E$2,$AA$3:$AA$5,$AB$3:$AB$5)-ABS(XLOOKUP($C1185,$Q$3:$Q$16,$R$3:$R$16)))*$B1185,-5)</f>
        <v>17000000</v>
      </c>
      <c r="F1185" s="16">
        <f t="shared" si="3552"/>
        <v>25800000</v>
      </c>
      <c r="G1185" s="16">
        <f t="shared" si="3552"/>
        <v>27600000</v>
      </c>
      <c r="H1185" s="17">
        <f t="shared" ref="H1185:J1185" si="3553">roundup((XLOOKUP($D1185,$T$3:$T$10,$U$3:$U$10)*XLOOKUP(H$2,$AA$3:$AA$5,$AC$3:$AC$5)-ABS(XLOOKUP($C1185,$Q$3:$Q$16,$R$3:$R$16)))*$B1185,-5)</f>
        <v>15000000</v>
      </c>
      <c r="I1185" s="17">
        <f t="shared" si="3553"/>
        <v>30500000</v>
      </c>
      <c r="J1185" s="17">
        <f t="shared" si="3553"/>
        <v>32600000</v>
      </c>
      <c r="K1185" s="17">
        <f t="shared" ref="K1185:M1185" si="3554">roundup((XLOOKUP($D1185,$T$3:$T$10,$U$3:$U$10)*XLOOKUP(K$2,$AA$3:$AA$5,$AD$3:$AD$5)-ABS(XLOOKUP($C1185,$Q$3:$Q$16,$R$3:$R$16)))*$B1185,-5)</f>
        <v>16800000</v>
      </c>
      <c r="L1185" s="17">
        <f t="shared" si="3554"/>
        <v>33800000</v>
      </c>
      <c r="M1185" s="17">
        <f t="shared" si="3554"/>
        <v>36100000</v>
      </c>
    </row>
    <row r="1186">
      <c r="A1186" s="14" t="s">
        <v>1229</v>
      </c>
      <c r="B1186" s="14">
        <v>65.0</v>
      </c>
      <c r="C1186" s="15">
        <f t="shared" si="4"/>
        <v>9</v>
      </c>
      <c r="D1186" s="14" t="s">
        <v>36</v>
      </c>
      <c r="E1186" s="16">
        <f t="shared" ref="E1186:G1186" si="3555">ROUNDUP((XLOOKUP($D1186,$T$3:$T$10,$U$3:$U$10)*XLOOKUP(E$2,$AA$3:$AA$5,$AB$3:$AB$5)-ABS(XLOOKUP($C1186,$Q$3:$Q$16,$R$3:$R$16)))*$B1186,-5)</f>
        <v>23000000</v>
      </c>
      <c r="F1186" s="16">
        <f t="shared" si="3555"/>
        <v>35200000</v>
      </c>
      <c r="G1186" s="16">
        <f t="shared" si="3555"/>
        <v>37800000</v>
      </c>
      <c r="H1186" s="17">
        <f t="shared" ref="H1186:J1186" si="3556">roundup((XLOOKUP($D1186,$T$3:$T$10,$U$3:$U$10)*XLOOKUP(H$2,$AA$3:$AA$5,$AC$3:$AC$5)-ABS(XLOOKUP($C1186,$Q$3:$Q$16,$R$3:$R$16)))*$B1186,-5)</f>
        <v>20200000</v>
      </c>
      <c r="I1186" s="17">
        <f t="shared" si="3556"/>
        <v>41900000</v>
      </c>
      <c r="J1186" s="17">
        <f t="shared" si="3556"/>
        <v>44900000</v>
      </c>
      <c r="K1186" s="17">
        <f t="shared" ref="K1186:M1186" si="3557">roundup((XLOOKUP($D1186,$T$3:$T$10,$U$3:$U$10)*XLOOKUP(K$2,$AA$3:$AA$5,$AD$3:$AD$5)-ABS(XLOOKUP($C1186,$Q$3:$Q$16,$R$3:$R$16)))*$B1186,-5)</f>
        <v>22600000</v>
      </c>
      <c r="L1186" s="17">
        <f t="shared" si="3557"/>
        <v>46400000</v>
      </c>
      <c r="M1186" s="17">
        <f t="shared" si="3557"/>
        <v>49700000</v>
      </c>
    </row>
    <row r="1187">
      <c r="A1187" s="14" t="s">
        <v>1230</v>
      </c>
      <c r="B1187" s="14">
        <v>103.0</v>
      </c>
      <c r="C1187" s="15">
        <f t="shared" si="4"/>
        <v>11</v>
      </c>
      <c r="D1187" s="14" t="s">
        <v>33</v>
      </c>
      <c r="E1187" s="16">
        <f t="shared" ref="E1187:G1187" si="3558">ROUNDUP((XLOOKUP($D1187,$T$3:$T$10,$U$3:$U$10)*XLOOKUP(E$2,$AA$3:$AA$5,$AB$3:$AB$5)-ABS(XLOOKUP($C1187,$Q$3:$Q$16,$R$3:$R$16)))*$B1187,-5)</f>
        <v>22400000</v>
      </c>
      <c r="F1187" s="16">
        <f t="shared" si="3558"/>
        <v>39700000</v>
      </c>
      <c r="G1187" s="16">
        <f t="shared" si="3558"/>
        <v>43300000</v>
      </c>
      <c r="H1187" s="17">
        <f t="shared" ref="H1187:J1187" si="3559">roundup((XLOOKUP($D1187,$T$3:$T$10,$U$3:$U$10)*XLOOKUP(H$2,$AA$3:$AA$5,$AC$3:$AC$5)-ABS(XLOOKUP($C1187,$Q$3:$Q$16,$R$3:$R$16)))*$B1187,-5)</f>
        <v>18400000</v>
      </c>
      <c r="I1187" s="17">
        <f t="shared" si="3559"/>
        <v>49100000</v>
      </c>
      <c r="J1187" s="17">
        <f t="shared" si="3559"/>
        <v>53300000</v>
      </c>
      <c r="K1187" s="17">
        <f t="shared" ref="K1187:M1187" si="3560">roundup((XLOOKUP($D1187,$T$3:$T$10,$U$3:$U$10)*XLOOKUP(K$2,$AA$3:$AA$5,$AD$3:$AD$5)-ABS(XLOOKUP($C1187,$Q$3:$Q$16,$R$3:$R$16)))*$B1187,-5)</f>
        <v>21800000</v>
      </c>
      <c r="L1187" s="17">
        <f t="shared" si="3560"/>
        <v>55500000</v>
      </c>
      <c r="M1187" s="17">
        <f t="shared" si="3560"/>
        <v>60100000</v>
      </c>
    </row>
    <row r="1188">
      <c r="A1188" s="14" t="s">
        <v>1231</v>
      </c>
      <c r="B1188" s="14">
        <v>112.0</v>
      </c>
      <c r="C1188" s="15">
        <f t="shared" si="4"/>
        <v>11</v>
      </c>
      <c r="D1188" s="14" t="s">
        <v>33</v>
      </c>
      <c r="E1188" s="16">
        <f t="shared" ref="E1188:G1188" si="3561">ROUNDUP((XLOOKUP($D1188,$T$3:$T$10,$U$3:$U$10)*XLOOKUP(E$2,$AA$3:$AA$5,$AB$3:$AB$5)-ABS(XLOOKUP($C1188,$Q$3:$Q$16,$R$3:$R$16)))*$B1188,-5)</f>
        <v>24300000</v>
      </c>
      <c r="F1188" s="16">
        <f t="shared" si="3561"/>
        <v>43100000</v>
      </c>
      <c r="G1188" s="16">
        <f t="shared" si="3561"/>
        <v>47000000</v>
      </c>
      <c r="H1188" s="17">
        <f t="shared" ref="H1188:J1188" si="3562">roundup((XLOOKUP($D1188,$T$3:$T$10,$U$3:$U$10)*XLOOKUP(H$2,$AA$3:$AA$5,$AC$3:$AC$5)-ABS(XLOOKUP($C1188,$Q$3:$Q$16,$R$3:$R$16)))*$B1188,-5)</f>
        <v>20000000</v>
      </c>
      <c r="I1188" s="17">
        <f t="shared" si="3562"/>
        <v>53400000</v>
      </c>
      <c r="J1188" s="17">
        <f t="shared" si="3562"/>
        <v>57900000</v>
      </c>
      <c r="K1188" s="17">
        <f t="shared" ref="K1188:M1188" si="3563">roundup((XLOOKUP($D1188,$T$3:$T$10,$U$3:$U$10)*XLOOKUP(K$2,$AA$3:$AA$5,$AD$3:$AD$5)-ABS(XLOOKUP($C1188,$Q$3:$Q$16,$R$3:$R$16)))*$B1188,-5)</f>
        <v>23700000</v>
      </c>
      <c r="L1188" s="17">
        <f t="shared" si="3563"/>
        <v>60300000</v>
      </c>
      <c r="M1188" s="17">
        <f t="shared" si="3563"/>
        <v>65300000</v>
      </c>
    </row>
    <row r="1189">
      <c r="A1189" s="14" t="s">
        <v>1232</v>
      </c>
      <c r="B1189" s="14">
        <v>117.0</v>
      </c>
      <c r="C1189" s="15">
        <f t="shared" si="4"/>
        <v>11</v>
      </c>
      <c r="D1189" s="14" t="s">
        <v>36</v>
      </c>
      <c r="E1189" s="16">
        <f t="shared" ref="E1189:G1189" si="3564">ROUNDUP((XLOOKUP($D1189,$T$3:$T$10,$U$3:$U$10)*XLOOKUP(E$2,$AA$3:$AA$5,$AB$3:$AB$5)-ABS(XLOOKUP($C1189,$Q$3:$Q$16,$R$3:$R$16)))*$B1189,-5)</f>
        <v>30700000</v>
      </c>
      <c r="F1189" s="16">
        <f t="shared" si="3564"/>
        <v>52800000</v>
      </c>
      <c r="G1189" s="16">
        <f t="shared" si="3564"/>
        <v>57300000</v>
      </c>
      <c r="H1189" s="17">
        <f t="shared" ref="H1189:J1189" si="3565">roundup((XLOOKUP($D1189,$T$3:$T$10,$U$3:$U$10)*XLOOKUP(H$2,$AA$3:$AA$5,$AC$3:$AC$5)-ABS(XLOOKUP($C1189,$Q$3:$Q$16,$R$3:$R$16)))*$B1189,-5)</f>
        <v>25700000</v>
      </c>
      <c r="I1189" s="17">
        <f t="shared" si="3565"/>
        <v>64800000</v>
      </c>
      <c r="J1189" s="17">
        <f t="shared" si="3565"/>
        <v>70100000</v>
      </c>
      <c r="K1189" s="17">
        <f t="shared" ref="K1189:M1189" si="3566">roundup((XLOOKUP($D1189,$T$3:$T$10,$U$3:$U$10)*XLOOKUP(K$2,$AA$3:$AA$5,$AD$3:$AD$5)-ABS(XLOOKUP($C1189,$Q$3:$Q$16,$R$3:$R$16)))*$B1189,-5)</f>
        <v>30000000</v>
      </c>
      <c r="L1189" s="17">
        <f t="shared" si="3566"/>
        <v>72900000</v>
      </c>
      <c r="M1189" s="17">
        <f t="shared" si="3566"/>
        <v>78800000</v>
      </c>
    </row>
    <row r="1190">
      <c r="A1190" s="14" t="s">
        <v>1233</v>
      </c>
      <c r="B1190" s="14">
        <v>84.0</v>
      </c>
      <c r="C1190" s="15">
        <f t="shared" si="4"/>
        <v>11</v>
      </c>
      <c r="D1190" s="14" t="s">
        <v>33</v>
      </c>
      <c r="E1190" s="16">
        <f t="shared" ref="E1190:G1190" si="3567">ROUNDUP((XLOOKUP($D1190,$T$3:$T$10,$U$3:$U$10)*XLOOKUP(E$2,$AA$3:$AA$5,$AB$3:$AB$5)-ABS(XLOOKUP($C1190,$Q$3:$Q$16,$R$3:$R$16)))*$B1190,-5)</f>
        <v>18300000</v>
      </c>
      <c r="F1190" s="16">
        <f t="shared" si="3567"/>
        <v>32400000</v>
      </c>
      <c r="G1190" s="16">
        <f t="shared" si="3567"/>
        <v>35300000</v>
      </c>
      <c r="H1190" s="17">
        <f t="shared" ref="H1190:J1190" si="3568">roundup((XLOOKUP($D1190,$T$3:$T$10,$U$3:$U$10)*XLOOKUP(H$2,$AA$3:$AA$5,$AC$3:$AC$5)-ABS(XLOOKUP($C1190,$Q$3:$Q$16,$R$3:$R$16)))*$B1190,-5)</f>
        <v>15000000</v>
      </c>
      <c r="I1190" s="17">
        <f t="shared" si="3568"/>
        <v>40100000</v>
      </c>
      <c r="J1190" s="17">
        <f t="shared" si="3568"/>
        <v>43500000</v>
      </c>
      <c r="K1190" s="17">
        <f t="shared" ref="K1190:M1190" si="3569">roundup((XLOOKUP($D1190,$T$3:$T$10,$U$3:$U$10)*XLOOKUP(K$2,$AA$3:$AA$5,$AD$3:$AD$5)-ABS(XLOOKUP($C1190,$Q$3:$Q$16,$R$3:$R$16)))*$B1190,-5)</f>
        <v>17800000</v>
      </c>
      <c r="L1190" s="17">
        <f t="shared" si="3569"/>
        <v>45300000</v>
      </c>
      <c r="M1190" s="17">
        <f t="shared" si="3569"/>
        <v>49000000</v>
      </c>
    </row>
    <row r="1191">
      <c r="A1191" s="14" t="s">
        <v>1234</v>
      </c>
      <c r="B1191" s="14">
        <v>47.0</v>
      </c>
      <c r="C1191" s="15">
        <f t="shared" si="4"/>
        <v>6</v>
      </c>
      <c r="D1191" s="14" t="s">
        <v>197</v>
      </c>
      <c r="E1191" s="16">
        <f t="shared" ref="E1191:G1191" si="3570">ROUNDUP((XLOOKUP($D1191,$T$3:$T$10,$U$3:$U$10)*XLOOKUP(E$2,$AA$3:$AA$5,$AB$3:$AB$5)-ABS(XLOOKUP($C1191,$Q$3:$Q$16,$R$3:$R$16)))*$B1191,-5)</f>
        <v>16600000</v>
      </c>
      <c r="F1191" s="16">
        <f t="shared" si="3570"/>
        <v>24900000</v>
      </c>
      <c r="G1191" s="16">
        <f t="shared" si="3570"/>
        <v>26600000</v>
      </c>
      <c r="H1191" s="17">
        <f t="shared" ref="H1191:J1191" si="3571">roundup((XLOOKUP($D1191,$T$3:$T$10,$U$3:$U$10)*XLOOKUP(H$2,$AA$3:$AA$5,$AC$3:$AC$5)-ABS(XLOOKUP($C1191,$Q$3:$Q$16,$R$3:$R$16)))*$B1191,-5)</f>
        <v>14700000</v>
      </c>
      <c r="I1191" s="17">
        <f t="shared" si="3571"/>
        <v>29400000</v>
      </c>
      <c r="J1191" s="17">
        <f t="shared" si="3571"/>
        <v>31400000</v>
      </c>
      <c r="K1191" s="17">
        <f t="shared" ref="K1191:M1191" si="3572">roundup((XLOOKUP($D1191,$T$3:$T$10,$U$3:$U$10)*XLOOKUP(K$2,$AA$3:$AA$5,$AD$3:$AD$5)-ABS(XLOOKUP($C1191,$Q$3:$Q$16,$R$3:$R$16)))*$B1191,-5)</f>
        <v>16300000</v>
      </c>
      <c r="L1191" s="17">
        <f t="shared" si="3572"/>
        <v>32500000</v>
      </c>
      <c r="M1191" s="17">
        <f t="shared" si="3572"/>
        <v>34700000</v>
      </c>
    </row>
    <row r="1192">
      <c r="A1192" s="14" t="s">
        <v>1235</v>
      </c>
      <c r="B1192" s="14">
        <v>56.0</v>
      </c>
      <c r="C1192" s="15">
        <f t="shared" si="4"/>
        <v>8</v>
      </c>
      <c r="D1192" s="14" t="s">
        <v>197</v>
      </c>
      <c r="E1192" s="16">
        <f t="shared" ref="E1192:G1192" si="3573">ROUNDUP((XLOOKUP($D1192,$T$3:$T$10,$U$3:$U$10)*XLOOKUP(E$2,$AA$3:$AA$5,$AB$3:$AB$5)-ABS(XLOOKUP($C1192,$Q$3:$Q$16,$R$3:$R$16)))*$B1192,-5)</f>
        <v>18600000</v>
      </c>
      <c r="F1192" s="16">
        <f t="shared" si="3573"/>
        <v>28500000</v>
      </c>
      <c r="G1192" s="16">
        <f t="shared" si="3573"/>
        <v>30600000</v>
      </c>
      <c r="H1192" s="17">
        <f t="shared" ref="H1192:J1192" si="3574">roundup((XLOOKUP($D1192,$T$3:$T$10,$U$3:$U$10)*XLOOKUP(H$2,$AA$3:$AA$5,$AC$3:$AC$5)-ABS(XLOOKUP($C1192,$Q$3:$Q$16,$R$3:$R$16)))*$B1192,-5)</f>
        <v>16400000</v>
      </c>
      <c r="I1192" s="17">
        <f t="shared" si="3574"/>
        <v>33900000</v>
      </c>
      <c r="J1192" s="17">
        <f t="shared" si="3574"/>
        <v>36300000</v>
      </c>
      <c r="K1192" s="17">
        <f t="shared" ref="K1192:M1192" si="3575">roundup((XLOOKUP($D1192,$T$3:$T$10,$U$3:$U$10)*XLOOKUP(K$2,$AA$3:$AA$5,$AD$3:$AD$5)-ABS(XLOOKUP($C1192,$Q$3:$Q$16,$R$3:$R$16)))*$B1192,-5)</f>
        <v>18300000</v>
      </c>
      <c r="L1192" s="17">
        <f t="shared" si="3575"/>
        <v>37600000</v>
      </c>
      <c r="M1192" s="17">
        <f t="shared" si="3575"/>
        <v>40200000</v>
      </c>
    </row>
    <row r="1193">
      <c r="A1193" s="14" t="s">
        <v>1236</v>
      </c>
      <c r="B1193" s="14">
        <v>72.0</v>
      </c>
      <c r="C1193" s="15">
        <f t="shared" si="4"/>
        <v>9</v>
      </c>
      <c r="D1193" s="14" t="s">
        <v>33</v>
      </c>
      <c r="E1193" s="16">
        <f t="shared" ref="E1193:G1193" si="3576">ROUNDUP((XLOOKUP($D1193,$T$3:$T$10,$U$3:$U$10)*XLOOKUP(E$2,$AA$3:$AA$5,$AB$3:$AB$5)-ABS(XLOOKUP($C1193,$Q$3:$Q$16,$R$3:$R$16)))*$B1193,-5)</f>
        <v>22200000</v>
      </c>
      <c r="F1193" s="16">
        <f t="shared" si="3576"/>
        <v>34300000</v>
      </c>
      <c r="G1193" s="16">
        <f t="shared" si="3576"/>
        <v>36800000</v>
      </c>
      <c r="H1193" s="17">
        <f t="shared" ref="H1193:J1193" si="3577">roundup((XLOOKUP($D1193,$T$3:$T$10,$U$3:$U$10)*XLOOKUP(H$2,$AA$3:$AA$5,$AC$3:$AC$5)-ABS(XLOOKUP($C1193,$Q$3:$Q$16,$R$3:$R$16)))*$B1193,-5)</f>
        <v>19400000</v>
      </c>
      <c r="I1193" s="17">
        <f t="shared" si="3577"/>
        <v>40900000</v>
      </c>
      <c r="J1193" s="17">
        <f t="shared" si="3577"/>
        <v>43800000</v>
      </c>
      <c r="K1193" s="17">
        <f t="shared" ref="K1193:M1193" si="3578">roundup((XLOOKUP($D1193,$T$3:$T$10,$U$3:$U$10)*XLOOKUP(K$2,$AA$3:$AA$5,$AD$3:$AD$5)-ABS(XLOOKUP($C1193,$Q$3:$Q$16,$R$3:$R$16)))*$B1193,-5)</f>
        <v>21800000</v>
      </c>
      <c r="L1193" s="17">
        <f t="shared" si="3578"/>
        <v>45400000</v>
      </c>
      <c r="M1193" s="17">
        <f t="shared" si="3578"/>
        <v>48600000</v>
      </c>
    </row>
    <row r="1194">
      <c r="A1194" s="14" t="s">
        <v>1237</v>
      </c>
      <c r="B1194" s="14">
        <v>125.0</v>
      </c>
      <c r="C1194" s="15">
        <f t="shared" si="4"/>
        <v>11</v>
      </c>
      <c r="D1194" s="14" t="s">
        <v>28</v>
      </c>
      <c r="E1194" s="16">
        <f t="shared" ref="E1194:G1194" si="3579">ROUNDUP((XLOOKUP($D1194,$T$3:$T$10,$U$3:$U$10)*XLOOKUP(E$2,$AA$3:$AA$5,$AB$3:$AB$5)-ABS(XLOOKUP($C1194,$Q$3:$Q$16,$R$3:$R$16)))*$B1194,-5)</f>
        <v>34500000</v>
      </c>
      <c r="F1194" s="16">
        <f t="shared" si="3579"/>
        <v>58800000</v>
      </c>
      <c r="G1194" s="16">
        <f t="shared" si="3579"/>
        <v>63800000</v>
      </c>
      <c r="H1194" s="17">
        <f t="shared" ref="H1194:J1194" si="3580">roundup((XLOOKUP($D1194,$T$3:$T$10,$U$3:$U$10)*XLOOKUP(H$2,$AA$3:$AA$5,$AC$3:$AC$5)-ABS(XLOOKUP($C1194,$Q$3:$Q$16,$R$3:$R$16)))*$B1194,-5)</f>
        <v>29000000</v>
      </c>
      <c r="I1194" s="17">
        <f t="shared" si="3580"/>
        <v>72000000</v>
      </c>
      <c r="J1194" s="17">
        <f t="shared" si="3580"/>
        <v>77900000</v>
      </c>
      <c r="K1194" s="17">
        <f t="shared" ref="K1194:M1194" si="3581">roundup((XLOOKUP($D1194,$T$3:$T$10,$U$3:$U$10)*XLOOKUP(K$2,$AA$3:$AA$5,$AD$3:$AD$5)-ABS(XLOOKUP($C1194,$Q$3:$Q$16,$R$3:$R$16)))*$B1194,-5)</f>
        <v>33700000</v>
      </c>
      <c r="L1194" s="17">
        <f t="shared" si="3581"/>
        <v>81000000</v>
      </c>
      <c r="M1194" s="17">
        <f t="shared" si="3581"/>
        <v>87400000</v>
      </c>
    </row>
    <row r="1195">
      <c r="A1195" s="14" t="s">
        <v>1238</v>
      </c>
      <c r="B1195" s="14">
        <v>186.0</v>
      </c>
      <c r="C1195" s="15">
        <f t="shared" si="4"/>
        <v>13</v>
      </c>
      <c r="D1195" s="14" t="s">
        <v>36</v>
      </c>
      <c r="E1195" s="16">
        <f t="shared" ref="E1195:G1195" si="3582">ROUNDUP((XLOOKUP($D1195,$T$3:$T$10,$U$3:$U$10)*XLOOKUP(E$2,$AA$3:$AA$5,$AB$3:$AB$5)-ABS(XLOOKUP($C1195,$Q$3:$Q$16,$R$3:$R$16)))*$B1195,-5)</f>
        <v>45100000</v>
      </c>
      <c r="F1195" s="16">
        <f t="shared" si="3582"/>
        <v>80100000</v>
      </c>
      <c r="G1195" s="16">
        <f t="shared" si="3582"/>
        <v>87400000</v>
      </c>
      <c r="H1195" s="17">
        <f t="shared" ref="H1195:J1195" si="3583">roundup((XLOOKUP($D1195,$T$3:$T$10,$U$3:$U$10)*XLOOKUP(H$2,$AA$3:$AA$5,$AC$3:$AC$5)-ABS(XLOOKUP($C1195,$Q$3:$Q$16,$R$3:$R$16)))*$B1195,-5)</f>
        <v>37100000</v>
      </c>
      <c r="I1195" s="17">
        <f t="shared" si="3583"/>
        <v>99200000</v>
      </c>
      <c r="J1195" s="17">
        <f t="shared" si="3583"/>
        <v>107700000</v>
      </c>
      <c r="K1195" s="17">
        <f t="shared" ref="K1195:M1195" si="3584">roundup((XLOOKUP($D1195,$T$3:$T$10,$U$3:$U$10)*XLOOKUP(K$2,$AA$3:$AA$5,$AD$3:$AD$5)-ABS(XLOOKUP($C1195,$Q$3:$Q$16,$R$3:$R$16)))*$B1195,-5)</f>
        <v>44000000</v>
      </c>
      <c r="L1195" s="17">
        <f t="shared" si="3584"/>
        <v>112100000</v>
      </c>
      <c r="M1195" s="17">
        <f t="shared" si="3584"/>
        <v>121400000</v>
      </c>
    </row>
    <row r="1196">
      <c r="A1196" s="14" t="s">
        <v>1239</v>
      </c>
      <c r="B1196" s="14">
        <v>134.0</v>
      </c>
      <c r="C1196" s="15">
        <f t="shared" si="4"/>
        <v>11</v>
      </c>
      <c r="D1196" s="14" t="s">
        <v>33</v>
      </c>
      <c r="E1196" s="16">
        <f t="shared" ref="E1196:G1196" si="3585">ROUNDUP((XLOOKUP($D1196,$T$3:$T$10,$U$3:$U$10)*XLOOKUP(E$2,$AA$3:$AA$5,$AB$3:$AB$5)-ABS(XLOOKUP($C1196,$Q$3:$Q$16,$R$3:$R$16)))*$B1196,-5)</f>
        <v>29100000</v>
      </c>
      <c r="F1196" s="16">
        <f t="shared" si="3585"/>
        <v>51600000</v>
      </c>
      <c r="G1196" s="16">
        <f t="shared" si="3585"/>
        <v>56300000</v>
      </c>
      <c r="H1196" s="17">
        <f t="shared" ref="H1196:J1196" si="3586">roundup((XLOOKUP($D1196,$T$3:$T$10,$U$3:$U$10)*XLOOKUP(H$2,$AA$3:$AA$5,$AC$3:$AC$5)-ABS(XLOOKUP($C1196,$Q$3:$Q$16,$R$3:$R$16)))*$B1196,-5)</f>
        <v>24000000</v>
      </c>
      <c r="I1196" s="17">
        <f t="shared" si="3586"/>
        <v>63900000</v>
      </c>
      <c r="J1196" s="17">
        <f t="shared" si="3586"/>
        <v>69300000</v>
      </c>
      <c r="K1196" s="17">
        <f t="shared" ref="K1196:M1196" si="3587">roundup((XLOOKUP($D1196,$T$3:$T$10,$U$3:$U$10)*XLOOKUP(K$2,$AA$3:$AA$5,$AD$3:$AD$5)-ABS(XLOOKUP($C1196,$Q$3:$Q$16,$R$3:$R$16)))*$B1196,-5)</f>
        <v>28400000</v>
      </c>
      <c r="L1196" s="17">
        <f t="shared" si="3587"/>
        <v>72200000</v>
      </c>
      <c r="M1196" s="17">
        <f t="shared" si="3587"/>
        <v>78200000</v>
      </c>
    </row>
    <row r="1197">
      <c r="A1197" s="14" t="s">
        <v>1240</v>
      </c>
      <c r="B1197" s="14">
        <v>187.0</v>
      </c>
      <c r="C1197" s="15">
        <f t="shared" si="4"/>
        <v>13</v>
      </c>
      <c r="D1197" s="14" t="s">
        <v>33</v>
      </c>
      <c r="E1197" s="16">
        <f t="shared" ref="E1197:G1197" si="3588">ROUNDUP((XLOOKUP($D1197,$T$3:$T$10,$U$3:$U$10)*XLOOKUP(E$2,$AA$3:$AA$5,$AB$3:$AB$5)-ABS(XLOOKUP($C1197,$Q$3:$Q$16,$R$3:$R$16)))*$B1197,-5)</f>
        <v>36800000</v>
      </c>
      <c r="F1197" s="16">
        <f t="shared" si="3588"/>
        <v>68300000</v>
      </c>
      <c r="G1197" s="16">
        <f t="shared" si="3588"/>
        <v>74800000</v>
      </c>
      <c r="H1197" s="17">
        <f t="shared" ref="H1197:J1197" si="3589">roundup((XLOOKUP($D1197,$T$3:$T$10,$U$3:$U$10)*XLOOKUP(H$2,$AA$3:$AA$5,$AC$3:$AC$5)-ABS(XLOOKUP($C1197,$Q$3:$Q$16,$R$3:$R$16)))*$B1197,-5)</f>
        <v>29700000</v>
      </c>
      <c r="I1197" s="17">
        <f t="shared" si="3589"/>
        <v>85400000</v>
      </c>
      <c r="J1197" s="17">
        <f t="shared" si="3589"/>
        <v>93000000</v>
      </c>
      <c r="K1197" s="17">
        <f t="shared" ref="K1197:M1197" si="3590">roundup((XLOOKUP($D1197,$T$3:$T$10,$U$3:$U$10)*XLOOKUP(K$2,$AA$3:$AA$5,$AD$3:$AD$5)-ABS(XLOOKUP($C1197,$Q$3:$Q$16,$R$3:$R$16)))*$B1197,-5)</f>
        <v>35900000</v>
      </c>
      <c r="L1197" s="17">
        <f t="shared" si="3590"/>
        <v>97000000</v>
      </c>
      <c r="M1197" s="17">
        <f t="shared" si="3590"/>
        <v>105300000</v>
      </c>
    </row>
    <row r="1198">
      <c r="A1198" s="14" t="s">
        <v>1241</v>
      </c>
      <c r="B1198" s="14">
        <v>87.0</v>
      </c>
      <c r="C1198" s="15">
        <f t="shared" si="4"/>
        <v>11</v>
      </c>
      <c r="D1198" s="14" t="s">
        <v>36</v>
      </c>
      <c r="E1198" s="16">
        <f t="shared" ref="E1198:G1198" si="3591">ROUNDUP((XLOOKUP($D1198,$T$3:$T$10,$U$3:$U$10)*XLOOKUP(E$2,$AA$3:$AA$5,$AB$3:$AB$5)-ABS(XLOOKUP($C1198,$Q$3:$Q$16,$R$3:$R$16)))*$B1198,-5)</f>
        <v>22900000</v>
      </c>
      <c r="F1198" s="16">
        <f t="shared" si="3591"/>
        <v>39200000</v>
      </c>
      <c r="G1198" s="16">
        <f t="shared" si="3591"/>
        <v>42600000</v>
      </c>
      <c r="H1198" s="17">
        <f t="shared" ref="H1198:J1198" si="3592">roundup((XLOOKUP($D1198,$T$3:$T$10,$U$3:$U$10)*XLOOKUP(H$2,$AA$3:$AA$5,$AC$3:$AC$5)-ABS(XLOOKUP($C1198,$Q$3:$Q$16,$R$3:$R$16)))*$B1198,-5)</f>
        <v>19100000</v>
      </c>
      <c r="I1198" s="17">
        <f t="shared" si="3592"/>
        <v>48200000</v>
      </c>
      <c r="J1198" s="17">
        <f t="shared" si="3592"/>
        <v>52100000</v>
      </c>
      <c r="K1198" s="17">
        <f t="shared" ref="K1198:M1198" si="3593">roundup((XLOOKUP($D1198,$T$3:$T$10,$U$3:$U$10)*XLOOKUP(K$2,$AA$3:$AA$5,$AD$3:$AD$5)-ABS(XLOOKUP($C1198,$Q$3:$Q$16,$R$3:$R$16)))*$B1198,-5)</f>
        <v>22400000</v>
      </c>
      <c r="L1198" s="17">
        <f t="shared" si="3593"/>
        <v>54200000</v>
      </c>
      <c r="M1198" s="17">
        <f t="shared" si="3593"/>
        <v>58600000</v>
      </c>
    </row>
    <row r="1199">
      <c r="A1199" s="14" t="s">
        <v>1242</v>
      </c>
      <c r="B1199" s="14">
        <v>75.0</v>
      </c>
      <c r="C1199" s="15">
        <f t="shared" si="4"/>
        <v>9</v>
      </c>
      <c r="D1199" s="14" t="s">
        <v>33</v>
      </c>
      <c r="E1199" s="16">
        <f t="shared" ref="E1199:G1199" si="3594">ROUNDUP((XLOOKUP($D1199,$T$3:$T$10,$U$3:$U$10)*XLOOKUP(E$2,$AA$3:$AA$5,$AB$3:$AB$5)-ABS(XLOOKUP($C1199,$Q$3:$Q$16,$R$3:$R$16)))*$B1199,-5)</f>
        <v>23100000</v>
      </c>
      <c r="F1199" s="16">
        <f t="shared" si="3594"/>
        <v>35700000</v>
      </c>
      <c r="G1199" s="16">
        <f t="shared" si="3594"/>
        <v>38300000</v>
      </c>
      <c r="H1199" s="17">
        <f t="shared" ref="H1199:J1199" si="3595">roundup((XLOOKUP($D1199,$T$3:$T$10,$U$3:$U$10)*XLOOKUP(H$2,$AA$3:$AA$5,$AC$3:$AC$5)-ABS(XLOOKUP($C1199,$Q$3:$Q$16,$R$3:$R$16)))*$B1199,-5)</f>
        <v>20300000</v>
      </c>
      <c r="I1199" s="17">
        <f t="shared" si="3595"/>
        <v>42600000</v>
      </c>
      <c r="J1199" s="17">
        <f t="shared" si="3595"/>
        <v>45600000</v>
      </c>
      <c r="K1199" s="17">
        <f t="shared" ref="K1199:M1199" si="3596">roundup((XLOOKUP($D1199,$T$3:$T$10,$U$3:$U$10)*XLOOKUP(K$2,$AA$3:$AA$5,$AD$3:$AD$5)-ABS(XLOOKUP($C1199,$Q$3:$Q$16,$R$3:$R$16)))*$B1199,-5)</f>
        <v>22700000</v>
      </c>
      <c r="L1199" s="17">
        <f t="shared" si="3596"/>
        <v>47200000</v>
      </c>
      <c r="M1199" s="17">
        <f t="shared" si="3596"/>
        <v>50600000</v>
      </c>
    </row>
    <row r="1200">
      <c r="A1200" s="14" t="s">
        <v>1243</v>
      </c>
      <c r="B1200" s="14">
        <v>84.0</v>
      </c>
      <c r="C1200" s="15">
        <f t="shared" si="4"/>
        <v>11</v>
      </c>
      <c r="D1200" s="14" t="s">
        <v>36</v>
      </c>
      <c r="E1200" s="16">
        <f t="shared" ref="E1200:G1200" si="3597">ROUNDUP((XLOOKUP($D1200,$T$3:$T$10,$U$3:$U$10)*XLOOKUP(E$2,$AA$3:$AA$5,$AB$3:$AB$5)-ABS(XLOOKUP($C1200,$Q$3:$Q$16,$R$3:$R$16)))*$B1200,-5)</f>
        <v>22100000</v>
      </c>
      <c r="F1200" s="16">
        <f t="shared" si="3597"/>
        <v>37900000</v>
      </c>
      <c r="G1200" s="16">
        <f t="shared" si="3597"/>
        <v>41200000</v>
      </c>
      <c r="H1200" s="17">
        <f t="shared" ref="H1200:J1200" si="3598">roundup((XLOOKUP($D1200,$T$3:$T$10,$U$3:$U$10)*XLOOKUP(H$2,$AA$3:$AA$5,$AC$3:$AC$5)-ABS(XLOOKUP($C1200,$Q$3:$Q$16,$R$3:$R$16)))*$B1200,-5)</f>
        <v>18500000</v>
      </c>
      <c r="I1200" s="17">
        <f t="shared" si="3598"/>
        <v>46500000</v>
      </c>
      <c r="J1200" s="17">
        <f t="shared" si="3598"/>
        <v>50300000</v>
      </c>
      <c r="K1200" s="17">
        <f t="shared" ref="K1200:M1200" si="3599">roundup((XLOOKUP($D1200,$T$3:$T$10,$U$3:$U$10)*XLOOKUP(K$2,$AA$3:$AA$5,$AD$3:$AD$5)-ABS(XLOOKUP($C1200,$Q$3:$Q$16,$R$3:$R$16)))*$B1200,-5)</f>
        <v>21600000</v>
      </c>
      <c r="L1200" s="17">
        <f t="shared" si="3599"/>
        <v>52400000</v>
      </c>
      <c r="M1200" s="17">
        <f t="shared" si="3599"/>
        <v>56600000</v>
      </c>
    </row>
    <row r="1201">
      <c r="A1201" s="14" t="s">
        <v>1244</v>
      </c>
      <c r="B1201" s="14">
        <v>84.0</v>
      </c>
      <c r="C1201" s="15">
        <f t="shared" si="4"/>
        <v>11</v>
      </c>
      <c r="D1201" s="14" t="s">
        <v>33</v>
      </c>
      <c r="E1201" s="16">
        <f t="shared" ref="E1201:G1201" si="3600">ROUNDUP((XLOOKUP($D1201,$T$3:$T$10,$U$3:$U$10)*XLOOKUP(E$2,$AA$3:$AA$5,$AB$3:$AB$5)-ABS(XLOOKUP($C1201,$Q$3:$Q$16,$R$3:$R$16)))*$B1201,-5)</f>
        <v>18300000</v>
      </c>
      <c r="F1201" s="16">
        <f t="shared" si="3600"/>
        <v>32400000</v>
      </c>
      <c r="G1201" s="16">
        <f t="shared" si="3600"/>
        <v>35300000</v>
      </c>
      <c r="H1201" s="17">
        <f t="shared" ref="H1201:J1201" si="3601">roundup((XLOOKUP($D1201,$T$3:$T$10,$U$3:$U$10)*XLOOKUP(H$2,$AA$3:$AA$5,$AC$3:$AC$5)-ABS(XLOOKUP($C1201,$Q$3:$Q$16,$R$3:$R$16)))*$B1201,-5)</f>
        <v>15000000</v>
      </c>
      <c r="I1201" s="17">
        <f t="shared" si="3601"/>
        <v>40100000</v>
      </c>
      <c r="J1201" s="17">
        <f t="shared" si="3601"/>
        <v>43500000</v>
      </c>
      <c r="K1201" s="17">
        <f t="shared" ref="K1201:M1201" si="3602">roundup((XLOOKUP($D1201,$T$3:$T$10,$U$3:$U$10)*XLOOKUP(K$2,$AA$3:$AA$5,$AD$3:$AD$5)-ABS(XLOOKUP($C1201,$Q$3:$Q$16,$R$3:$R$16)))*$B1201,-5)</f>
        <v>17800000</v>
      </c>
      <c r="L1201" s="17">
        <f t="shared" si="3602"/>
        <v>45300000</v>
      </c>
      <c r="M1201" s="17">
        <f t="shared" si="3602"/>
        <v>49000000</v>
      </c>
    </row>
    <row r="1202">
      <c r="A1202" s="14" t="s">
        <v>1245</v>
      </c>
      <c r="B1202" s="14">
        <v>117.0</v>
      </c>
      <c r="C1202" s="15">
        <f t="shared" si="4"/>
        <v>11</v>
      </c>
      <c r="D1202" s="14" t="s">
        <v>36</v>
      </c>
      <c r="E1202" s="16">
        <f t="shared" ref="E1202:G1202" si="3603">ROUNDUP((XLOOKUP($D1202,$T$3:$T$10,$U$3:$U$10)*XLOOKUP(E$2,$AA$3:$AA$5,$AB$3:$AB$5)-ABS(XLOOKUP($C1202,$Q$3:$Q$16,$R$3:$R$16)))*$B1202,-5)</f>
        <v>30700000</v>
      </c>
      <c r="F1202" s="16">
        <f t="shared" si="3603"/>
        <v>52800000</v>
      </c>
      <c r="G1202" s="16">
        <f t="shared" si="3603"/>
        <v>57300000</v>
      </c>
      <c r="H1202" s="17">
        <f t="shared" ref="H1202:J1202" si="3604">roundup((XLOOKUP($D1202,$T$3:$T$10,$U$3:$U$10)*XLOOKUP(H$2,$AA$3:$AA$5,$AC$3:$AC$5)-ABS(XLOOKUP($C1202,$Q$3:$Q$16,$R$3:$R$16)))*$B1202,-5)</f>
        <v>25700000</v>
      </c>
      <c r="I1202" s="17">
        <f t="shared" si="3604"/>
        <v>64800000</v>
      </c>
      <c r="J1202" s="17">
        <f t="shared" si="3604"/>
        <v>70100000</v>
      </c>
      <c r="K1202" s="17">
        <f t="shared" ref="K1202:M1202" si="3605">roundup((XLOOKUP($D1202,$T$3:$T$10,$U$3:$U$10)*XLOOKUP(K$2,$AA$3:$AA$5,$AD$3:$AD$5)-ABS(XLOOKUP($C1202,$Q$3:$Q$16,$R$3:$R$16)))*$B1202,-5)</f>
        <v>30000000</v>
      </c>
      <c r="L1202" s="17">
        <f t="shared" si="3605"/>
        <v>72900000</v>
      </c>
      <c r="M1202" s="17">
        <f t="shared" si="3605"/>
        <v>78800000</v>
      </c>
    </row>
    <row r="1203">
      <c r="A1203" s="14" t="s">
        <v>1246</v>
      </c>
      <c r="B1203" s="14">
        <v>108.0</v>
      </c>
      <c r="C1203" s="15">
        <f t="shared" si="4"/>
        <v>11</v>
      </c>
      <c r="D1203" s="14" t="s">
        <v>33</v>
      </c>
      <c r="E1203" s="16">
        <f t="shared" ref="E1203:G1203" si="3606">ROUNDUP((XLOOKUP($D1203,$T$3:$T$10,$U$3:$U$10)*XLOOKUP(E$2,$AA$3:$AA$5,$AB$3:$AB$5)-ABS(XLOOKUP($C1203,$Q$3:$Q$16,$R$3:$R$16)))*$B1203,-5)</f>
        <v>23500000</v>
      </c>
      <c r="F1203" s="16">
        <f t="shared" si="3606"/>
        <v>41600000</v>
      </c>
      <c r="G1203" s="16">
        <f t="shared" si="3606"/>
        <v>45400000</v>
      </c>
      <c r="H1203" s="17">
        <f t="shared" ref="H1203:J1203" si="3607">roundup((XLOOKUP($D1203,$T$3:$T$10,$U$3:$U$10)*XLOOKUP(H$2,$AA$3:$AA$5,$AC$3:$AC$5)-ABS(XLOOKUP($C1203,$Q$3:$Q$16,$R$3:$R$16)))*$B1203,-5)</f>
        <v>19300000</v>
      </c>
      <c r="I1203" s="17">
        <f t="shared" si="3607"/>
        <v>51500000</v>
      </c>
      <c r="J1203" s="17">
        <f t="shared" si="3607"/>
        <v>55900000</v>
      </c>
      <c r="K1203" s="17">
        <f t="shared" ref="K1203:M1203" si="3608">roundup((XLOOKUP($D1203,$T$3:$T$10,$U$3:$U$10)*XLOOKUP(K$2,$AA$3:$AA$5,$AD$3:$AD$5)-ABS(XLOOKUP($C1203,$Q$3:$Q$16,$R$3:$R$16)))*$B1203,-5)</f>
        <v>22900000</v>
      </c>
      <c r="L1203" s="17">
        <f t="shared" si="3608"/>
        <v>58200000</v>
      </c>
      <c r="M1203" s="17">
        <f t="shared" si="3608"/>
        <v>63000000</v>
      </c>
    </row>
    <row r="1204">
      <c r="A1204" s="14" t="s">
        <v>1247</v>
      </c>
      <c r="B1204" s="14">
        <v>85.0</v>
      </c>
      <c r="C1204" s="15">
        <f t="shared" si="4"/>
        <v>11</v>
      </c>
      <c r="D1204" s="14" t="s">
        <v>28</v>
      </c>
      <c r="E1204" s="16">
        <f t="shared" ref="E1204:G1204" si="3609">ROUNDUP((XLOOKUP($D1204,$T$3:$T$10,$U$3:$U$10)*XLOOKUP(E$2,$AA$3:$AA$5,$AB$3:$AB$5)-ABS(XLOOKUP($C1204,$Q$3:$Q$16,$R$3:$R$16)))*$B1204,-5)</f>
        <v>23500000</v>
      </c>
      <c r="F1204" s="16">
        <f t="shared" si="3609"/>
        <v>40000000</v>
      </c>
      <c r="G1204" s="16">
        <f t="shared" si="3609"/>
        <v>43400000</v>
      </c>
      <c r="H1204" s="17">
        <f t="shared" ref="H1204:J1204" si="3610">roundup((XLOOKUP($D1204,$T$3:$T$10,$U$3:$U$10)*XLOOKUP(H$2,$AA$3:$AA$5,$AC$3:$AC$5)-ABS(XLOOKUP($C1204,$Q$3:$Q$16,$R$3:$R$16)))*$B1204,-5)</f>
        <v>19700000</v>
      </c>
      <c r="I1204" s="17">
        <f t="shared" si="3610"/>
        <v>49000000</v>
      </c>
      <c r="J1204" s="17">
        <f t="shared" si="3610"/>
        <v>53000000</v>
      </c>
      <c r="K1204" s="17">
        <f t="shared" ref="K1204:M1204" si="3611">roundup((XLOOKUP($D1204,$T$3:$T$10,$U$3:$U$10)*XLOOKUP(K$2,$AA$3:$AA$5,$AD$3:$AD$5)-ABS(XLOOKUP($C1204,$Q$3:$Q$16,$R$3:$R$16)))*$B1204,-5)</f>
        <v>23000000</v>
      </c>
      <c r="L1204" s="17">
        <f t="shared" si="3611"/>
        <v>55100000</v>
      </c>
      <c r="M1204" s="17">
        <f t="shared" si="3611"/>
        <v>59500000</v>
      </c>
    </row>
    <row r="1205">
      <c r="A1205" s="14" t="s">
        <v>1248</v>
      </c>
      <c r="B1205" s="14">
        <v>145.0</v>
      </c>
      <c r="C1205" s="15">
        <f t="shared" si="4"/>
        <v>11</v>
      </c>
      <c r="D1205" s="14" t="s">
        <v>33</v>
      </c>
      <c r="E1205" s="16">
        <f t="shared" ref="E1205:G1205" si="3612">ROUNDUP((XLOOKUP($D1205,$T$3:$T$10,$U$3:$U$10)*XLOOKUP(E$2,$AA$3:$AA$5,$AB$3:$AB$5)-ABS(XLOOKUP($C1205,$Q$3:$Q$16,$R$3:$R$16)))*$B1205,-5)</f>
        <v>31500000</v>
      </c>
      <c r="F1205" s="16">
        <f t="shared" si="3612"/>
        <v>55800000</v>
      </c>
      <c r="G1205" s="16">
        <f t="shared" si="3612"/>
        <v>60900000</v>
      </c>
      <c r="H1205" s="17">
        <f t="shared" ref="H1205:J1205" si="3613">roundup((XLOOKUP($D1205,$T$3:$T$10,$U$3:$U$10)*XLOOKUP(H$2,$AA$3:$AA$5,$AC$3:$AC$5)-ABS(XLOOKUP($C1205,$Q$3:$Q$16,$R$3:$R$16)))*$B1205,-5)</f>
        <v>25900000</v>
      </c>
      <c r="I1205" s="17">
        <f t="shared" si="3613"/>
        <v>69100000</v>
      </c>
      <c r="J1205" s="17">
        <f t="shared" si="3613"/>
        <v>75000000</v>
      </c>
      <c r="K1205" s="17">
        <f t="shared" ref="K1205:M1205" si="3614">roundup((XLOOKUP($D1205,$T$3:$T$10,$U$3:$U$10)*XLOOKUP(K$2,$AA$3:$AA$5,$AD$3:$AD$5)-ABS(XLOOKUP($C1205,$Q$3:$Q$16,$R$3:$R$16)))*$B1205,-5)</f>
        <v>30700000</v>
      </c>
      <c r="L1205" s="17">
        <f t="shared" si="3614"/>
        <v>78100000</v>
      </c>
      <c r="M1205" s="17">
        <f t="shared" si="3614"/>
        <v>84600000</v>
      </c>
    </row>
    <row r="1206">
      <c r="A1206" s="14" t="s">
        <v>1249</v>
      </c>
      <c r="B1206" s="14">
        <v>31.0</v>
      </c>
      <c r="C1206" s="15">
        <f t="shared" si="4"/>
        <v>2</v>
      </c>
      <c r="D1206" s="14" t="s">
        <v>208</v>
      </c>
      <c r="E1206" s="16">
        <f t="shared" ref="E1206:G1206" si="3615">ROUNDUP((XLOOKUP($D1206,$T$3:$T$10,$U$3:$U$10)*XLOOKUP(E$2,$AA$3:$AA$5,$AB$3:$AB$5)-ABS(XLOOKUP($C1206,$Q$3:$Q$16,$R$3:$R$16)))*$B1206,-5)</f>
        <v>11700000</v>
      </c>
      <c r="F1206" s="16">
        <f t="shared" si="3615"/>
        <v>17100000</v>
      </c>
      <c r="G1206" s="16">
        <f t="shared" si="3615"/>
        <v>18200000</v>
      </c>
      <c r="H1206" s="17">
        <f t="shared" ref="H1206:J1206" si="3616">roundup((XLOOKUP($D1206,$T$3:$T$10,$U$3:$U$10)*XLOOKUP(H$2,$AA$3:$AA$5,$AC$3:$AC$5)-ABS(XLOOKUP($C1206,$Q$3:$Q$16,$R$3:$R$16)))*$B1206,-5)</f>
        <v>10400000</v>
      </c>
      <c r="I1206" s="17">
        <f t="shared" si="3616"/>
        <v>20000000</v>
      </c>
      <c r="J1206" s="17">
        <f t="shared" si="3616"/>
        <v>21300000</v>
      </c>
      <c r="K1206" s="17">
        <f t="shared" ref="K1206:M1206" si="3617">roundup((XLOOKUP($D1206,$T$3:$T$10,$U$3:$U$10)*XLOOKUP(K$2,$AA$3:$AA$5,$AD$3:$AD$5)-ABS(XLOOKUP($C1206,$Q$3:$Q$16,$R$3:$R$16)))*$B1206,-5)</f>
        <v>11500000</v>
      </c>
      <c r="L1206" s="17">
        <f t="shared" si="3617"/>
        <v>22000000</v>
      </c>
      <c r="M1206" s="17">
        <f t="shared" si="3617"/>
        <v>23400000</v>
      </c>
    </row>
    <row r="1207">
      <c r="A1207" s="14" t="s">
        <v>1250</v>
      </c>
      <c r="B1207" s="14">
        <v>160.0</v>
      </c>
      <c r="C1207" s="15">
        <f t="shared" si="4"/>
        <v>11</v>
      </c>
      <c r="D1207" s="14" t="s">
        <v>36</v>
      </c>
      <c r="E1207" s="16">
        <f t="shared" ref="E1207:G1207" si="3618">ROUNDUP((XLOOKUP($D1207,$T$3:$T$10,$U$3:$U$10)*XLOOKUP(E$2,$AA$3:$AA$5,$AB$3:$AB$5)-ABS(XLOOKUP($C1207,$Q$3:$Q$16,$R$3:$R$16)))*$B1207,-5)</f>
        <v>42000000</v>
      </c>
      <c r="F1207" s="16">
        <f t="shared" si="3618"/>
        <v>72100000</v>
      </c>
      <c r="G1207" s="16">
        <f t="shared" si="3618"/>
        <v>78400000</v>
      </c>
      <c r="H1207" s="17">
        <f t="shared" ref="H1207:J1207" si="3619">roundup((XLOOKUP($D1207,$T$3:$T$10,$U$3:$U$10)*XLOOKUP(H$2,$AA$3:$AA$5,$AC$3:$AC$5)-ABS(XLOOKUP($C1207,$Q$3:$Q$16,$R$3:$R$16)))*$B1207,-5)</f>
        <v>35100000</v>
      </c>
      <c r="I1207" s="17">
        <f t="shared" si="3619"/>
        <v>88600000</v>
      </c>
      <c r="J1207" s="17">
        <f t="shared" si="3619"/>
        <v>95800000</v>
      </c>
      <c r="K1207" s="17">
        <f t="shared" ref="K1207:M1207" si="3620">roundup((XLOOKUP($D1207,$T$3:$T$10,$U$3:$U$10)*XLOOKUP(K$2,$AA$3:$AA$5,$AD$3:$AD$5)-ABS(XLOOKUP($C1207,$Q$3:$Q$16,$R$3:$R$16)))*$B1207,-5)</f>
        <v>41100000</v>
      </c>
      <c r="L1207" s="17">
        <f t="shared" si="3620"/>
        <v>99700000</v>
      </c>
      <c r="M1207" s="17">
        <f t="shared" si="3620"/>
        <v>107700000</v>
      </c>
    </row>
    <row r="1208">
      <c r="A1208" s="14" t="s">
        <v>1251</v>
      </c>
      <c r="B1208" s="14">
        <v>163.0</v>
      </c>
      <c r="C1208" s="15">
        <f t="shared" si="4"/>
        <v>12</v>
      </c>
      <c r="D1208" s="14" t="s">
        <v>33</v>
      </c>
      <c r="E1208" s="16">
        <f t="shared" ref="E1208:G1208" si="3621">ROUNDUP((XLOOKUP($D1208,$T$3:$T$10,$U$3:$U$10)*XLOOKUP(E$2,$AA$3:$AA$5,$AB$3:$AB$5)-ABS(XLOOKUP($C1208,$Q$3:$Q$16,$R$3:$R$16)))*$B1208,-5)</f>
        <v>34600000</v>
      </c>
      <c r="F1208" s="16">
        <f t="shared" si="3621"/>
        <v>61900000</v>
      </c>
      <c r="G1208" s="16">
        <f t="shared" si="3621"/>
        <v>67600000</v>
      </c>
      <c r="H1208" s="17">
        <f t="shared" ref="H1208:J1208" si="3622">roundup((XLOOKUP($D1208,$T$3:$T$10,$U$3:$U$10)*XLOOKUP(H$2,$AA$3:$AA$5,$AC$3:$AC$5)-ABS(XLOOKUP($C1208,$Q$3:$Q$16,$R$3:$R$16)))*$B1208,-5)</f>
        <v>28300000</v>
      </c>
      <c r="I1208" s="17">
        <f t="shared" si="3622"/>
        <v>76900000</v>
      </c>
      <c r="J1208" s="17">
        <f t="shared" si="3622"/>
        <v>83500000</v>
      </c>
      <c r="K1208" s="17">
        <f t="shared" ref="K1208:M1208" si="3623">roundup((XLOOKUP($D1208,$T$3:$T$10,$U$3:$U$10)*XLOOKUP(K$2,$AA$3:$AA$5,$AD$3:$AD$5)-ABS(XLOOKUP($C1208,$Q$3:$Q$16,$R$3:$R$16)))*$B1208,-5)</f>
        <v>33700000</v>
      </c>
      <c r="L1208" s="17">
        <f t="shared" si="3623"/>
        <v>87000000</v>
      </c>
      <c r="M1208" s="17">
        <f t="shared" si="3623"/>
        <v>94300000</v>
      </c>
    </row>
    <row r="1209">
      <c r="A1209" s="14" t="s">
        <v>1252</v>
      </c>
      <c r="B1209" s="14">
        <v>88.0</v>
      </c>
      <c r="C1209" s="15">
        <f t="shared" si="4"/>
        <v>11</v>
      </c>
      <c r="D1209" s="14" t="s">
        <v>33</v>
      </c>
      <c r="E1209" s="16">
        <f t="shared" ref="E1209:G1209" si="3624">ROUNDUP((XLOOKUP($D1209,$T$3:$T$10,$U$3:$U$10)*XLOOKUP(E$2,$AA$3:$AA$5,$AB$3:$AB$5)-ABS(XLOOKUP($C1209,$Q$3:$Q$16,$R$3:$R$16)))*$B1209,-5)</f>
        <v>19100000</v>
      </c>
      <c r="F1209" s="16">
        <f t="shared" si="3624"/>
        <v>33900000</v>
      </c>
      <c r="G1209" s="16">
        <f t="shared" si="3624"/>
        <v>37000000</v>
      </c>
      <c r="H1209" s="17">
        <f t="shared" ref="H1209:J1209" si="3625">roundup((XLOOKUP($D1209,$T$3:$T$10,$U$3:$U$10)*XLOOKUP(H$2,$AA$3:$AA$5,$AC$3:$AC$5)-ABS(XLOOKUP($C1209,$Q$3:$Q$16,$R$3:$R$16)))*$B1209,-5)</f>
        <v>15800000</v>
      </c>
      <c r="I1209" s="17">
        <f t="shared" si="3625"/>
        <v>42000000</v>
      </c>
      <c r="J1209" s="17">
        <f t="shared" si="3625"/>
        <v>45500000</v>
      </c>
      <c r="K1209" s="17">
        <f t="shared" ref="K1209:M1209" si="3626">roundup((XLOOKUP($D1209,$T$3:$T$10,$U$3:$U$10)*XLOOKUP(K$2,$AA$3:$AA$5,$AD$3:$AD$5)-ABS(XLOOKUP($C1209,$Q$3:$Q$16,$R$3:$R$16)))*$B1209,-5)</f>
        <v>18700000</v>
      </c>
      <c r="L1209" s="17">
        <f t="shared" si="3626"/>
        <v>47400000</v>
      </c>
      <c r="M1209" s="17">
        <f t="shared" si="3626"/>
        <v>51300000</v>
      </c>
    </row>
    <row r="1210">
      <c r="A1210" s="14" t="s">
        <v>1253</v>
      </c>
      <c r="B1210" s="14">
        <v>146.0</v>
      </c>
      <c r="C1210" s="15">
        <f t="shared" si="4"/>
        <v>11</v>
      </c>
      <c r="D1210" s="14" t="s">
        <v>36</v>
      </c>
      <c r="E1210" s="16">
        <f t="shared" ref="E1210:G1210" si="3627">ROUNDUP((XLOOKUP($D1210,$T$3:$T$10,$U$3:$U$10)*XLOOKUP(E$2,$AA$3:$AA$5,$AB$3:$AB$5)-ABS(XLOOKUP($C1210,$Q$3:$Q$16,$R$3:$R$16)))*$B1210,-5)</f>
        <v>38300000</v>
      </c>
      <c r="F1210" s="16">
        <f t="shared" si="3627"/>
        <v>65800000</v>
      </c>
      <c r="G1210" s="16">
        <f t="shared" si="3627"/>
        <v>71500000</v>
      </c>
      <c r="H1210" s="17">
        <f t="shared" ref="H1210:J1210" si="3628">roundup((XLOOKUP($D1210,$T$3:$T$10,$U$3:$U$10)*XLOOKUP(H$2,$AA$3:$AA$5,$AC$3:$AC$5)-ABS(XLOOKUP($C1210,$Q$3:$Q$16,$R$3:$R$16)))*$B1210,-5)</f>
        <v>32100000</v>
      </c>
      <c r="I1210" s="17">
        <f t="shared" si="3628"/>
        <v>80800000</v>
      </c>
      <c r="J1210" s="17">
        <f t="shared" si="3628"/>
        <v>87400000</v>
      </c>
      <c r="K1210" s="17">
        <f t="shared" ref="K1210:M1210" si="3629">roundup((XLOOKUP($D1210,$T$3:$T$10,$U$3:$U$10)*XLOOKUP(K$2,$AA$3:$AA$5,$AD$3:$AD$5)-ABS(XLOOKUP($C1210,$Q$3:$Q$16,$R$3:$R$16)))*$B1210,-5)</f>
        <v>37500000</v>
      </c>
      <c r="L1210" s="17">
        <f t="shared" si="3629"/>
        <v>91000000</v>
      </c>
      <c r="M1210" s="17">
        <f t="shared" si="3629"/>
        <v>98300000</v>
      </c>
    </row>
    <row r="1211">
      <c r="A1211" s="14" t="s">
        <v>1254</v>
      </c>
      <c r="B1211" s="14">
        <v>132.0</v>
      </c>
      <c r="C1211" s="15">
        <f t="shared" si="4"/>
        <v>11</v>
      </c>
      <c r="D1211" s="14" t="s">
        <v>36</v>
      </c>
      <c r="E1211" s="16">
        <f t="shared" ref="E1211:G1211" si="3630">ROUNDUP((XLOOKUP($D1211,$T$3:$T$10,$U$3:$U$10)*XLOOKUP(E$2,$AA$3:$AA$5,$AB$3:$AB$5)-ABS(XLOOKUP($C1211,$Q$3:$Q$16,$R$3:$R$16)))*$B1211,-5)</f>
        <v>34700000</v>
      </c>
      <c r="F1211" s="16">
        <f t="shared" si="3630"/>
        <v>59500000</v>
      </c>
      <c r="G1211" s="16">
        <f t="shared" si="3630"/>
        <v>64700000</v>
      </c>
      <c r="H1211" s="17">
        <f t="shared" ref="H1211:J1211" si="3631">roundup((XLOOKUP($D1211,$T$3:$T$10,$U$3:$U$10)*XLOOKUP(H$2,$AA$3:$AA$5,$AC$3:$AC$5)-ABS(XLOOKUP($C1211,$Q$3:$Q$16,$R$3:$R$16)))*$B1211,-5)</f>
        <v>29000000</v>
      </c>
      <c r="I1211" s="17">
        <f t="shared" si="3631"/>
        <v>73100000</v>
      </c>
      <c r="J1211" s="17">
        <f t="shared" si="3631"/>
        <v>79100000</v>
      </c>
      <c r="K1211" s="17">
        <f t="shared" ref="K1211:M1211" si="3632">roundup((XLOOKUP($D1211,$T$3:$T$10,$U$3:$U$10)*XLOOKUP(K$2,$AA$3:$AA$5,$AD$3:$AD$5)-ABS(XLOOKUP($C1211,$Q$3:$Q$16,$R$3:$R$16)))*$B1211,-5)</f>
        <v>33900000</v>
      </c>
      <c r="L1211" s="17">
        <f t="shared" si="3632"/>
        <v>82200000</v>
      </c>
      <c r="M1211" s="17">
        <f t="shared" si="3632"/>
        <v>88800000</v>
      </c>
    </row>
    <row r="1212">
      <c r="A1212" s="14" t="s">
        <v>1255</v>
      </c>
      <c r="B1212" s="14">
        <v>60.0</v>
      </c>
      <c r="C1212" s="15">
        <f t="shared" si="4"/>
        <v>8</v>
      </c>
      <c r="D1212" s="14" t="s">
        <v>36</v>
      </c>
      <c r="E1212" s="16">
        <f t="shared" ref="E1212:G1212" si="3633">ROUNDUP((XLOOKUP($D1212,$T$3:$T$10,$U$3:$U$10)*XLOOKUP(E$2,$AA$3:$AA$5,$AB$3:$AB$5)-ABS(XLOOKUP($C1212,$Q$3:$Q$16,$R$3:$R$16)))*$B1212,-5)</f>
        <v>21500000</v>
      </c>
      <c r="F1212" s="16">
        <f t="shared" si="3633"/>
        <v>32800000</v>
      </c>
      <c r="G1212" s="16">
        <f t="shared" si="3633"/>
        <v>35100000</v>
      </c>
      <c r="H1212" s="17">
        <f t="shared" ref="H1212:J1212" si="3634">roundup((XLOOKUP($D1212,$T$3:$T$10,$U$3:$U$10)*XLOOKUP(H$2,$AA$3:$AA$5,$AC$3:$AC$5)-ABS(XLOOKUP($C1212,$Q$3:$Q$16,$R$3:$R$16)))*$B1212,-5)</f>
        <v>18900000</v>
      </c>
      <c r="I1212" s="17">
        <f t="shared" si="3634"/>
        <v>38900000</v>
      </c>
      <c r="J1212" s="17">
        <f t="shared" si="3634"/>
        <v>41700000</v>
      </c>
      <c r="K1212" s="17">
        <f t="shared" ref="K1212:M1212" si="3635">roundup((XLOOKUP($D1212,$T$3:$T$10,$U$3:$U$10)*XLOOKUP(K$2,$AA$3:$AA$5,$AD$3:$AD$5)-ABS(XLOOKUP($C1212,$Q$3:$Q$16,$R$3:$R$16)))*$B1212,-5)</f>
        <v>21100000</v>
      </c>
      <c r="L1212" s="17">
        <f t="shared" si="3635"/>
        <v>43100000</v>
      </c>
      <c r="M1212" s="17">
        <f t="shared" si="3635"/>
        <v>46100000</v>
      </c>
    </row>
    <row r="1213">
      <c r="A1213" s="14" t="s">
        <v>1256</v>
      </c>
      <c r="B1213" s="14">
        <v>144.0</v>
      </c>
      <c r="C1213" s="15">
        <f t="shared" si="4"/>
        <v>11</v>
      </c>
      <c r="D1213" s="14" t="s">
        <v>33</v>
      </c>
      <c r="E1213" s="16">
        <f t="shared" ref="E1213:G1213" si="3636">ROUNDUP((XLOOKUP($D1213,$T$3:$T$10,$U$3:$U$10)*XLOOKUP(E$2,$AA$3:$AA$5,$AB$3:$AB$5)-ABS(XLOOKUP($C1213,$Q$3:$Q$16,$R$3:$R$16)))*$B1213,-5)</f>
        <v>31300000</v>
      </c>
      <c r="F1213" s="16">
        <f t="shared" si="3636"/>
        <v>55500000</v>
      </c>
      <c r="G1213" s="16">
        <f t="shared" si="3636"/>
        <v>60500000</v>
      </c>
      <c r="H1213" s="17">
        <f t="shared" ref="H1213:J1213" si="3637">roundup((XLOOKUP($D1213,$T$3:$T$10,$U$3:$U$10)*XLOOKUP(H$2,$AA$3:$AA$5,$AC$3:$AC$5)-ABS(XLOOKUP($C1213,$Q$3:$Q$16,$R$3:$R$16)))*$B1213,-5)</f>
        <v>25700000</v>
      </c>
      <c r="I1213" s="17">
        <f t="shared" si="3637"/>
        <v>68600000</v>
      </c>
      <c r="J1213" s="17">
        <f t="shared" si="3637"/>
        <v>74500000</v>
      </c>
      <c r="K1213" s="17">
        <f t="shared" ref="K1213:M1213" si="3638">roundup((XLOOKUP($D1213,$T$3:$T$10,$U$3:$U$10)*XLOOKUP(K$2,$AA$3:$AA$5,$AD$3:$AD$5)-ABS(XLOOKUP($C1213,$Q$3:$Q$16,$R$3:$R$16)))*$B1213,-5)</f>
        <v>30500000</v>
      </c>
      <c r="L1213" s="17">
        <f t="shared" si="3638"/>
        <v>77600000</v>
      </c>
      <c r="M1213" s="17">
        <f t="shared" si="3638"/>
        <v>84000000</v>
      </c>
    </row>
    <row r="1214">
      <c r="A1214" s="14" t="s">
        <v>1257</v>
      </c>
      <c r="B1214" s="14">
        <v>264.0</v>
      </c>
      <c r="C1214" s="15">
        <f t="shared" si="4"/>
        <v>14</v>
      </c>
      <c r="D1214" s="14" t="s">
        <v>33</v>
      </c>
      <c r="E1214" s="16">
        <f t="shared" ref="E1214:G1214" si="3639">ROUNDUP((XLOOKUP($D1214,$T$3:$T$10,$U$3:$U$10)*XLOOKUP(E$2,$AA$3:$AA$5,$AB$3:$AB$5)-ABS(XLOOKUP($C1214,$Q$3:$Q$16,$R$3:$R$16)))*$B1214,-5)</f>
        <v>49600000</v>
      </c>
      <c r="F1214" s="16">
        <f t="shared" si="3639"/>
        <v>94000000</v>
      </c>
      <c r="G1214" s="16">
        <f t="shared" si="3639"/>
        <v>103100000</v>
      </c>
      <c r="H1214" s="17">
        <f t="shared" ref="H1214:J1214" si="3640">roundup((XLOOKUP($D1214,$T$3:$T$10,$U$3:$U$10)*XLOOKUP(H$2,$AA$3:$AA$5,$AC$3:$AC$5)-ABS(XLOOKUP($C1214,$Q$3:$Q$16,$R$3:$R$16)))*$B1214,-5)</f>
        <v>39500000</v>
      </c>
      <c r="I1214" s="17">
        <f t="shared" si="3640"/>
        <v>118100000</v>
      </c>
      <c r="J1214" s="17">
        <f t="shared" si="3640"/>
        <v>128800000</v>
      </c>
      <c r="K1214" s="17">
        <f t="shared" ref="K1214:M1214" si="3641">roundup((XLOOKUP($D1214,$T$3:$T$10,$U$3:$U$10)*XLOOKUP(K$2,$AA$3:$AA$5,$AD$3:$AD$5)-ABS(XLOOKUP($C1214,$Q$3:$Q$16,$R$3:$R$16)))*$B1214,-5)</f>
        <v>48200000</v>
      </c>
      <c r="L1214" s="17">
        <f t="shared" si="3641"/>
        <v>134500000</v>
      </c>
      <c r="M1214" s="17">
        <f t="shared" si="3641"/>
        <v>146300000</v>
      </c>
    </row>
    <row r="1215">
      <c r="A1215" s="14" t="s">
        <v>1258</v>
      </c>
      <c r="B1215" s="14">
        <v>83.0</v>
      </c>
      <c r="C1215" s="15">
        <f t="shared" si="4"/>
        <v>11</v>
      </c>
      <c r="D1215" s="14" t="s">
        <v>28</v>
      </c>
      <c r="E1215" s="16">
        <f t="shared" ref="E1215:G1215" si="3642">ROUNDUP((XLOOKUP($D1215,$T$3:$T$10,$U$3:$U$10)*XLOOKUP(E$2,$AA$3:$AA$5,$AB$3:$AB$5)-ABS(XLOOKUP($C1215,$Q$3:$Q$16,$R$3:$R$16)))*$B1215,-5)</f>
        <v>22900000</v>
      </c>
      <c r="F1215" s="16">
        <f t="shared" si="3642"/>
        <v>39000000</v>
      </c>
      <c r="G1215" s="16">
        <f t="shared" si="3642"/>
        <v>42400000</v>
      </c>
      <c r="H1215" s="17">
        <f t="shared" ref="H1215:J1215" si="3643">roundup((XLOOKUP($D1215,$T$3:$T$10,$U$3:$U$10)*XLOOKUP(H$2,$AA$3:$AA$5,$AC$3:$AC$5)-ABS(XLOOKUP($C1215,$Q$3:$Q$16,$R$3:$R$16)))*$B1215,-5)</f>
        <v>19200000</v>
      </c>
      <c r="I1215" s="17">
        <f t="shared" si="3643"/>
        <v>47800000</v>
      </c>
      <c r="J1215" s="17">
        <f t="shared" si="3643"/>
        <v>51700000</v>
      </c>
      <c r="K1215" s="17">
        <f t="shared" ref="K1215:M1215" si="3644">roundup((XLOOKUP($D1215,$T$3:$T$10,$U$3:$U$10)*XLOOKUP(K$2,$AA$3:$AA$5,$AD$3:$AD$5)-ABS(XLOOKUP($C1215,$Q$3:$Q$16,$R$3:$R$16)))*$B1215,-5)</f>
        <v>22400000</v>
      </c>
      <c r="L1215" s="17">
        <f t="shared" si="3644"/>
        <v>53800000</v>
      </c>
      <c r="M1215" s="17">
        <f t="shared" si="3644"/>
        <v>58100000</v>
      </c>
    </row>
    <row r="1216">
      <c r="A1216" s="14" t="s">
        <v>1259</v>
      </c>
      <c r="B1216" s="14">
        <v>218.0</v>
      </c>
      <c r="C1216" s="15">
        <f t="shared" si="4"/>
        <v>13</v>
      </c>
      <c r="D1216" s="14" t="s">
        <v>36</v>
      </c>
      <c r="E1216" s="16">
        <f t="shared" ref="E1216:G1216" si="3645">ROUNDUP((XLOOKUP($D1216,$T$3:$T$10,$U$3:$U$10)*XLOOKUP(E$2,$AA$3:$AA$5,$AB$3:$AB$5)-ABS(XLOOKUP($C1216,$Q$3:$Q$16,$R$3:$R$16)))*$B1216,-5)</f>
        <v>52800000</v>
      </c>
      <c r="F1216" s="16">
        <f t="shared" si="3645"/>
        <v>93900000</v>
      </c>
      <c r="G1216" s="16">
        <f t="shared" si="3645"/>
        <v>102400000</v>
      </c>
      <c r="H1216" s="17">
        <f t="shared" ref="H1216:J1216" si="3646">roundup((XLOOKUP($D1216,$T$3:$T$10,$U$3:$U$10)*XLOOKUP(H$2,$AA$3:$AA$5,$AC$3:$AC$5)-ABS(XLOOKUP($C1216,$Q$3:$Q$16,$R$3:$R$16)))*$B1216,-5)</f>
        <v>43500000</v>
      </c>
      <c r="I1216" s="17">
        <f t="shared" si="3646"/>
        <v>116300000</v>
      </c>
      <c r="J1216" s="17">
        <f t="shared" si="3646"/>
        <v>126200000</v>
      </c>
      <c r="K1216" s="17">
        <f t="shared" ref="K1216:M1216" si="3647">roundup((XLOOKUP($D1216,$T$3:$T$10,$U$3:$U$10)*XLOOKUP(K$2,$AA$3:$AA$5,$AD$3:$AD$5)-ABS(XLOOKUP($C1216,$Q$3:$Q$16,$R$3:$R$16)))*$B1216,-5)</f>
        <v>51600000</v>
      </c>
      <c r="L1216" s="17">
        <f t="shared" si="3647"/>
        <v>131400000</v>
      </c>
      <c r="M1216" s="17">
        <f t="shared" si="3647"/>
        <v>142300000</v>
      </c>
    </row>
    <row r="1217">
      <c r="A1217" s="14" t="s">
        <v>1260</v>
      </c>
      <c r="B1217" s="14">
        <v>190.0</v>
      </c>
      <c r="C1217" s="15">
        <f t="shared" si="4"/>
        <v>13</v>
      </c>
      <c r="D1217" s="14" t="s">
        <v>36</v>
      </c>
      <c r="E1217" s="16">
        <f t="shared" ref="E1217:G1217" si="3648">ROUNDUP((XLOOKUP($D1217,$T$3:$T$10,$U$3:$U$10)*XLOOKUP(E$2,$AA$3:$AA$5,$AB$3:$AB$5)-ABS(XLOOKUP($C1217,$Q$3:$Q$16,$R$3:$R$16)))*$B1217,-5)</f>
        <v>46100000</v>
      </c>
      <c r="F1217" s="16">
        <f t="shared" si="3648"/>
        <v>81900000</v>
      </c>
      <c r="G1217" s="16">
        <f t="shared" si="3648"/>
        <v>89300000</v>
      </c>
      <c r="H1217" s="17">
        <f t="shared" ref="H1217:J1217" si="3649">roundup((XLOOKUP($D1217,$T$3:$T$10,$U$3:$U$10)*XLOOKUP(H$2,$AA$3:$AA$5,$AC$3:$AC$5)-ABS(XLOOKUP($C1217,$Q$3:$Q$16,$R$3:$R$16)))*$B1217,-5)</f>
        <v>37900000</v>
      </c>
      <c r="I1217" s="17">
        <f t="shared" si="3649"/>
        <v>101300000</v>
      </c>
      <c r="J1217" s="17">
        <f t="shared" si="3649"/>
        <v>110000000</v>
      </c>
      <c r="K1217" s="17">
        <f t="shared" ref="K1217:M1217" si="3650">roundup((XLOOKUP($D1217,$T$3:$T$10,$U$3:$U$10)*XLOOKUP(K$2,$AA$3:$AA$5,$AD$3:$AD$5)-ABS(XLOOKUP($C1217,$Q$3:$Q$16,$R$3:$R$16)))*$B1217,-5)</f>
        <v>45000000</v>
      </c>
      <c r="L1217" s="17">
        <f t="shared" si="3650"/>
        <v>114600000</v>
      </c>
      <c r="M1217" s="17">
        <f t="shared" si="3650"/>
        <v>124100000</v>
      </c>
    </row>
    <row r="1218">
      <c r="A1218" s="14" t="s">
        <v>1261</v>
      </c>
      <c r="B1218" s="14">
        <v>300.0</v>
      </c>
      <c r="C1218" s="15">
        <f t="shared" si="4"/>
        <v>14</v>
      </c>
      <c r="D1218" s="14" t="s">
        <v>33</v>
      </c>
      <c r="E1218" s="16">
        <f t="shared" ref="E1218:G1218" si="3651">ROUNDUP((XLOOKUP($D1218,$T$3:$T$10,$U$3:$U$10)*XLOOKUP(E$2,$AA$3:$AA$5,$AB$3:$AB$5)-ABS(XLOOKUP($C1218,$Q$3:$Q$16,$R$3:$R$16)))*$B1218,-5)</f>
        <v>56400000</v>
      </c>
      <c r="F1218" s="16">
        <f t="shared" si="3651"/>
        <v>106800000</v>
      </c>
      <c r="G1218" s="16">
        <f t="shared" si="3651"/>
        <v>117200000</v>
      </c>
      <c r="H1218" s="17">
        <f t="shared" ref="H1218:J1218" si="3652">roundup((XLOOKUP($D1218,$T$3:$T$10,$U$3:$U$10)*XLOOKUP(H$2,$AA$3:$AA$5,$AC$3:$AC$5)-ABS(XLOOKUP($C1218,$Q$3:$Q$16,$R$3:$R$16)))*$B1218,-5)</f>
        <v>44900000</v>
      </c>
      <c r="I1218" s="17">
        <f t="shared" si="3652"/>
        <v>134200000</v>
      </c>
      <c r="J1218" s="17">
        <f t="shared" si="3652"/>
        <v>146400000</v>
      </c>
      <c r="K1218" s="17">
        <f t="shared" ref="K1218:M1218" si="3653">roundup((XLOOKUP($D1218,$T$3:$T$10,$U$3:$U$10)*XLOOKUP(K$2,$AA$3:$AA$5,$AD$3:$AD$5)-ABS(XLOOKUP($C1218,$Q$3:$Q$16,$R$3:$R$16)))*$B1218,-5)</f>
        <v>54800000</v>
      </c>
      <c r="L1218" s="17">
        <f t="shared" si="3653"/>
        <v>152800000</v>
      </c>
      <c r="M1218" s="17">
        <f t="shared" si="3653"/>
        <v>166200000</v>
      </c>
    </row>
    <row r="1219">
      <c r="A1219" s="14" t="s">
        <v>1262</v>
      </c>
      <c r="B1219" s="14">
        <v>191.0</v>
      </c>
      <c r="C1219" s="15">
        <f t="shared" si="4"/>
        <v>13</v>
      </c>
      <c r="D1219" s="14" t="s">
        <v>36</v>
      </c>
      <c r="E1219" s="16">
        <f t="shared" ref="E1219:G1219" si="3654">ROUNDUP((XLOOKUP($D1219,$T$3:$T$10,$U$3:$U$10)*XLOOKUP(E$2,$AA$3:$AA$5,$AB$3:$AB$5)-ABS(XLOOKUP($C1219,$Q$3:$Q$16,$R$3:$R$16)))*$B1219,-5)</f>
        <v>46300000</v>
      </c>
      <c r="F1219" s="16">
        <f t="shared" si="3654"/>
        <v>82300000</v>
      </c>
      <c r="G1219" s="16">
        <f t="shared" si="3654"/>
        <v>89700000</v>
      </c>
      <c r="H1219" s="17">
        <f t="shared" ref="H1219:J1219" si="3655">roundup((XLOOKUP($D1219,$T$3:$T$10,$U$3:$U$10)*XLOOKUP(H$2,$AA$3:$AA$5,$AC$3:$AC$5)-ABS(XLOOKUP($C1219,$Q$3:$Q$16,$R$3:$R$16)))*$B1219,-5)</f>
        <v>38100000</v>
      </c>
      <c r="I1219" s="17">
        <f t="shared" si="3655"/>
        <v>101900000</v>
      </c>
      <c r="J1219" s="17">
        <f t="shared" si="3655"/>
        <v>110600000</v>
      </c>
      <c r="K1219" s="17">
        <f t="shared" ref="K1219:M1219" si="3656">roundup((XLOOKUP($D1219,$T$3:$T$10,$U$3:$U$10)*XLOOKUP(K$2,$AA$3:$AA$5,$AD$3:$AD$5)-ABS(XLOOKUP($C1219,$Q$3:$Q$16,$R$3:$R$16)))*$B1219,-5)</f>
        <v>45200000</v>
      </c>
      <c r="L1219" s="17">
        <f t="shared" si="3656"/>
        <v>115200000</v>
      </c>
      <c r="M1219" s="17">
        <f t="shared" si="3656"/>
        <v>124700000</v>
      </c>
    </row>
    <row r="1220">
      <c r="A1220" s="14" t="s">
        <v>1263</v>
      </c>
      <c r="B1220" s="14">
        <v>131.0</v>
      </c>
      <c r="C1220" s="15">
        <f t="shared" si="4"/>
        <v>11</v>
      </c>
      <c r="D1220" s="14" t="s">
        <v>36</v>
      </c>
      <c r="E1220" s="16">
        <f t="shared" ref="E1220:G1220" si="3657">ROUNDUP((XLOOKUP($D1220,$T$3:$T$10,$U$3:$U$10)*XLOOKUP(E$2,$AA$3:$AA$5,$AB$3:$AB$5)-ABS(XLOOKUP($C1220,$Q$3:$Q$16,$R$3:$R$16)))*$B1220,-5)</f>
        <v>34400000</v>
      </c>
      <c r="F1220" s="16">
        <f t="shared" si="3657"/>
        <v>59100000</v>
      </c>
      <c r="G1220" s="16">
        <f t="shared" si="3657"/>
        <v>64200000</v>
      </c>
      <c r="H1220" s="17">
        <f t="shared" ref="H1220:J1220" si="3658">roundup((XLOOKUP($D1220,$T$3:$T$10,$U$3:$U$10)*XLOOKUP(H$2,$AA$3:$AA$5,$AC$3:$AC$5)-ABS(XLOOKUP($C1220,$Q$3:$Q$16,$R$3:$R$16)))*$B1220,-5)</f>
        <v>28800000</v>
      </c>
      <c r="I1220" s="17">
        <f t="shared" si="3658"/>
        <v>72500000</v>
      </c>
      <c r="J1220" s="17">
        <f t="shared" si="3658"/>
        <v>78500000</v>
      </c>
      <c r="K1220" s="17">
        <f t="shared" ref="K1220:M1220" si="3659">roundup((XLOOKUP($D1220,$T$3:$T$10,$U$3:$U$10)*XLOOKUP(K$2,$AA$3:$AA$5,$AD$3:$AD$5)-ABS(XLOOKUP($C1220,$Q$3:$Q$16,$R$3:$R$16)))*$B1220,-5)</f>
        <v>33600000</v>
      </c>
      <c r="L1220" s="17">
        <f t="shared" si="3659"/>
        <v>81600000</v>
      </c>
      <c r="M1220" s="17">
        <f t="shared" si="3659"/>
        <v>88200000</v>
      </c>
    </row>
    <row r="1221">
      <c r="A1221" s="14" t="s">
        <v>1264</v>
      </c>
      <c r="B1221" s="14">
        <v>200.0</v>
      </c>
      <c r="C1221" s="15">
        <f t="shared" si="4"/>
        <v>13</v>
      </c>
      <c r="D1221" s="14" t="s">
        <v>33</v>
      </c>
      <c r="E1221" s="16">
        <f t="shared" ref="E1221:G1221" si="3660">ROUNDUP((XLOOKUP($D1221,$T$3:$T$10,$U$3:$U$10)*XLOOKUP(E$2,$AA$3:$AA$5,$AB$3:$AB$5)-ABS(XLOOKUP($C1221,$Q$3:$Q$16,$R$3:$R$16)))*$B1221,-5)</f>
        <v>39400000</v>
      </c>
      <c r="F1221" s="16">
        <f t="shared" si="3660"/>
        <v>73000000</v>
      </c>
      <c r="G1221" s="16">
        <f t="shared" si="3660"/>
        <v>79900000</v>
      </c>
      <c r="H1221" s="17">
        <f t="shared" ref="H1221:J1221" si="3661">roundup((XLOOKUP($D1221,$T$3:$T$10,$U$3:$U$10)*XLOOKUP(H$2,$AA$3:$AA$5,$AC$3:$AC$5)-ABS(XLOOKUP($C1221,$Q$3:$Q$16,$R$3:$R$16)))*$B1221,-5)</f>
        <v>31700000</v>
      </c>
      <c r="I1221" s="17">
        <f t="shared" si="3661"/>
        <v>91300000</v>
      </c>
      <c r="J1221" s="17">
        <f t="shared" si="3661"/>
        <v>99400000</v>
      </c>
      <c r="K1221" s="17">
        <f t="shared" ref="K1221:M1221" si="3662">roundup((XLOOKUP($D1221,$T$3:$T$10,$U$3:$U$10)*XLOOKUP(K$2,$AA$3:$AA$5,$AD$3:$AD$5)-ABS(XLOOKUP($C1221,$Q$3:$Q$16,$R$3:$R$16)))*$B1221,-5)</f>
        <v>38300000</v>
      </c>
      <c r="L1221" s="17">
        <f t="shared" si="3662"/>
        <v>103700000</v>
      </c>
      <c r="M1221" s="17">
        <f t="shared" si="3662"/>
        <v>112600000</v>
      </c>
    </row>
    <row r="1222">
      <c r="A1222" s="14" t="s">
        <v>1265</v>
      </c>
      <c r="B1222" s="14">
        <v>77.0</v>
      </c>
      <c r="C1222" s="15">
        <f t="shared" si="4"/>
        <v>10</v>
      </c>
      <c r="D1222" s="14" t="s">
        <v>36</v>
      </c>
      <c r="E1222" s="16">
        <f t="shared" ref="E1222:G1222" si="3663">ROUNDUP((XLOOKUP($D1222,$T$3:$T$10,$U$3:$U$10)*XLOOKUP(E$2,$AA$3:$AA$5,$AB$3:$AB$5)-ABS(XLOOKUP($C1222,$Q$3:$Q$16,$R$3:$R$16)))*$B1222,-5)</f>
        <v>22500000</v>
      </c>
      <c r="F1222" s="16">
        <f t="shared" si="3663"/>
        <v>37100000</v>
      </c>
      <c r="G1222" s="16">
        <f t="shared" si="3663"/>
        <v>40100000</v>
      </c>
      <c r="H1222" s="17">
        <f t="shared" ref="H1222:J1222" si="3664">roundup((XLOOKUP($D1222,$T$3:$T$10,$U$3:$U$10)*XLOOKUP(H$2,$AA$3:$AA$5,$AC$3:$AC$5)-ABS(XLOOKUP($C1222,$Q$3:$Q$16,$R$3:$R$16)))*$B1222,-5)</f>
        <v>19200000</v>
      </c>
      <c r="I1222" s="17">
        <f t="shared" si="3664"/>
        <v>45000000</v>
      </c>
      <c r="J1222" s="17">
        <f t="shared" si="3664"/>
        <v>48500000</v>
      </c>
      <c r="K1222" s="17">
        <f t="shared" ref="K1222:M1222" si="3665">roundup((XLOOKUP($D1222,$T$3:$T$10,$U$3:$U$10)*XLOOKUP(K$2,$AA$3:$AA$5,$AD$3:$AD$5)-ABS(XLOOKUP($C1222,$Q$3:$Q$16,$R$3:$R$16)))*$B1222,-5)</f>
        <v>22100000</v>
      </c>
      <c r="L1222" s="17">
        <f t="shared" si="3665"/>
        <v>50300000</v>
      </c>
      <c r="M1222" s="17">
        <f t="shared" si="3665"/>
        <v>54200000</v>
      </c>
    </row>
    <row r="1223">
      <c r="A1223" s="14" t="s">
        <v>1266</v>
      </c>
      <c r="B1223" s="14">
        <v>214.0</v>
      </c>
      <c r="C1223" s="15">
        <f t="shared" si="4"/>
        <v>13</v>
      </c>
      <c r="D1223" s="14" t="s">
        <v>36</v>
      </c>
      <c r="E1223" s="16">
        <f t="shared" ref="E1223:G1223" si="3666">ROUNDUP((XLOOKUP($D1223,$T$3:$T$10,$U$3:$U$10)*XLOOKUP(E$2,$AA$3:$AA$5,$AB$3:$AB$5)-ABS(XLOOKUP($C1223,$Q$3:$Q$16,$R$3:$R$16)))*$B1223,-5)</f>
        <v>51900000</v>
      </c>
      <c r="F1223" s="16">
        <f t="shared" si="3666"/>
        <v>92200000</v>
      </c>
      <c r="G1223" s="16">
        <f t="shared" si="3666"/>
        <v>100500000</v>
      </c>
      <c r="H1223" s="17">
        <f t="shared" ref="H1223:J1223" si="3667">roundup((XLOOKUP($D1223,$T$3:$T$10,$U$3:$U$10)*XLOOKUP(H$2,$AA$3:$AA$5,$AC$3:$AC$5)-ABS(XLOOKUP($C1223,$Q$3:$Q$16,$R$3:$R$16)))*$B1223,-5)</f>
        <v>42700000</v>
      </c>
      <c r="I1223" s="17">
        <f t="shared" si="3667"/>
        <v>114100000</v>
      </c>
      <c r="J1223" s="17">
        <f t="shared" si="3667"/>
        <v>123900000</v>
      </c>
      <c r="K1223" s="17">
        <f t="shared" ref="K1223:M1223" si="3668">roundup((XLOOKUP($D1223,$T$3:$T$10,$U$3:$U$10)*XLOOKUP(K$2,$AA$3:$AA$5,$AD$3:$AD$5)-ABS(XLOOKUP($C1223,$Q$3:$Q$16,$R$3:$R$16)))*$B1223,-5)</f>
        <v>50600000</v>
      </c>
      <c r="L1223" s="17">
        <f t="shared" si="3668"/>
        <v>129000000</v>
      </c>
      <c r="M1223" s="17">
        <f t="shared" si="3668"/>
        <v>139700000</v>
      </c>
    </row>
    <row r="1224">
      <c r="A1224" s="14" t="s">
        <v>1267</v>
      </c>
      <c r="B1224" s="14">
        <v>109.0</v>
      </c>
      <c r="C1224" s="15">
        <f t="shared" si="4"/>
        <v>11</v>
      </c>
      <c r="D1224" s="14" t="s">
        <v>33</v>
      </c>
      <c r="E1224" s="16">
        <f t="shared" ref="E1224:G1224" si="3669">ROUNDUP((XLOOKUP($D1224,$T$3:$T$10,$U$3:$U$10)*XLOOKUP(E$2,$AA$3:$AA$5,$AB$3:$AB$5)-ABS(XLOOKUP($C1224,$Q$3:$Q$16,$R$3:$R$16)))*$B1224,-5)</f>
        <v>23700000</v>
      </c>
      <c r="F1224" s="16">
        <f t="shared" si="3669"/>
        <v>42000000</v>
      </c>
      <c r="G1224" s="16">
        <f t="shared" si="3669"/>
        <v>45800000</v>
      </c>
      <c r="H1224" s="17">
        <f t="shared" ref="H1224:J1224" si="3670">roundup((XLOOKUP($D1224,$T$3:$T$10,$U$3:$U$10)*XLOOKUP(H$2,$AA$3:$AA$5,$AC$3:$AC$5)-ABS(XLOOKUP($C1224,$Q$3:$Q$16,$R$3:$R$16)))*$B1224,-5)</f>
        <v>19500000</v>
      </c>
      <c r="I1224" s="17">
        <f t="shared" si="3670"/>
        <v>52000000</v>
      </c>
      <c r="J1224" s="17">
        <f t="shared" si="3670"/>
        <v>56400000</v>
      </c>
      <c r="K1224" s="17">
        <f t="shared" ref="K1224:M1224" si="3671">roundup((XLOOKUP($D1224,$T$3:$T$10,$U$3:$U$10)*XLOOKUP(K$2,$AA$3:$AA$5,$AD$3:$AD$5)-ABS(XLOOKUP($C1224,$Q$3:$Q$16,$R$3:$R$16)))*$B1224,-5)</f>
        <v>23100000</v>
      </c>
      <c r="L1224" s="17">
        <f t="shared" si="3671"/>
        <v>58700000</v>
      </c>
      <c r="M1224" s="17">
        <f t="shared" si="3671"/>
        <v>63600000</v>
      </c>
    </row>
    <row r="1225">
      <c r="A1225" s="14" t="s">
        <v>1268</v>
      </c>
      <c r="B1225" s="14">
        <v>243.0</v>
      </c>
      <c r="C1225" s="15">
        <f t="shared" si="4"/>
        <v>14</v>
      </c>
      <c r="D1225" s="14" t="s">
        <v>33</v>
      </c>
      <c r="E1225" s="16">
        <f t="shared" ref="E1225:G1225" si="3672">ROUNDUP((XLOOKUP($D1225,$T$3:$T$10,$U$3:$U$10)*XLOOKUP(E$2,$AA$3:$AA$5,$AB$3:$AB$5)-ABS(XLOOKUP($C1225,$Q$3:$Q$16,$R$3:$R$16)))*$B1225,-5)</f>
        <v>45700000</v>
      </c>
      <c r="F1225" s="16">
        <f t="shared" si="3672"/>
        <v>86500000</v>
      </c>
      <c r="G1225" s="16">
        <f t="shared" si="3672"/>
        <v>94900000</v>
      </c>
      <c r="H1225" s="17">
        <f t="shared" ref="H1225:J1225" si="3673">roundup((XLOOKUP($D1225,$T$3:$T$10,$U$3:$U$10)*XLOOKUP(H$2,$AA$3:$AA$5,$AC$3:$AC$5)-ABS(XLOOKUP($C1225,$Q$3:$Q$16,$R$3:$R$16)))*$B1225,-5)</f>
        <v>36400000</v>
      </c>
      <c r="I1225" s="17">
        <f t="shared" si="3673"/>
        <v>108700000</v>
      </c>
      <c r="J1225" s="17">
        <f t="shared" si="3673"/>
        <v>118600000</v>
      </c>
      <c r="K1225" s="17">
        <f t="shared" ref="K1225:M1225" si="3674">roundup((XLOOKUP($D1225,$T$3:$T$10,$U$3:$U$10)*XLOOKUP(K$2,$AA$3:$AA$5,$AD$3:$AD$5)-ABS(XLOOKUP($C1225,$Q$3:$Q$16,$R$3:$R$16)))*$B1225,-5)</f>
        <v>44400000</v>
      </c>
      <c r="L1225" s="17">
        <f t="shared" si="3674"/>
        <v>123800000</v>
      </c>
      <c r="M1225" s="17">
        <f t="shared" si="3674"/>
        <v>134700000</v>
      </c>
    </row>
    <row r="1226">
      <c r="A1226" s="14" t="s">
        <v>1269</v>
      </c>
      <c r="B1226" s="14">
        <v>181.0</v>
      </c>
      <c r="C1226" s="15">
        <f t="shared" si="4"/>
        <v>13</v>
      </c>
      <c r="D1226" s="14" t="s">
        <v>33</v>
      </c>
      <c r="E1226" s="16">
        <f t="shared" ref="E1226:G1226" si="3675">ROUNDUP((XLOOKUP($D1226,$T$3:$T$10,$U$3:$U$10)*XLOOKUP(E$2,$AA$3:$AA$5,$AB$3:$AB$5)-ABS(XLOOKUP($C1226,$Q$3:$Q$16,$R$3:$R$16)))*$B1226,-5)</f>
        <v>35600000</v>
      </c>
      <c r="F1226" s="16">
        <f t="shared" si="3675"/>
        <v>66100000</v>
      </c>
      <c r="G1226" s="16">
        <f t="shared" si="3675"/>
        <v>72400000</v>
      </c>
      <c r="H1226" s="17">
        <f t="shared" ref="H1226:J1226" si="3676">roundup((XLOOKUP($D1226,$T$3:$T$10,$U$3:$U$10)*XLOOKUP(H$2,$AA$3:$AA$5,$AC$3:$AC$5)-ABS(XLOOKUP($C1226,$Q$3:$Q$16,$R$3:$R$16)))*$B1226,-5)</f>
        <v>28700000</v>
      </c>
      <c r="I1226" s="17">
        <f t="shared" si="3676"/>
        <v>82600000</v>
      </c>
      <c r="J1226" s="17">
        <f t="shared" si="3676"/>
        <v>90000000</v>
      </c>
      <c r="K1226" s="17">
        <f t="shared" ref="K1226:M1226" si="3677">roundup((XLOOKUP($D1226,$T$3:$T$10,$U$3:$U$10)*XLOOKUP(K$2,$AA$3:$AA$5,$AD$3:$AD$5)-ABS(XLOOKUP($C1226,$Q$3:$Q$16,$R$3:$R$16)))*$B1226,-5)</f>
        <v>34700000</v>
      </c>
      <c r="L1226" s="17">
        <f t="shared" si="3677"/>
        <v>93900000</v>
      </c>
      <c r="M1226" s="17">
        <f t="shared" si="3677"/>
        <v>101900000</v>
      </c>
    </row>
    <row r="1227">
      <c r="A1227" s="14" t="s">
        <v>1270</v>
      </c>
      <c r="B1227" s="14">
        <v>185.0</v>
      </c>
      <c r="C1227" s="15">
        <f t="shared" si="4"/>
        <v>13</v>
      </c>
      <c r="D1227" s="14" t="s">
        <v>33</v>
      </c>
      <c r="E1227" s="16">
        <f t="shared" ref="E1227:G1227" si="3678">ROUNDUP((XLOOKUP($D1227,$T$3:$T$10,$U$3:$U$10)*XLOOKUP(E$2,$AA$3:$AA$5,$AB$3:$AB$5)-ABS(XLOOKUP($C1227,$Q$3:$Q$16,$R$3:$R$16)))*$B1227,-5)</f>
        <v>36400000</v>
      </c>
      <c r="F1227" s="16">
        <f t="shared" si="3678"/>
        <v>67500000</v>
      </c>
      <c r="G1227" s="16">
        <f t="shared" si="3678"/>
        <v>74000000</v>
      </c>
      <c r="H1227" s="17">
        <f t="shared" ref="H1227:J1227" si="3679">roundup((XLOOKUP($D1227,$T$3:$T$10,$U$3:$U$10)*XLOOKUP(H$2,$AA$3:$AA$5,$AC$3:$AC$5)-ABS(XLOOKUP($C1227,$Q$3:$Q$16,$R$3:$R$16)))*$B1227,-5)</f>
        <v>29400000</v>
      </c>
      <c r="I1227" s="17">
        <f t="shared" si="3679"/>
        <v>84500000</v>
      </c>
      <c r="J1227" s="17">
        <f t="shared" si="3679"/>
        <v>92000000</v>
      </c>
      <c r="K1227" s="17">
        <f t="shared" ref="K1227:M1227" si="3680">roundup((XLOOKUP($D1227,$T$3:$T$10,$U$3:$U$10)*XLOOKUP(K$2,$AA$3:$AA$5,$AD$3:$AD$5)-ABS(XLOOKUP($C1227,$Q$3:$Q$16,$R$3:$R$16)))*$B1227,-5)</f>
        <v>35500000</v>
      </c>
      <c r="L1227" s="17">
        <f t="shared" si="3680"/>
        <v>95900000</v>
      </c>
      <c r="M1227" s="17">
        <f t="shared" si="3680"/>
        <v>104200000</v>
      </c>
    </row>
    <row r="1228">
      <c r="A1228" s="14" t="s">
        <v>1271</v>
      </c>
      <c r="B1228" s="14">
        <v>176.0</v>
      </c>
      <c r="C1228" s="15">
        <f t="shared" si="4"/>
        <v>12</v>
      </c>
      <c r="D1228" s="14" t="s">
        <v>36</v>
      </c>
      <c r="E1228" s="16">
        <f t="shared" ref="E1228:G1228" si="3681">ROUNDUP((XLOOKUP($D1228,$T$3:$T$10,$U$3:$U$10)*XLOOKUP(E$2,$AA$3:$AA$5,$AB$3:$AB$5)-ABS(XLOOKUP($C1228,$Q$3:$Q$16,$R$3:$R$16)))*$B1228,-5)</f>
        <v>45300000</v>
      </c>
      <c r="F1228" s="16">
        <f t="shared" si="3681"/>
        <v>78500000</v>
      </c>
      <c r="G1228" s="16">
        <f t="shared" si="3681"/>
        <v>85300000</v>
      </c>
      <c r="H1228" s="17">
        <f t="shared" ref="H1228:J1228" si="3682">roundup((XLOOKUP($D1228,$T$3:$T$10,$U$3:$U$10)*XLOOKUP(H$2,$AA$3:$AA$5,$AC$3:$AC$5)-ABS(XLOOKUP($C1228,$Q$3:$Q$16,$R$3:$R$16)))*$B1228,-5)</f>
        <v>37800000</v>
      </c>
      <c r="I1228" s="17">
        <f t="shared" si="3682"/>
        <v>96500000</v>
      </c>
      <c r="J1228" s="17">
        <f t="shared" si="3682"/>
        <v>104500000</v>
      </c>
      <c r="K1228" s="17">
        <f t="shared" ref="K1228:M1228" si="3683">roundup((XLOOKUP($D1228,$T$3:$T$10,$U$3:$U$10)*XLOOKUP(K$2,$AA$3:$AA$5,$AD$3:$AD$5)-ABS(XLOOKUP($C1228,$Q$3:$Q$16,$R$3:$R$16)))*$B1228,-5)</f>
        <v>44300000</v>
      </c>
      <c r="L1228" s="17">
        <f t="shared" si="3683"/>
        <v>108800000</v>
      </c>
      <c r="M1228" s="17">
        <f t="shared" si="3683"/>
        <v>117600000</v>
      </c>
    </row>
    <row r="1229">
      <c r="A1229" s="14" t="s">
        <v>1272</v>
      </c>
      <c r="B1229" s="14">
        <v>88.0</v>
      </c>
      <c r="C1229" s="15">
        <f t="shared" si="4"/>
        <v>11</v>
      </c>
      <c r="D1229" s="14" t="s">
        <v>33</v>
      </c>
      <c r="E1229" s="16">
        <f t="shared" ref="E1229:G1229" si="3684">ROUNDUP((XLOOKUP($D1229,$T$3:$T$10,$U$3:$U$10)*XLOOKUP(E$2,$AA$3:$AA$5,$AB$3:$AB$5)-ABS(XLOOKUP($C1229,$Q$3:$Q$16,$R$3:$R$16)))*$B1229,-5)</f>
        <v>19100000</v>
      </c>
      <c r="F1229" s="16">
        <f t="shared" si="3684"/>
        <v>33900000</v>
      </c>
      <c r="G1229" s="16">
        <f t="shared" si="3684"/>
        <v>37000000</v>
      </c>
      <c r="H1229" s="17">
        <f t="shared" ref="H1229:J1229" si="3685">roundup((XLOOKUP($D1229,$T$3:$T$10,$U$3:$U$10)*XLOOKUP(H$2,$AA$3:$AA$5,$AC$3:$AC$5)-ABS(XLOOKUP($C1229,$Q$3:$Q$16,$R$3:$R$16)))*$B1229,-5)</f>
        <v>15800000</v>
      </c>
      <c r="I1229" s="17">
        <f t="shared" si="3685"/>
        <v>42000000</v>
      </c>
      <c r="J1229" s="17">
        <f t="shared" si="3685"/>
        <v>45500000</v>
      </c>
      <c r="K1229" s="17">
        <f t="shared" ref="K1229:M1229" si="3686">roundup((XLOOKUP($D1229,$T$3:$T$10,$U$3:$U$10)*XLOOKUP(K$2,$AA$3:$AA$5,$AD$3:$AD$5)-ABS(XLOOKUP($C1229,$Q$3:$Q$16,$R$3:$R$16)))*$B1229,-5)</f>
        <v>18700000</v>
      </c>
      <c r="L1229" s="17">
        <f t="shared" si="3686"/>
        <v>47400000</v>
      </c>
      <c r="M1229" s="17">
        <f t="shared" si="3686"/>
        <v>51300000</v>
      </c>
    </row>
    <row r="1230">
      <c r="A1230" s="14" t="s">
        <v>1273</v>
      </c>
      <c r="B1230" s="14">
        <v>154.0</v>
      </c>
      <c r="C1230" s="15">
        <f t="shared" si="4"/>
        <v>11</v>
      </c>
      <c r="D1230" s="14" t="s">
        <v>36</v>
      </c>
      <c r="E1230" s="16">
        <f t="shared" ref="E1230:G1230" si="3687">ROUNDUP((XLOOKUP($D1230,$T$3:$T$10,$U$3:$U$10)*XLOOKUP(E$2,$AA$3:$AA$5,$AB$3:$AB$5)-ABS(XLOOKUP($C1230,$Q$3:$Q$16,$R$3:$R$16)))*$B1230,-5)</f>
        <v>40400000</v>
      </c>
      <c r="F1230" s="16">
        <f t="shared" si="3687"/>
        <v>69400000</v>
      </c>
      <c r="G1230" s="16">
        <f t="shared" si="3687"/>
        <v>75400000</v>
      </c>
      <c r="H1230" s="17">
        <f t="shared" ref="H1230:J1230" si="3688">roundup((XLOOKUP($D1230,$T$3:$T$10,$U$3:$U$10)*XLOOKUP(H$2,$AA$3:$AA$5,$AC$3:$AC$5)-ABS(XLOOKUP($C1230,$Q$3:$Q$16,$R$3:$R$16)))*$B1230,-5)</f>
        <v>33800000</v>
      </c>
      <c r="I1230" s="17">
        <f t="shared" si="3688"/>
        <v>85200000</v>
      </c>
      <c r="J1230" s="17">
        <f t="shared" si="3688"/>
        <v>92200000</v>
      </c>
      <c r="K1230" s="17">
        <f t="shared" ref="K1230:M1230" si="3689">roundup((XLOOKUP($D1230,$T$3:$T$10,$U$3:$U$10)*XLOOKUP(K$2,$AA$3:$AA$5,$AD$3:$AD$5)-ABS(XLOOKUP($C1230,$Q$3:$Q$16,$R$3:$R$16)))*$B1230,-5)</f>
        <v>39500000</v>
      </c>
      <c r="L1230" s="17">
        <f t="shared" si="3689"/>
        <v>95900000</v>
      </c>
      <c r="M1230" s="17">
        <f t="shared" si="3689"/>
        <v>103600000</v>
      </c>
    </row>
    <row r="1231">
      <c r="A1231" s="14" t="s">
        <v>1274</v>
      </c>
      <c r="B1231" s="14">
        <v>138.0</v>
      </c>
      <c r="C1231" s="15">
        <f t="shared" si="4"/>
        <v>11</v>
      </c>
      <c r="D1231" s="14" t="s">
        <v>33</v>
      </c>
      <c r="E1231" s="16">
        <f t="shared" ref="E1231:G1231" si="3690">ROUNDUP((XLOOKUP($D1231,$T$3:$T$10,$U$3:$U$10)*XLOOKUP(E$2,$AA$3:$AA$5,$AB$3:$AB$5)-ABS(XLOOKUP($C1231,$Q$3:$Q$16,$R$3:$R$16)))*$B1231,-5)</f>
        <v>30000000</v>
      </c>
      <c r="F1231" s="16">
        <f t="shared" si="3690"/>
        <v>53100000</v>
      </c>
      <c r="G1231" s="16">
        <f t="shared" si="3690"/>
        <v>57900000</v>
      </c>
      <c r="H1231" s="17">
        <f t="shared" ref="H1231:J1231" si="3691">roundup((XLOOKUP($D1231,$T$3:$T$10,$U$3:$U$10)*XLOOKUP(H$2,$AA$3:$AA$5,$AC$3:$AC$5)-ABS(XLOOKUP($C1231,$Q$3:$Q$16,$R$3:$R$16)))*$B1231,-5)</f>
        <v>24700000</v>
      </c>
      <c r="I1231" s="17">
        <f t="shared" si="3691"/>
        <v>65800000</v>
      </c>
      <c r="J1231" s="17">
        <f t="shared" si="3691"/>
        <v>71400000</v>
      </c>
      <c r="K1231" s="17">
        <f t="shared" ref="K1231:M1231" si="3692">roundup((XLOOKUP($D1231,$T$3:$T$10,$U$3:$U$10)*XLOOKUP(K$2,$AA$3:$AA$5,$AD$3:$AD$5)-ABS(XLOOKUP($C1231,$Q$3:$Q$16,$R$3:$R$16)))*$B1231,-5)</f>
        <v>29200000</v>
      </c>
      <c r="L1231" s="17">
        <f t="shared" si="3692"/>
        <v>74300000</v>
      </c>
      <c r="M1231" s="17">
        <f t="shared" si="3692"/>
        <v>80500000</v>
      </c>
    </row>
    <row r="1232">
      <c r="A1232" s="14" t="s">
        <v>1275</v>
      </c>
      <c r="B1232" s="14">
        <v>163.0</v>
      </c>
      <c r="C1232" s="15">
        <f t="shared" si="4"/>
        <v>12</v>
      </c>
      <c r="D1232" s="14" t="s">
        <v>33</v>
      </c>
      <c r="E1232" s="16">
        <f t="shared" ref="E1232:G1232" si="3693">ROUNDUP((XLOOKUP($D1232,$T$3:$T$10,$U$3:$U$10)*XLOOKUP(E$2,$AA$3:$AA$5,$AB$3:$AB$5)-ABS(XLOOKUP($C1232,$Q$3:$Q$16,$R$3:$R$16)))*$B1232,-5)</f>
        <v>34600000</v>
      </c>
      <c r="F1232" s="16">
        <f t="shared" si="3693"/>
        <v>61900000</v>
      </c>
      <c r="G1232" s="16">
        <f t="shared" si="3693"/>
        <v>67600000</v>
      </c>
      <c r="H1232" s="17">
        <f t="shared" ref="H1232:J1232" si="3694">roundup((XLOOKUP($D1232,$T$3:$T$10,$U$3:$U$10)*XLOOKUP(H$2,$AA$3:$AA$5,$AC$3:$AC$5)-ABS(XLOOKUP($C1232,$Q$3:$Q$16,$R$3:$R$16)))*$B1232,-5)</f>
        <v>28300000</v>
      </c>
      <c r="I1232" s="17">
        <f t="shared" si="3694"/>
        <v>76900000</v>
      </c>
      <c r="J1232" s="17">
        <f t="shared" si="3694"/>
        <v>83500000</v>
      </c>
      <c r="K1232" s="17">
        <f t="shared" ref="K1232:M1232" si="3695">roundup((XLOOKUP($D1232,$T$3:$T$10,$U$3:$U$10)*XLOOKUP(K$2,$AA$3:$AA$5,$AD$3:$AD$5)-ABS(XLOOKUP($C1232,$Q$3:$Q$16,$R$3:$R$16)))*$B1232,-5)</f>
        <v>33700000</v>
      </c>
      <c r="L1232" s="17">
        <f t="shared" si="3695"/>
        <v>87000000</v>
      </c>
      <c r="M1232" s="17">
        <f t="shared" si="3695"/>
        <v>94300000</v>
      </c>
    </row>
    <row r="1233">
      <c r="A1233" s="14" t="s">
        <v>1276</v>
      </c>
      <c r="B1233" s="14">
        <v>147.0</v>
      </c>
      <c r="C1233" s="15">
        <f t="shared" si="4"/>
        <v>11</v>
      </c>
      <c r="D1233" s="14" t="s">
        <v>33</v>
      </c>
      <c r="E1233" s="16">
        <f t="shared" ref="E1233:G1233" si="3696">ROUNDUP((XLOOKUP($D1233,$T$3:$T$10,$U$3:$U$10)*XLOOKUP(E$2,$AA$3:$AA$5,$AB$3:$AB$5)-ABS(XLOOKUP($C1233,$Q$3:$Q$16,$R$3:$R$16)))*$B1233,-5)</f>
        <v>31900000</v>
      </c>
      <c r="F1233" s="16">
        <f t="shared" si="3696"/>
        <v>56600000</v>
      </c>
      <c r="G1233" s="16">
        <f t="shared" si="3696"/>
        <v>61700000</v>
      </c>
      <c r="H1233" s="17">
        <f t="shared" ref="H1233:J1233" si="3697">roundup((XLOOKUP($D1233,$T$3:$T$10,$U$3:$U$10)*XLOOKUP(H$2,$AA$3:$AA$5,$AC$3:$AC$5)-ABS(XLOOKUP($C1233,$Q$3:$Q$16,$R$3:$R$16)))*$B1233,-5)</f>
        <v>26300000</v>
      </c>
      <c r="I1233" s="17">
        <f t="shared" si="3697"/>
        <v>70100000</v>
      </c>
      <c r="J1233" s="17">
        <f t="shared" si="3697"/>
        <v>76000000</v>
      </c>
      <c r="K1233" s="17">
        <f t="shared" ref="K1233:M1233" si="3698">roundup((XLOOKUP($D1233,$T$3:$T$10,$U$3:$U$10)*XLOOKUP(K$2,$AA$3:$AA$5,$AD$3:$AD$5)-ABS(XLOOKUP($C1233,$Q$3:$Q$16,$R$3:$R$16)))*$B1233,-5)</f>
        <v>31100000</v>
      </c>
      <c r="L1233" s="17">
        <f t="shared" si="3698"/>
        <v>79200000</v>
      </c>
      <c r="M1233" s="17">
        <f t="shared" si="3698"/>
        <v>85700000</v>
      </c>
    </row>
    <row r="1234">
      <c r="A1234" s="14" t="s">
        <v>1277</v>
      </c>
      <c r="B1234" s="14">
        <v>350.0</v>
      </c>
      <c r="C1234" s="15">
        <f t="shared" si="4"/>
        <v>14</v>
      </c>
      <c r="D1234" s="14" t="s">
        <v>36</v>
      </c>
      <c r="E1234" s="16">
        <f t="shared" ref="E1234:G1234" si="3699">ROUNDUP((XLOOKUP($D1234,$T$3:$T$10,$U$3:$U$10)*XLOOKUP(E$2,$AA$3:$AA$5,$AB$3:$AB$5)-ABS(XLOOKUP($C1234,$Q$3:$Q$16,$R$3:$R$16)))*$B1234,-5)</f>
        <v>81700000</v>
      </c>
      <c r="F1234" s="16">
        <f t="shared" si="3699"/>
        <v>147600000</v>
      </c>
      <c r="G1234" s="16">
        <f t="shared" si="3699"/>
        <v>161200000</v>
      </c>
      <c r="H1234" s="17">
        <f t="shared" ref="H1234:J1234" si="3700">roundup((XLOOKUP($D1234,$T$3:$T$10,$U$3:$U$10)*XLOOKUP(H$2,$AA$3:$AA$5,$AC$3:$AC$5)-ABS(XLOOKUP($C1234,$Q$3:$Q$16,$R$3:$R$16)))*$B1234,-5)</f>
        <v>66700000</v>
      </c>
      <c r="I1234" s="17">
        <f t="shared" si="3700"/>
        <v>183500000</v>
      </c>
      <c r="J1234" s="17">
        <f t="shared" si="3700"/>
        <v>199400000</v>
      </c>
      <c r="K1234" s="17">
        <f t="shared" ref="K1234:M1234" si="3701">roundup((XLOOKUP($D1234,$T$3:$T$10,$U$3:$U$10)*XLOOKUP(K$2,$AA$3:$AA$5,$AD$3:$AD$5)-ABS(XLOOKUP($C1234,$Q$3:$Q$16,$R$3:$R$16)))*$B1234,-5)</f>
        <v>79600000</v>
      </c>
      <c r="L1234" s="17">
        <f t="shared" si="3701"/>
        <v>207800000</v>
      </c>
      <c r="M1234" s="17">
        <f t="shared" si="3701"/>
        <v>225300000</v>
      </c>
    </row>
    <row r="1235">
      <c r="A1235" s="14" t="s">
        <v>1278</v>
      </c>
      <c r="B1235" s="14">
        <v>212.0</v>
      </c>
      <c r="C1235" s="15">
        <f t="shared" si="4"/>
        <v>13</v>
      </c>
      <c r="D1235" s="14" t="s">
        <v>36</v>
      </c>
      <c r="E1235" s="16">
        <f t="shared" ref="E1235:G1235" si="3702">ROUNDUP((XLOOKUP($D1235,$T$3:$T$10,$U$3:$U$10)*XLOOKUP(E$2,$AA$3:$AA$5,$AB$3:$AB$5)-ABS(XLOOKUP($C1235,$Q$3:$Q$16,$R$3:$R$16)))*$B1235,-5)</f>
        <v>51400000</v>
      </c>
      <c r="F1235" s="16">
        <f t="shared" si="3702"/>
        <v>91300000</v>
      </c>
      <c r="G1235" s="16">
        <f t="shared" si="3702"/>
        <v>99600000</v>
      </c>
      <c r="H1235" s="17">
        <f t="shared" ref="H1235:J1235" si="3703">roundup((XLOOKUP($D1235,$T$3:$T$10,$U$3:$U$10)*XLOOKUP(H$2,$AA$3:$AA$5,$AC$3:$AC$5)-ABS(XLOOKUP($C1235,$Q$3:$Q$16,$R$3:$R$16)))*$B1235,-5)</f>
        <v>42300000</v>
      </c>
      <c r="I1235" s="17">
        <f t="shared" si="3703"/>
        <v>113100000</v>
      </c>
      <c r="J1235" s="17">
        <f t="shared" si="3703"/>
        <v>122700000</v>
      </c>
      <c r="K1235" s="17">
        <f t="shared" ref="K1235:M1235" si="3704">roundup((XLOOKUP($D1235,$T$3:$T$10,$U$3:$U$10)*XLOOKUP(K$2,$AA$3:$AA$5,$AD$3:$AD$5)-ABS(XLOOKUP($C1235,$Q$3:$Q$16,$R$3:$R$16)))*$B1235,-5)</f>
        <v>50200000</v>
      </c>
      <c r="L1235" s="17">
        <f t="shared" si="3704"/>
        <v>127800000</v>
      </c>
      <c r="M1235" s="17">
        <f t="shared" si="3704"/>
        <v>138400000</v>
      </c>
    </row>
    <row r="1236">
      <c r="A1236" s="14" t="s">
        <v>1279</v>
      </c>
      <c r="B1236" s="14">
        <v>166.0</v>
      </c>
      <c r="C1236" s="15">
        <f t="shared" si="4"/>
        <v>12</v>
      </c>
      <c r="D1236" s="14" t="s">
        <v>36</v>
      </c>
      <c r="E1236" s="16">
        <f t="shared" ref="E1236:G1236" si="3705">ROUNDUP((XLOOKUP($D1236,$T$3:$T$10,$U$3:$U$10)*XLOOKUP(E$2,$AA$3:$AA$5,$AB$3:$AB$5)-ABS(XLOOKUP($C1236,$Q$3:$Q$16,$R$3:$R$16)))*$B1236,-5)</f>
        <v>42700000</v>
      </c>
      <c r="F1236" s="16">
        <f t="shared" si="3705"/>
        <v>74000000</v>
      </c>
      <c r="G1236" s="16">
        <f t="shared" si="3705"/>
        <v>80500000</v>
      </c>
      <c r="H1236" s="17">
        <f t="shared" ref="H1236:J1236" si="3706">roundup((XLOOKUP($D1236,$T$3:$T$10,$U$3:$U$10)*XLOOKUP(H$2,$AA$3:$AA$5,$AC$3:$AC$5)-ABS(XLOOKUP($C1236,$Q$3:$Q$16,$R$3:$R$16)))*$B1236,-5)</f>
        <v>35600000</v>
      </c>
      <c r="I1236" s="17">
        <f t="shared" si="3706"/>
        <v>91000000</v>
      </c>
      <c r="J1236" s="17">
        <f t="shared" si="3706"/>
        <v>98600000</v>
      </c>
      <c r="K1236" s="17">
        <f t="shared" ref="K1236:M1236" si="3707">roundup((XLOOKUP($D1236,$T$3:$T$10,$U$3:$U$10)*XLOOKUP(K$2,$AA$3:$AA$5,$AD$3:$AD$5)-ABS(XLOOKUP($C1236,$Q$3:$Q$16,$R$3:$R$16)))*$B1236,-5)</f>
        <v>41800000</v>
      </c>
      <c r="L1236" s="17">
        <f t="shared" si="3707"/>
        <v>102600000</v>
      </c>
      <c r="M1236" s="17">
        <f t="shared" si="3707"/>
        <v>110900000</v>
      </c>
    </row>
    <row r="1237">
      <c r="A1237" s="14" t="s">
        <v>1280</v>
      </c>
      <c r="B1237" s="14">
        <v>172.0</v>
      </c>
      <c r="C1237" s="15">
        <f t="shared" si="4"/>
        <v>12</v>
      </c>
      <c r="D1237" s="14" t="s">
        <v>36</v>
      </c>
      <c r="E1237" s="16">
        <f t="shared" ref="E1237:G1237" si="3708">ROUNDUP((XLOOKUP($D1237,$T$3:$T$10,$U$3:$U$10)*XLOOKUP(E$2,$AA$3:$AA$5,$AB$3:$AB$5)-ABS(XLOOKUP($C1237,$Q$3:$Q$16,$R$3:$R$16)))*$B1237,-5)</f>
        <v>44300000</v>
      </c>
      <c r="F1237" s="16">
        <f t="shared" si="3708"/>
        <v>76700000</v>
      </c>
      <c r="G1237" s="16">
        <f t="shared" si="3708"/>
        <v>83400000</v>
      </c>
      <c r="H1237" s="17">
        <f t="shared" ref="H1237:J1237" si="3709">roundup((XLOOKUP($D1237,$T$3:$T$10,$U$3:$U$10)*XLOOKUP(H$2,$AA$3:$AA$5,$AC$3:$AC$5)-ABS(XLOOKUP($C1237,$Q$3:$Q$16,$R$3:$R$16)))*$B1237,-5)</f>
        <v>36900000</v>
      </c>
      <c r="I1237" s="17">
        <f t="shared" si="3709"/>
        <v>94300000</v>
      </c>
      <c r="J1237" s="17">
        <f t="shared" si="3709"/>
        <v>102200000</v>
      </c>
      <c r="K1237" s="17">
        <f t="shared" ref="K1237:M1237" si="3710">roundup((XLOOKUP($D1237,$T$3:$T$10,$U$3:$U$10)*XLOOKUP(K$2,$AA$3:$AA$5,$AD$3:$AD$5)-ABS(XLOOKUP($C1237,$Q$3:$Q$16,$R$3:$R$16)))*$B1237,-5)</f>
        <v>43300000</v>
      </c>
      <c r="L1237" s="17">
        <f t="shared" si="3710"/>
        <v>106300000</v>
      </c>
      <c r="M1237" s="17">
        <f t="shared" si="3710"/>
        <v>114900000</v>
      </c>
    </row>
    <row r="1238">
      <c r="A1238" s="14" t="s">
        <v>1281</v>
      </c>
      <c r="B1238" s="14">
        <v>146.0</v>
      </c>
      <c r="C1238" s="15">
        <f t="shared" si="4"/>
        <v>11</v>
      </c>
      <c r="D1238" s="14" t="s">
        <v>36</v>
      </c>
      <c r="E1238" s="16">
        <f t="shared" ref="E1238:G1238" si="3711">ROUNDUP((XLOOKUP($D1238,$T$3:$T$10,$U$3:$U$10)*XLOOKUP(E$2,$AA$3:$AA$5,$AB$3:$AB$5)-ABS(XLOOKUP($C1238,$Q$3:$Q$16,$R$3:$R$16)))*$B1238,-5)</f>
        <v>38300000</v>
      </c>
      <c r="F1238" s="16">
        <f t="shared" si="3711"/>
        <v>65800000</v>
      </c>
      <c r="G1238" s="16">
        <f t="shared" si="3711"/>
        <v>71500000</v>
      </c>
      <c r="H1238" s="17">
        <f t="shared" ref="H1238:J1238" si="3712">roundup((XLOOKUP($D1238,$T$3:$T$10,$U$3:$U$10)*XLOOKUP(H$2,$AA$3:$AA$5,$AC$3:$AC$5)-ABS(XLOOKUP($C1238,$Q$3:$Q$16,$R$3:$R$16)))*$B1238,-5)</f>
        <v>32100000</v>
      </c>
      <c r="I1238" s="17">
        <f t="shared" si="3712"/>
        <v>80800000</v>
      </c>
      <c r="J1238" s="17">
        <f t="shared" si="3712"/>
        <v>87400000</v>
      </c>
      <c r="K1238" s="17">
        <f t="shared" ref="K1238:M1238" si="3713">roundup((XLOOKUP($D1238,$T$3:$T$10,$U$3:$U$10)*XLOOKUP(K$2,$AA$3:$AA$5,$AD$3:$AD$5)-ABS(XLOOKUP($C1238,$Q$3:$Q$16,$R$3:$R$16)))*$B1238,-5)</f>
        <v>37500000</v>
      </c>
      <c r="L1238" s="17">
        <f t="shared" si="3713"/>
        <v>91000000</v>
      </c>
      <c r="M1238" s="17">
        <f t="shared" si="3713"/>
        <v>98300000</v>
      </c>
    </row>
    <row r="1239">
      <c r="A1239" s="14" t="s">
        <v>1282</v>
      </c>
      <c r="B1239" s="14">
        <v>143.0</v>
      </c>
      <c r="C1239" s="15">
        <f t="shared" si="4"/>
        <v>11</v>
      </c>
      <c r="D1239" s="14" t="s">
        <v>33</v>
      </c>
      <c r="E1239" s="16">
        <f t="shared" ref="E1239:G1239" si="3714">ROUNDUP((XLOOKUP($D1239,$T$3:$T$10,$U$3:$U$10)*XLOOKUP(E$2,$AA$3:$AA$5,$AB$3:$AB$5)-ABS(XLOOKUP($C1239,$Q$3:$Q$16,$R$3:$R$16)))*$B1239,-5)</f>
        <v>31000000</v>
      </c>
      <c r="F1239" s="16">
        <f t="shared" si="3714"/>
        <v>55100000</v>
      </c>
      <c r="G1239" s="16">
        <f t="shared" si="3714"/>
        <v>60000000</v>
      </c>
      <c r="H1239" s="17">
        <f t="shared" ref="H1239:J1239" si="3715">roundup((XLOOKUP($D1239,$T$3:$T$10,$U$3:$U$10)*XLOOKUP(H$2,$AA$3:$AA$5,$AC$3:$AC$5)-ABS(XLOOKUP($C1239,$Q$3:$Q$16,$R$3:$R$16)))*$B1239,-5)</f>
        <v>25600000</v>
      </c>
      <c r="I1239" s="17">
        <f t="shared" si="3715"/>
        <v>68200000</v>
      </c>
      <c r="J1239" s="17">
        <f t="shared" si="3715"/>
        <v>74000000</v>
      </c>
      <c r="K1239" s="17">
        <f t="shared" ref="K1239:M1239" si="3716">roundup((XLOOKUP($D1239,$T$3:$T$10,$U$3:$U$10)*XLOOKUP(K$2,$AA$3:$AA$5,$AD$3:$AD$5)-ABS(XLOOKUP($C1239,$Q$3:$Q$16,$R$3:$R$16)))*$B1239,-5)</f>
        <v>30300000</v>
      </c>
      <c r="L1239" s="17">
        <f t="shared" si="3716"/>
        <v>77000000</v>
      </c>
      <c r="M1239" s="17">
        <f t="shared" si="3716"/>
        <v>83400000</v>
      </c>
    </row>
    <row r="1240">
      <c r="A1240" s="14" t="s">
        <v>1283</v>
      </c>
      <c r="B1240" s="14">
        <v>180.0</v>
      </c>
      <c r="C1240" s="15">
        <f t="shared" si="4"/>
        <v>12</v>
      </c>
      <c r="D1240" s="14" t="s">
        <v>36</v>
      </c>
      <c r="E1240" s="16">
        <f t="shared" ref="E1240:G1240" si="3717">ROUNDUP((XLOOKUP($D1240,$T$3:$T$10,$U$3:$U$10)*XLOOKUP(E$2,$AA$3:$AA$5,$AB$3:$AB$5)-ABS(XLOOKUP($C1240,$Q$3:$Q$16,$R$3:$R$16)))*$B1240,-5)</f>
        <v>46300000</v>
      </c>
      <c r="F1240" s="16">
        <f t="shared" si="3717"/>
        <v>80200000</v>
      </c>
      <c r="G1240" s="16">
        <f t="shared" si="3717"/>
        <v>87300000</v>
      </c>
      <c r="H1240" s="17">
        <f t="shared" ref="H1240:J1240" si="3718">roundup((XLOOKUP($D1240,$T$3:$T$10,$U$3:$U$10)*XLOOKUP(H$2,$AA$3:$AA$5,$AC$3:$AC$5)-ABS(XLOOKUP($C1240,$Q$3:$Q$16,$R$3:$R$16)))*$B1240,-5)</f>
        <v>38600000</v>
      </c>
      <c r="I1240" s="17">
        <f t="shared" si="3718"/>
        <v>98700000</v>
      </c>
      <c r="J1240" s="17">
        <f t="shared" si="3718"/>
        <v>106900000</v>
      </c>
      <c r="K1240" s="17">
        <f t="shared" ref="K1240:M1240" si="3719">roundup((XLOOKUP($D1240,$T$3:$T$10,$U$3:$U$10)*XLOOKUP(K$2,$AA$3:$AA$5,$AD$3:$AD$5)-ABS(XLOOKUP($C1240,$Q$3:$Q$16,$R$3:$R$16)))*$B1240,-5)</f>
        <v>45300000</v>
      </c>
      <c r="L1240" s="17">
        <f t="shared" si="3719"/>
        <v>111200000</v>
      </c>
      <c r="M1240" s="17">
        <f t="shared" si="3719"/>
        <v>120200000</v>
      </c>
    </row>
    <row r="1241">
      <c r="A1241" s="14" t="s">
        <v>1284</v>
      </c>
      <c r="B1241" s="14">
        <v>174.0</v>
      </c>
      <c r="C1241" s="15">
        <f t="shared" si="4"/>
        <v>12</v>
      </c>
      <c r="D1241" s="14" t="s">
        <v>33</v>
      </c>
      <c r="E1241" s="16">
        <f t="shared" ref="E1241:G1241" si="3720">ROUNDUP((XLOOKUP($D1241,$T$3:$T$10,$U$3:$U$10)*XLOOKUP(E$2,$AA$3:$AA$5,$AB$3:$AB$5)-ABS(XLOOKUP($C1241,$Q$3:$Q$16,$R$3:$R$16)))*$B1241,-5)</f>
        <v>36900000</v>
      </c>
      <c r="F1241" s="16">
        <f t="shared" si="3720"/>
        <v>66100000</v>
      </c>
      <c r="G1241" s="16">
        <f t="shared" si="3720"/>
        <v>72200000</v>
      </c>
      <c r="H1241" s="17">
        <f t="shared" ref="H1241:J1241" si="3721">roundup((XLOOKUP($D1241,$T$3:$T$10,$U$3:$U$10)*XLOOKUP(H$2,$AA$3:$AA$5,$AC$3:$AC$5)-ABS(XLOOKUP($C1241,$Q$3:$Q$16,$R$3:$R$16)))*$B1241,-5)</f>
        <v>30200000</v>
      </c>
      <c r="I1241" s="17">
        <f t="shared" si="3721"/>
        <v>82100000</v>
      </c>
      <c r="J1241" s="17">
        <f t="shared" si="3721"/>
        <v>89100000</v>
      </c>
      <c r="K1241" s="17">
        <f t="shared" ref="K1241:M1241" si="3722">roundup((XLOOKUP($D1241,$T$3:$T$10,$U$3:$U$10)*XLOOKUP(K$2,$AA$3:$AA$5,$AD$3:$AD$5)-ABS(XLOOKUP($C1241,$Q$3:$Q$16,$R$3:$R$16)))*$B1241,-5)</f>
        <v>36000000</v>
      </c>
      <c r="L1241" s="17">
        <f t="shared" si="3722"/>
        <v>92800000</v>
      </c>
      <c r="M1241" s="17">
        <f t="shared" si="3722"/>
        <v>100600000</v>
      </c>
    </row>
    <row r="1242">
      <c r="A1242" s="14" t="s">
        <v>1285</v>
      </c>
      <c r="B1242" s="14">
        <v>138.0</v>
      </c>
      <c r="C1242" s="15">
        <f t="shared" si="4"/>
        <v>11</v>
      </c>
      <c r="D1242" s="14" t="s">
        <v>36</v>
      </c>
      <c r="E1242" s="16">
        <f t="shared" ref="E1242:G1242" si="3723">ROUNDUP((XLOOKUP($D1242,$T$3:$T$10,$U$3:$U$10)*XLOOKUP(E$2,$AA$3:$AA$5,$AB$3:$AB$5)-ABS(XLOOKUP($C1242,$Q$3:$Q$16,$R$3:$R$16)))*$B1242,-5)</f>
        <v>36200000</v>
      </c>
      <c r="F1242" s="16">
        <f t="shared" si="3723"/>
        <v>62200000</v>
      </c>
      <c r="G1242" s="16">
        <f t="shared" si="3723"/>
        <v>67600000</v>
      </c>
      <c r="H1242" s="17">
        <f t="shared" ref="H1242:J1242" si="3724">roundup((XLOOKUP($D1242,$T$3:$T$10,$U$3:$U$10)*XLOOKUP(H$2,$AA$3:$AA$5,$AC$3:$AC$5)-ABS(XLOOKUP($C1242,$Q$3:$Q$16,$R$3:$R$16)))*$B1242,-5)</f>
        <v>30300000</v>
      </c>
      <c r="I1242" s="17">
        <f t="shared" si="3724"/>
        <v>76400000</v>
      </c>
      <c r="J1242" s="17">
        <f t="shared" si="3724"/>
        <v>82700000</v>
      </c>
      <c r="K1242" s="17">
        <f t="shared" ref="K1242:M1242" si="3725">roundup((XLOOKUP($D1242,$T$3:$T$10,$U$3:$U$10)*XLOOKUP(K$2,$AA$3:$AA$5,$AD$3:$AD$5)-ABS(XLOOKUP($C1242,$Q$3:$Q$16,$R$3:$R$16)))*$B1242,-5)</f>
        <v>35400000</v>
      </c>
      <c r="L1242" s="17">
        <f t="shared" si="3725"/>
        <v>86000000</v>
      </c>
      <c r="M1242" s="17">
        <f t="shared" si="3725"/>
        <v>92900000</v>
      </c>
    </row>
    <row r="1243">
      <c r="A1243" s="14" t="s">
        <v>1286</v>
      </c>
      <c r="B1243" s="14">
        <v>124.0</v>
      </c>
      <c r="C1243" s="15">
        <f t="shared" si="4"/>
        <v>11</v>
      </c>
      <c r="D1243" s="14" t="s">
        <v>36</v>
      </c>
      <c r="E1243" s="16">
        <f t="shared" ref="E1243:G1243" si="3726">ROUNDUP((XLOOKUP($D1243,$T$3:$T$10,$U$3:$U$10)*XLOOKUP(E$2,$AA$3:$AA$5,$AB$3:$AB$5)-ABS(XLOOKUP($C1243,$Q$3:$Q$16,$R$3:$R$16)))*$B1243,-5)</f>
        <v>32600000</v>
      </c>
      <c r="F1243" s="16">
        <f t="shared" si="3726"/>
        <v>55900000</v>
      </c>
      <c r="G1243" s="16">
        <f t="shared" si="3726"/>
        <v>60700000</v>
      </c>
      <c r="H1243" s="17">
        <f t="shared" ref="H1243:J1243" si="3727">roundup((XLOOKUP($D1243,$T$3:$T$10,$U$3:$U$10)*XLOOKUP(H$2,$AA$3:$AA$5,$AC$3:$AC$5)-ABS(XLOOKUP($C1243,$Q$3:$Q$16,$R$3:$R$16)))*$B1243,-5)</f>
        <v>27200000</v>
      </c>
      <c r="I1243" s="17">
        <f t="shared" si="3727"/>
        <v>68600000</v>
      </c>
      <c r="J1243" s="17">
        <f t="shared" si="3727"/>
        <v>74300000</v>
      </c>
      <c r="K1243" s="17">
        <f t="shared" ref="K1243:M1243" si="3728">roundup((XLOOKUP($D1243,$T$3:$T$10,$U$3:$U$10)*XLOOKUP(K$2,$AA$3:$AA$5,$AD$3:$AD$5)-ABS(XLOOKUP($C1243,$Q$3:$Q$16,$R$3:$R$16)))*$B1243,-5)</f>
        <v>31800000</v>
      </c>
      <c r="L1243" s="17">
        <f t="shared" si="3728"/>
        <v>77300000</v>
      </c>
      <c r="M1243" s="17">
        <f t="shared" si="3728"/>
        <v>83500000</v>
      </c>
    </row>
    <row r="1244">
      <c r="A1244" s="14" t="s">
        <v>1287</v>
      </c>
      <c r="B1244" s="14">
        <v>131.0</v>
      </c>
      <c r="C1244" s="15">
        <f t="shared" si="4"/>
        <v>11</v>
      </c>
      <c r="D1244" s="14" t="s">
        <v>36</v>
      </c>
      <c r="E1244" s="16">
        <f t="shared" ref="E1244:G1244" si="3729">ROUNDUP((XLOOKUP($D1244,$T$3:$T$10,$U$3:$U$10)*XLOOKUP(E$2,$AA$3:$AA$5,$AB$3:$AB$5)-ABS(XLOOKUP($C1244,$Q$3:$Q$16,$R$3:$R$16)))*$B1244,-5)</f>
        <v>34400000</v>
      </c>
      <c r="F1244" s="16">
        <f t="shared" si="3729"/>
        <v>59100000</v>
      </c>
      <c r="G1244" s="16">
        <f t="shared" si="3729"/>
        <v>64200000</v>
      </c>
      <c r="H1244" s="17">
        <f t="shared" ref="H1244:J1244" si="3730">roundup((XLOOKUP($D1244,$T$3:$T$10,$U$3:$U$10)*XLOOKUP(H$2,$AA$3:$AA$5,$AC$3:$AC$5)-ABS(XLOOKUP($C1244,$Q$3:$Q$16,$R$3:$R$16)))*$B1244,-5)</f>
        <v>28800000</v>
      </c>
      <c r="I1244" s="17">
        <f t="shared" si="3730"/>
        <v>72500000</v>
      </c>
      <c r="J1244" s="17">
        <f t="shared" si="3730"/>
        <v>78500000</v>
      </c>
      <c r="K1244" s="17">
        <f t="shared" ref="K1244:M1244" si="3731">roundup((XLOOKUP($D1244,$T$3:$T$10,$U$3:$U$10)*XLOOKUP(K$2,$AA$3:$AA$5,$AD$3:$AD$5)-ABS(XLOOKUP($C1244,$Q$3:$Q$16,$R$3:$R$16)))*$B1244,-5)</f>
        <v>33600000</v>
      </c>
      <c r="L1244" s="17">
        <f t="shared" si="3731"/>
        <v>81600000</v>
      </c>
      <c r="M1244" s="17">
        <f t="shared" si="3731"/>
        <v>88200000</v>
      </c>
    </row>
    <row r="1245">
      <c r="A1245" s="14" t="s">
        <v>1288</v>
      </c>
      <c r="B1245" s="14">
        <v>134.0</v>
      </c>
      <c r="C1245" s="15">
        <f t="shared" si="4"/>
        <v>11</v>
      </c>
      <c r="D1245" s="14" t="s">
        <v>36</v>
      </c>
      <c r="E1245" s="16">
        <f t="shared" ref="E1245:G1245" si="3732">ROUNDUP((XLOOKUP($D1245,$T$3:$T$10,$U$3:$U$10)*XLOOKUP(E$2,$AA$3:$AA$5,$AB$3:$AB$5)-ABS(XLOOKUP($C1245,$Q$3:$Q$16,$R$3:$R$16)))*$B1245,-5)</f>
        <v>35200000</v>
      </c>
      <c r="F1245" s="16">
        <f t="shared" si="3732"/>
        <v>60400000</v>
      </c>
      <c r="G1245" s="16">
        <f t="shared" si="3732"/>
        <v>65600000</v>
      </c>
      <c r="H1245" s="17">
        <f t="shared" ref="H1245:J1245" si="3733">roundup((XLOOKUP($D1245,$T$3:$T$10,$U$3:$U$10)*XLOOKUP(H$2,$AA$3:$AA$5,$AC$3:$AC$5)-ABS(XLOOKUP($C1245,$Q$3:$Q$16,$R$3:$R$16)))*$B1245,-5)</f>
        <v>29400000</v>
      </c>
      <c r="I1245" s="17">
        <f t="shared" si="3733"/>
        <v>74200000</v>
      </c>
      <c r="J1245" s="17">
        <f t="shared" si="3733"/>
        <v>80300000</v>
      </c>
      <c r="K1245" s="17">
        <f t="shared" ref="K1245:M1245" si="3734">roundup((XLOOKUP($D1245,$T$3:$T$10,$U$3:$U$10)*XLOOKUP(K$2,$AA$3:$AA$5,$AD$3:$AD$5)-ABS(XLOOKUP($C1245,$Q$3:$Q$16,$R$3:$R$16)))*$B1245,-5)</f>
        <v>34400000</v>
      </c>
      <c r="L1245" s="17">
        <f t="shared" si="3734"/>
        <v>83500000</v>
      </c>
      <c r="M1245" s="17">
        <f t="shared" si="3734"/>
        <v>90200000</v>
      </c>
    </row>
    <row r="1246">
      <c r="A1246" s="14" t="s">
        <v>1289</v>
      </c>
      <c r="B1246" s="14">
        <v>226.0</v>
      </c>
      <c r="C1246" s="15">
        <f t="shared" si="4"/>
        <v>14</v>
      </c>
      <c r="D1246" s="14" t="s">
        <v>33</v>
      </c>
      <c r="E1246" s="16">
        <f t="shared" ref="E1246:G1246" si="3735">ROUNDUP((XLOOKUP($D1246,$T$3:$T$10,$U$3:$U$10)*XLOOKUP(E$2,$AA$3:$AA$5,$AB$3:$AB$5)-ABS(XLOOKUP($C1246,$Q$3:$Q$16,$R$3:$R$16)))*$B1246,-5)</f>
        <v>42500000</v>
      </c>
      <c r="F1246" s="16">
        <f t="shared" si="3735"/>
        <v>80400000</v>
      </c>
      <c r="G1246" s="16">
        <f t="shared" si="3735"/>
        <v>88300000</v>
      </c>
      <c r="H1246" s="17">
        <f t="shared" ref="H1246:J1246" si="3736">roundup((XLOOKUP($D1246,$T$3:$T$10,$U$3:$U$10)*XLOOKUP(H$2,$AA$3:$AA$5,$AC$3:$AC$5)-ABS(XLOOKUP($C1246,$Q$3:$Q$16,$R$3:$R$16)))*$B1246,-5)</f>
        <v>33800000</v>
      </c>
      <c r="I1246" s="17">
        <f t="shared" si="3736"/>
        <v>101100000</v>
      </c>
      <c r="J1246" s="17">
        <f t="shared" si="3736"/>
        <v>110300000</v>
      </c>
      <c r="K1246" s="17">
        <f t="shared" ref="K1246:M1246" si="3737">roundup((XLOOKUP($D1246,$T$3:$T$10,$U$3:$U$10)*XLOOKUP(K$2,$AA$3:$AA$5,$AD$3:$AD$5)-ABS(XLOOKUP($C1246,$Q$3:$Q$16,$R$3:$R$16)))*$B1246,-5)</f>
        <v>41300000</v>
      </c>
      <c r="L1246" s="17">
        <f t="shared" si="3737"/>
        <v>115200000</v>
      </c>
      <c r="M1246" s="17">
        <f t="shared" si="3737"/>
        <v>125200000</v>
      </c>
    </row>
    <row r="1247">
      <c r="A1247" s="14" t="s">
        <v>1290</v>
      </c>
      <c r="B1247" s="14">
        <v>152.0</v>
      </c>
      <c r="C1247" s="15">
        <f t="shared" si="4"/>
        <v>11</v>
      </c>
      <c r="D1247" s="14" t="s">
        <v>33</v>
      </c>
      <c r="E1247" s="16">
        <f t="shared" ref="E1247:G1247" si="3738">ROUNDUP((XLOOKUP($D1247,$T$3:$T$10,$U$3:$U$10)*XLOOKUP(E$2,$AA$3:$AA$5,$AB$3:$AB$5)-ABS(XLOOKUP($C1247,$Q$3:$Q$16,$R$3:$R$16)))*$B1247,-5)</f>
        <v>33000000</v>
      </c>
      <c r="F1247" s="16">
        <f t="shared" si="3738"/>
        <v>58500000</v>
      </c>
      <c r="G1247" s="16">
        <f t="shared" si="3738"/>
        <v>63800000</v>
      </c>
      <c r="H1247" s="17">
        <f t="shared" ref="H1247:J1247" si="3739">roundup((XLOOKUP($D1247,$T$3:$T$10,$U$3:$U$10)*XLOOKUP(H$2,$AA$3:$AA$5,$AC$3:$AC$5)-ABS(XLOOKUP($C1247,$Q$3:$Q$16,$R$3:$R$16)))*$B1247,-5)</f>
        <v>27200000</v>
      </c>
      <c r="I1247" s="17">
        <f t="shared" si="3739"/>
        <v>72400000</v>
      </c>
      <c r="J1247" s="17">
        <f t="shared" si="3739"/>
        <v>78600000</v>
      </c>
      <c r="K1247" s="17">
        <f t="shared" ref="K1247:M1247" si="3740">roundup((XLOOKUP($D1247,$T$3:$T$10,$U$3:$U$10)*XLOOKUP(K$2,$AA$3:$AA$5,$AD$3:$AD$5)-ABS(XLOOKUP($C1247,$Q$3:$Q$16,$R$3:$R$16)))*$B1247,-5)</f>
        <v>32200000</v>
      </c>
      <c r="L1247" s="17">
        <f t="shared" si="3740"/>
        <v>81900000</v>
      </c>
      <c r="M1247" s="17">
        <f t="shared" si="3740"/>
        <v>88700000</v>
      </c>
    </row>
    <row r="1248">
      <c r="A1248" s="14" t="s">
        <v>1291</v>
      </c>
      <c r="B1248" s="14">
        <v>140.0</v>
      </c>
      <c r="C1248" s="15">
        <f t="shared" si="4"/>
        <v>11</v>
      </c>
      <c r="D1248" s="14" t="s">
        <v>33</v>
      </c>
      <c r="E1248" s="16">
        <f t="shared" ref="E1248:G1248" si="3741">ROUNDUP((XLOOKUP($D1248,$T$3:$T$10,$U$3:$U$10)*XLOOKUP(E$2,$AA$3:$AA$5,$AB$3:$AB$5)-ABS(XLOOKUP($C1248,$Q$3:$Q$16,$R$3:$R$16)))*$B1248,-5)</f>
        <v>30400000</v>
      </c>
      <c r="F1248" s="16">
        <f t="shared" si="3741"/>
        <v>53900000</v>
      </c>
      <c r="G1248" s="16">
        <f t="shared" si="3741"/>
        <v>58800000</v>
      </c>
      <c r="H1248" s="17">
        <f t="shared" ref="H1248:J1248" si="3742">roundup((XLOOKUP($D1248,$T$3:$T$10,$U$3:$U$10)*XLOOKUP(H$2,$AA$3:$AA$5,$AC$3:$AC$5)-ABS(XLOOKUP($C1248,$Q$3:$Q$16,$R$3:$R$16)))*$B1248,-5)</f>
        <v>25000000</v>
      </c>
      <c r="I1248" s="17">
        <f t="shared" si="3742"/>
        <v>66700000</v>
      </c>
      <c r="J1248" s="17">
        <f t="shared" si="3742"/>
        <v>72400000</v>
      </c>
      <c r="K1248" s="17">
        <f t="shared" ref="K1248:M1248" si="3743">roundup((XLOOKUP($D1248,$T$3:$T$10,$U$3:$U$10)*XLOOKUP(K$2,$AA$3:$AA$5,$AD$3:$AD$5)-ABS(XLOOKUP($C1248,$Q$3:$Q$16,$R$3:$R$16)))*$B1248,-5)</f>
        <v>29700000</v>
      </c>
      <c r="L1248" s="17">
        <f t="shared" si="3743"/>
        <v>75400000</v>
      </c>
      <c r="M1248" s="17">
        <f t="shared" si="3743"/>
        <v>81700000</v>
      </c>
    </row>
    <row r="1249">
      <c r="A1249" s="14" t="s">
        <v>1292</v>
      </c>
      <c r="B1249" s="14">
        <v>161.0</v>
      </c>
      <c r="C1249" s="15">
        <f t="shared" si="4"/>
        <v>12</v>
      </c>
      <c r="D1249" s="14" t="s">
        <v>36</v>
      </c>
      <c r="E1249" s="16">
        <f t="shared" ref="E1249:G1249" si="3744">ROUNDUP((XLOOKUP($D1249,$T$3:$T$10,$U$3:$U$10)*XLOOKUP(E$2,$AA$3:$AA$5,$AB$3:$AB$5)-ABS(XLOOKUP($C1249,$Q$3:$Q$16,$R$3:$R$16)))*$B1249,-5)</f>
        <v>41500000</v>
      </c>
      <c r="F1249" s="16">
        <f t="shared" si="3744"/>
        <v>71800000</v>
      </c>
      <c r="G1249" s="16">
        <f t="shared" si="3744"/>
        <v>78100000</v>
      </c>
      <c r="H1249" s="17">
        <f t="shared" ref="H1249:J1249" si="3745">roundup((XLOOKUP($D1249,$T$3:$T$10,$U$3:$U$10)*XLOOKUP(H$2,$AA$3:$AA$5,$AC$3:$AC$5)-ABS(XLOOKUP($C1249,$Q$3:$Q$16,$R$3:$R$16)))*$B1249,-5)</f>
        <v>34600000</v>
      </c>
      <c r="I1249" s="17">
        <f t="shared" si="3745"/>
        <v>88300000</v>
      </c>
      <c r="J1249" s="17">
        <f t="shared" si="3745"/>
        <v>95600000</v>
      </c>
      <c r="K1249" s="17">
        <f t="shared" ref="K1249:M1249" si="3746">roundup((XLOOKUP($D1249,$T$3:$T$10,$U$3:$U$10)*XLOOKUP(K$2,$AA$3:$AA$5,$AD$3:$AD$5)-ABS(XLOOKUP($C1249,$Q$3:$Q$16,$R$3:$R$16)))*$B1249,-5)</f>
        <v>40500000</v>
      </c>
      <c r="L1249" s="17">
        <f t="shared" si="3746"/>
        <v>99500000</v>
      </c>
      <c r="M1249" s="17">
        <f t="shared" si="3746"/>
        <v>107500000</v>
      </c>
    </row>
    <row r="1250">
      <c r="A1250" s="14" t="s">
        <v>1293</v>
      </c>
      <c r="B1250" s="14">
        <v>245.0</v>
      </c>
      <c r="C1250" s="15">
        <f t="shared" si="4"/>
        <v>14</v>
      </c>
      <c r="D1250" s="14" t="s">
        <v>36</v>
      </c>
      <c r="E1250" s="16">
        <f t="shared" ref="E1250:G1250" si="3747">ROUNDUP((XLOOKUP($D1250,$T$3:$T$10,$U$3:$U$10)*XLOOKUP(E$2,$AA$3:$AA$5,$AB$3:$AB$5)-ABS(XLOOKUP($C1250,$Q$3:$Q$16,$R$3:$R$16)))*$B1250,-5)</f>
        <v>57200000</v>
      </c>
      <c r="F1250" s="16">
        <f t="shared" si="3747"/>
        <v>103300000</v>
      </c>
      <c r="G1250" s="16">
        <f t="shared" si="3747"/>
        <v>112900000</v>
      </c>
      <c r="H1250" s="17">
        <f t="shared" ref="H1250:J1250" si="3748">roundup((XLOOKUP($D1250,$T$3:$T$10,$U$3:$U$10)*XLOOKUP(H$2,$AA$3:$AA$5,$AC$3:$AC$5)-ABS(XLOOKUP($C1250,$Q$3:$Q$16,$R$3:$R$16)))*$B1250,-5)</f>
        <v>46700000</v>
      </c>
      <c r="I1250" s="17">
        <f t="shared" si="3748"/>
        <v>128500000</v>
      </c>
      <c r="J1250" s="17">
        <f t="shared" si="3748"/>
        <v>139600000</v>
      </c>
      <c r="K1250" s="17">
        <f t="shared" ref="K1250:M1250" si="3749">roundup((XLOOKUP($D1250,$T$3:$T$10,$U$3:$U$10)*XLOOKUP(K$2,$AA$3:$AA$5,$AD$3:$AD$5)-ABS(XLOOKUP($C1250,$Q$3:$Q$16,$R$3:$R$16)))*$B1250,-5)</f>
        <v>55700000</v>
      </c>
      <c r="L1250" s="17">
        <f t="shared" si="3749"/>
        <v>145500000</v>
      </c>
      <c r="M1250" s="17">
        <f t="shared" si="3749"/>
        <v>157700000</v>
      </c>
    </row>
    <row r="1251">
      <c r="A1251" s="14" t="s">
        <v>1294</v>
      </c>
      <c r="B1251" s="14">
        <v>173.0</v>
      </c>
      <c r="C1251" s="15">
        <f t="shared" si="4"/>
        <v>12</v>
      </c>
      <c r="D1251" s="14" t="s">
        <v>36</v>
      </c>
      <c r="E1251" s="16">
        <f t="shared" ref="E1251:G1251" si="3750">ROUNDUP((XLOOKUP($D1251,$T$3:$T$10,$U$3:$U$10)*XLOOKUP(E$2,$AA$3:$AA$5,$AB$3:$AB$5)-ABS(XLOOKUP($C1251,$Q$3:$Q$16,$R$3:$R$16)))*$B1251,-5)</f>
        <v>44500000</v>
      </c>
      <c r="F1251" s="16">
        <f t="shared" si="3750"/>
        <v>77100000</v>
      </c>
      <c r="G1251" s="16">
        <f t="shared" si="3750"/>
        <v>83900000</v>
      </c>
      <c r="H1251" s="17">
        <f t="shared" ref="H1251:J1251" si="3751">roundup((XLOOKUP($D1251,$T$3:$T$10,$U$3:$U$10)*XLOOKUP(H$2,$AA$3:$AA$5,$AC$3:$AC$5)-ABS(XLOOKUP($C1251,$Q$3:$Q$16,$R$3:$R$16)))*$B1251,-5)</f>
        <v>37100000</v>
      </c>
      <c r="I1251" s="17">
        <f t="shared" si="3751"/>
        <v>94900000</v>
      </c>
      <c r="J1251" s="17">
        <f t="shared" si="3751"/>
        <v>102700000</v>
      </c>
      <c r="K1251" s="17">
        <f t="shared" ref="K1251:M1251" si="3752">roundup((XLOOKUP($D1251,$T$3:$T$10,$U$3:$U$10)*XLOOKUP(K$2,$AA$3:$AA$5,$AD$3:$AD$5)-ABS(XLOOKUP($C1251,$Q$3:$Q$16,$R$3:$R$16)))*$B1251,-5)</f>
        <v>43500000</v>
      </c>
      <c r="L1251" s="17">
        <f t="shared" si="3752"/>
        <v>106900000</v>
      </c>
      <c r="M1251" s="17">
        <f t="shared" si="3752"/>
        <v>115600000</v>
      </c>
    </row>
    <row r="1252">
      <c r="A1252" s="14" t="s">
        <v>1295</v>
      </c>
      <c r="B1252" s="14">
        <v>186.0</v>
      </c>
      <c r="C1252" s="15">
        <f t="shared" si="4"/>
        <v>13</v>
      </c>
      <c r="D1252" s="14" t="s">
        <v>36</v>
      </c>
      <c r="E1252" s="16">
        <f t="shared" ref="E1252:G1252" si="3753">ROUNDUP((XLOOKUP($D1252,$T$3:$T$10,$U$3:$U$10)*XLOOKUP(E$2,$AA$3:$AA$5,$AB$3:$AB$5)-ABS(XLOOKUP($C1252,$Q$3:$Q$16,$R$3:$R$16)))*$B1252,-5)</f>
        <v>45100000</v>
      </c>
      <c r="F1252" s="16">
        <f t="shared" si="3753"/>
        <v>80100000</v>
      </c>
      <c r="G1252" s="16">
        <f t="shared" si="3753"/>
        <v>87400000</v>
      </c>
      <c r="H1252" s="17">
        <f t="shared" ref="H1252:J1252" si="3754">roundup((XLOOKUP($D1252,$T$3:$T$10,$U$3:$U$10)*XLOOKUP(H$2,$AA$3:$AA$5,$AC$3:$AC$5)-ABS(XLOOKUP($C1252,$Q$3:$Q$16,$R$3:$R$16)))*$B1252,-5)</f>
        <v>37100000</v>
      </c>
      <c r="I1252" s="17">
        <f t="shared" si="3754"/>
        <v>99200000</v>
      </c>
      <c r="J1252" s="17">
        <f t="shared" si="3754"/>
        <v>107700000</v>
      </c>
      <c r="K1252" s="17">
        <f t="shared" ref="K1252:M1252" si="3755">roundup((XLOOKUP($D1252,$T$3:$T$10,$U$3:$U$10)*XLOOKUP(K$2,$AA$3:$AA$5,$AD$3:$AD$5)-ABS(XLOOKUP($C1252,$Q$3:$Q$16,$R$3:$R$16)))*$B1252,-5)</f>
        <v>44000000</v>
      </c>
      <c r="L1252" s="17">
        <f t="shared" si="3755"/>
        <v>112100000</v>
      </c>
      <c r="M1252" s="17">
        <f t="shared" si="3755"/>
        <v>121400000</v>
      </c>
    </row>
    <row r="1253">
      <c r="A1253" s="14" t="s">
        <v>1296</v>
      </c>
      <c r="B1253" s="14">
        <v>174.0</v>
      </c>
      <c r="C1253" s="15">
        <f t="shared" si="4"/>
        <v>12</v>
      </c>
      <c r="D1253" s="14" t="s">
        <v>33</v>
      </c>
      <c r="E1253" s="16">
        <f t="shared" ref="E1253:G1253" si="3756">ROUNDUP((XLOOKUP($D1253,$T$3:$T$10,$U$3:$U$10)*XLOOKUP(E$2,$AA$3:$AA$5,$AB$3:$AB$5)-ABS(XLOOKUP($C1253,$Q$3:$Q$16,$R$3:$R$16)))*$B1253,-5)</f>
        <v>36900000</v>
      </c>
      <c r="F1253" s="16">
        <f t="shared" si="3756"/>
        <v>66100000</v>
      </c>
      <c r="G1253" s="16">
        <f t="shared" si="3756"/>
        <v>72200000</v>
      </c>
      <c r="H1253" s="17">
        <f t="shared" ref="H1253:J1253" si="3757">roundup((XLOOKUP($D1253,$T$3:$T$10,$U$3:$U$10)*XLOOKUP(H$2,$AA$3:$AA$5,$AC$3:$AC$5)-ABS(XLOOKUP($C1253,$Q$3:$Q$16,$R$3:$R$16)))*$B1253,-5)</f>
        <v>30200000</v>
      </c>
      <c r="I1253" s="17">
        <f t="shared" si="3757"/>
        <v>82100000</v>
      </c>
      <c r="J1253" s="17">
        <f t="shared" si="3757"/>
        <v>89100000</v>
      </c>
      <c r="K1253" s="17">
        <f t="shared" ref="K1253:M1253" si="3758">roundup((XLOOKUP($D1253,$T$3:$T$10,$U$3:$U$10)*XLOOKUP(K$2,$AA$3:$AA$5,$AD$3:$AD$5)-ABS(XLOOKUP($C1253,$Q$3:$Q$16,$R$3:$R$16)))*$B1253,-5)</f>
        <v>36000000</v>
      </c>
      <c r="L1253" s="17">
        <f t="shared" si="3758"/>
        <v>92800000</v>
      </c>
      <c r="M1253" s="17">
        <f t="shared" si="3758"/>
        <v>100600000</v>
      </c>
    </row>
    <row r="1254">
      <c r="A1254" s="14" t="s">
        <v>1297</v>
      </c>
      <c r="B1254" s="14">
        <v>140.0</v>
      </c>
      <c r="C1254" s="15">
        <f t="shared" si="4"/>
        <v>11</v>
      </c>
      <c r="D1254" s="14" t="s">
        <v>36</v>
      </c>
      <c r="E1254" s="16">
        <f t="shared" ref="E1254:G1254" si="3759">ROUNDUP((XLOOKUP($D1254,$T$3:$T$10,$U$3:$U$10)*XLOOKUP(E$2,$AA$3:$AA$5,$AB$3:$AB$5)-ABS(XLOOKUP($C1254,$Q$3:$Q$16,$R$3:$R$16)))*$B1254,-5)</f>
        <v>36800000</v>
      </c>
      <c r="F1254" s="16">
        <f t="shared" si="3759"/>
        <v>63100000</v>
      </c>
      <c r="G1254" s="16">
        <f t="shared" si="3759"/>
        <v>68600000</v>
      </c>
      <c r="H1254" s="17">
        <f t="shared" ref="H1254:J1254" si="3760">roundup((XLOOKUP($D1254,$T$3:$T$10,$U$3:$U$10)*XLOOKUP(H$2,$AA$3:$AA$5,$AC$3:$AC$5)-ABS(XLOOKUP($C1254,$Q$3:$Q$16,$R$3:$R$16)))*$B1254,-5)</f>
        <v>30800000</v>
      </c>
      <c r="I1254" s="17">
        <f t="shared" si="3760"/>
        <v>77500000</v>
      </c>
      <c r="J1254" s="17">
        <f t="shared" si="3760"/>
        <v>83900000</v>
      </c>
      <c r="K1254" s="17">
        <f t="shared" ref="K1254:M1254" si="3761">roundup((XLOOKUP($D1254,$T$3:$T$10,$U$3:$U$10)*XLOOKUP(K$2,$AA$3:$AA$5,$AD$3:$AD$5)-ABS(XLOOKUP($C1254,$Q$3:$Q$16,$R$3:$R$16)))*$B1254,-5)</f>
        <v>35900000</v>
      </c>
      <c r="L1254" s="17">
        <f t="shared" si="3761"/>
        <v>87200000</v>
      </c>
      <c r="M1254" s="17">
        <f t="shared" si="3761"/>
        <v>94200000</v>
      </c>
    </row>
    <row r="1255">
      <c r="A1255" s="14" t="s">
        <v>1298</v>
      </c>
      <c r="B1255" s="14">
        <v>137.0</v>
      </c>
      <c r="C1255" s="15">
        <f t="shared" si="4"/>
        <v>11</v>
      </c>
      <c r="D1255" s="14" t="s">
        <v>36</v>
      </c>
      <c r="E1255" s="16">
        <f t="shared" ref="E1255:G1255" si="3762">ROUNDUP((XLOOKUP($D1255,$T$3:$T$10,$U$3:$U$10)*XLOOKUP(E$2,$AA$3:$AA$5,$AB$3:$AB$5)-ABS(XLOOKUP($C1255,$Q$3:$Q$16,$R$3:$R$16)))*$B1255,-5)</f>
        <v>36000000</v>
      </c>
      <c r="F1255" s="16">
        <f t="shared" si="3762"/>
        <v>61800000</v>
      </c>
      <c r="G1255" s="16">
        <f t="shared" si="3762"/>
        <v>67100000</v>
      </c>
      <c r="H1255" s="17">
        <f t="shared" ref="H1255:J1255" si="3763">roundup((XLOOKUP($D1255,$T$3:$T$10,$U$3:$U$10)*XLOOKUP(H$2,$AA$3:$AA$5,$AC$3:$AC$5)-ABS(XLOOKUP($C1255,$Q$3:$Q$16,$R$3:$R$16)))*$B1255,-5)</f>
        <v>30100000</v>
      </c>
      <c r="I1255" s="17">
        <f t="shared" si="3763"/>
        <v>75800000</v>
      </c>
      <c r="J1255" s="17">
        <f t="shared" si="3763"/>
        <v>82100000</v>
      </c>
      <c r="K1255" s="17">
        <f t="shared" ref="K1255:M1255" si="3764">roundup((XLOOKUP($D1255,$T$3:$T$10,$U$3:$U$10)*XLOOKUP(K$2,$AA$3:$AA$5,$AD$3:$AD$5)-ABS(XLOOKUP($C1255,$Q$3:$Q$16,$R$3:$R$16)))*$B1255,-5)</f>
        <v>35200000</v>
      </c>
      <c r="L1255" s="17">
        <f t="shared" si="3764"/>
        <v>85400000</v>
      </c>
      <c r="M1255" s="17">
        <f t="shared" si="3764"/>
        <v>92200000</v>
      </c>
    </row>
    <row r="1256">
      <c r="A1256" s="14" t="s">
        <v>1299</v>
      </c>
      <c r="B1256" s="14">
        <v>176.0</v>
      </c>
      <c r="C1256" s="15">
        <f t="shared" si="4"/>
        <v>12</v>
      </c>
      <c r="D1256" s="14" t="s">
        <v>33</v>
      </c>
      <c r="E1256" s="16">
        <f t="shared" ref="E1256:G1256" si="3765">ROUNDUP((XLOOKUP($D1256,$T$3:$T$10,$U$3:$U$10)*XLOOKUP(E$2,$AA$3:$AA$5,$AB$3:$AB$5)-ABS(XLOOKUP($C1256,$Q$3:$Q$16,$R$3:$R$16)))*$B1256,-5)</f>
        <v>37300000</v>
      </c>
      <c r="F1256" s="16">
        <f t="shared" si="3765"/>
        <v>66900000</v>
      </c>
      <c r="G1256" s="16">
        <f t="shared" si="3765"/>
        <v>73000000</v>
      </c>
      <c r="H1256" s="17">
        <f t="shared" ref="H1256:J1256" si="3766">roundup((XLOOKUP($D1256,$T$3:$T$10,$U$3:$U$10)*XLOOKUP(H$2,$AA$3:$AA$5,$AC$3:$AC$5)-ABS(XLOOKUP($C1256,$Q$3:$Q$16,$R$3:$R$16)))*$B1256,-5)</f>
        <v>30600000</v>
      </c>
      <c r="I1256" s="17">
        <f t="shared" si="3766"/>
        <v>83000000</v>
      </c>
      <c r="J1256" s="17">
        <f t="shared" si="3766"/>
        <v>90100000</v>
      </c>
      <c r="K1256" s="17">
        <f t="shared" ref="K1256:M1256" si="3767">roundup((XLOOKUP($D1256,$T$3:$T$10,$U$3:$U$10)*XLOOKUP(K$2,$AA$3:$AA$5,$AD$3:$AD$5)-ABS(XLOOKUP($C1256,$Q$3:$Q$16,$R$3:$R$16)))*$B1256,-5)</f>
        <v>36400000</v>
      </c>
      <c r="L1256" s="17">
        <f t="shared" si="3767"/>
        <v>93900000</v>
      </c>
      <c r="M1256" s="17">
        <f t="shared" si="3767"/>
        <v>101800000</v>
      </c>
    </row>
    <row r="1257">
      <c r="A1257" s="14" t="s">
        <v>1300</v>
      </c>
      <c r="B1257" s="14">
        <v>193.0</v>
      </c>
      <c r="C1257" s="15">
        <f t="shared" si="4"/>
        <v>13</v>
      </c>
      <c r="D1257" s="14" t="s">
        <v>33</v>
      </c>
      <c r="E1257" s="16">
        <f t="shared" ref="E1257:G1257" si="3768">ROUNDUP((XLOOKUP($D1257,$T$3:$T$10,$U$3:$U$10)*XLOOKUP(E$2,$AA$3:$AA$5,$AB$3:$AB$5)-ABS(XLOOKUP($C1257,$Q$3:$Q$16,$R$3:$R$16)))*$B1257,-5)</f>
        <v>38000000</v>
      </c>
      <c r="F1257" s="16">
        <f t="shared" si="3768"/>
        <v>70400000</v>
      </c>
      <c r="G1257" s="16">
        <f t="shared" si="3768"/>
        <v>77200000</v>
      </c>
      <c r="H1257" s="17">
        <f t="shared" ref="H1257:J1257" si="3769">roundup((XLOOKUP($D1257,$T$3:$T$10,$U$3:$U$10)*XLOOKUP(H$2,$AA$3:$AA$5,$AC$3:$AC$5)-ABS(XLOOKUP($C1257,$Q$3:$Q$16,$R$3:$R$16)))*$B1257,-5)</f>
        <v>30600000</v>
      </c>
      <c r="I1257" s="17">
        <f t="shared" si="3769"/>
        <v>88100000</v>
      </c>
      <c r="J1257" s="17">
        <f t="shared" si="3769"/>
        <v>95900000</v>
      </c>
      <c r="K1257" s="17">
        <f t="shared" ref="K1257:M1257" si="3770">roundup((XLOOKUP($D1257,$T$3:$T$10,$U$3:$U$10)*XLOOKUP(K$2,$AA$3:$AA$5,$AD$3:$AD$5)-ABS(XLOOKUP($C1257,$Q$3:$Q$16,$R$3:$R$16)))*$B1257,-5)</f>
        <v>37000000</v>
      </c>
      <c r="L1257" s="17">
        <f t="shared" si="3770"/>
        <v>100100000</v>
      </c>
      <c r="M1257" s="17">
        <f t="shared" si="3770"/>
        <v>108700000</v>
      </c>
    </row>
    <row r="1258">
      <c r="A1258" s="14" t="s">
        <v>1301</v>
      </c>
      <c r="B1258" s="14">
        <v>181.0</v>
      </c>
      <c r="C1258" s="15">
        <f t="shared" si="4"/>
        <v>13</v>
      </c>
      <c r="D1258" s="14" t="s">
        <v>36</v>
      </c>
      <c r="E1258" s="16">
        <f t="shared" ref="E1258:G1258" si="3771">ROUNDUP((XLOOKUP($D1258,$T$3:$T$10,$U$3:$U$10)*XLOOKUP(E$2,$AA$3:$AA$5,$AB$3:$AB$5)-ABS(XLOOKUP($C1258,$Q$3:$Q$16,$R$3:$R$16)))*$B1258,-5)</f>
        <v>43900000</v>
      </c>
      <c r="F1258" s="16">
        <f t="shared" si="3771"/>
        <v>78000000</v>
      </c>
      <c r="G1258" s="16">
        <f t="shared" si="3771"/>
        <v>85000000</v>
      </c>
      <c r="H1258" s="17">
        <f t="shared" ref="H1258:J1258" si="3772">roundup((XLOOKUP($D1258,$T$3:$T$10,$U$3:$U$10)*XLOOKUP(H$2,$AA$3:$AA$5,$AC$3:$AC$5)-ABS(XLOOKUP($C1258,$Q$3:$Q$16,$R$3:$R$16)))*$B1258,-5)</f>
        <v>36100000</v>
      </c>
      <c r="I1258" s="17">
        <f t="shared" si="3772"/>
        <v>96600000</v>
      </c>
      <c r="J1258" s="17">
        <f t="shared" si="3772"/>
        <v>104800000</v>
      </c>
      <c r="K1258" s="17">
        <f t="shared" ref="K1258:M1258" si="3773">roundup((XLOOKUP($D1258,$T$3:$T$10,$U$3:$U$10)*XLOOKUP(K$2,$AA$3:$AA$5,$AD$3:$AD$5)-ABS(XLOOKUP($C1258,$Q$3:$Q$16,$R$3:$R$16)))*$B1258,-5)</f>
        <v>42800000</v>
      </c>
      <c r="L1258" s="17">
        <f t="shared" si="3773"/>
        <v>109100000</v>
      </c>
      <c r="M1258" s="17">
        <f t="shared" si="3773"/>
        <v>118200000</v>
      </c>
    </row>
    <row r="1259">
      <c r="A1259" s="14" t="s">
        <v>1302</v>
      </c>
      <c r="B1259" s="14">
        <v>177.0</v>
      </c>
      <c r="C1259" s="15">
        <f t="shared" si="4"/>
        <v>12</v>
      </c>
      <c r="D1259" s="14" t="s">
        <v>36</v>
      </c>
      <c r="E1259" s="16">
        <f t="shared" ref="E1259:G1259" si="3774">ROUNDUP((XLOOKUP($D1259,$T$3:$T$10,$U$3:$U$10)*XLOOKUP(E$2,$AA$3:$AA$5,$AB$3:$AB$5)-ABS(XLOOKUP($C1259,$Q$3:$Q$16,$R$3:$R$16)))*$B1259,-5)</f>
        <v>45600000</v>
      </c>
      <c r="F1259" s="16">
        <f t="shared" si="3774"/>
        <v>78900000</v>
      </c>
      <c r="G1259" s="16">
        <f t="shared" si="3774"/>
        <v>85800000</v>
      </c>
      <c r="H1259" s="17">
        <f t="shared" ref="H1259:J1259" si="3775">roundup((XLOOKUP($D1259,$T$3:$T$10,$U$3:$U$10)*XLOOKUP(H$2,$AA$3:$AA$5,$AC$3:$AC$5)-ABS(XLOOKUP($C1259,$Q$3:$Q$16,$R$3:$R$16)))*$B1259,-5)</f>
        <v>38000000</v>
      </c>
      <c r="I1259" s="17">
        <f t="shared" si="3775"/>
        <v>97100000</v>
      </c>
      <c r="J1259" s="17">
        <f t="shared" si="3775"/>
        <v>105100000</v>
      </c>
      <c r="K1259" s="17">
        <f t="shared" ref="K1259:M1259" si="3776">roundup((XLOOKUP($D1259,$T$3:$T$10,$U$3:$U$10)*XLOOKUP(K$2,$AA$3:$AA$5,$AD$3:$AD$5)-ABS(XLOOKUP($C1259,$Q$3:$Q$16,$R$3:$R$16)))*$B1259,-5)</f>
        <v>44500000</v>
      </c>
      <c r="L1259" s="17">
        <f t="shared" si="3776"/>
        <v>109400000</v>
      </c>
      <c r="M1259" s="17">
        <f t="shared" si="3776"/>
        <v>118200000</v>
      </c>
    </row>
    <row r="1260">
      <c r="A1260" s="14" t="s">
        <v>1303</v>
      </c>
      <c r="B1260" s="14">
        <v>171.0</v>
      </c>
      <c r="C1260" s="15">
        <f t="shared" si="4"/>
        <v>12</v>
      </c>
      <c r="D1260" s="14" t="s">
        <v>36</v>
      </c>
      <c r="E1260" s="16">
        <f t="shared" ref="E1260:G1260" si="3777">ROUNDUP((XLOOKUP($D1260,$T$3:$T$10,$U$3:$U$10)*XLOOKUP(E$2,$AA$3:$AA$5,$AB$3:$AB$5)-ABS(XLOOKUP($C1260,$Q$3:$Q$16,$R$3:$R$16)))*$B1260,-5)</f>
        <v>44000000</v>
      </c>
      <c r="F1260" s="16">
        <f t="shared" si="3777"/>
        <v>76200000</v>
      </c>
      <c r="G1260" s="16">
        <f t="shared" si="3777"/>
        <v>82900000</v>
      </c>
      <c r="H1260" s="17">
        <f t="shared" ref="H1260:J1260" si="3778">roundup((XLOOKUP($D1260,$T$3:$T$10,$U$3:$U$10)*XLOOKUP(H$2,$AA$3:$AA$5,$AC$3:$AC$5)-ABS(XLOOKUP($C1260,$Q$3:$Q$16,$R$3:$R$16)))*$B1260,-5)</f>
        <v>36700000</v>
      </c>
      <c r="I1260" s="17">
        <f t="shared" si="3778"/>
        <v>93800000</v>
      </c>
      <c r="J1260" s="17">
        <f t="shared" si="3778"/>
        <v>101600000</v>
      </c>
      <c r="K1260" s="17">
        <f t="shared" ref="K1260:M1260" si="3779">roundup((XLOOKUP($D1260,$T$3:$T$10,$U$3:$U$10)*XLOOKUP(K$2,$AA$3:$AA$5,$AD$3:$AD$5)-ABS(XLOOKUP($C1260,$Q$3:$Q$16,$R$3:$R$16)))*$B1260,-5)</f>
        <v>43000000</v>
      </c>
      <c r="L1260" s="17">
        <f t="shared" si="3779"/>
        <v>105700000</v>
      </c>
      <c r="M1260" s="17">
        <f t="shared" si="3779"/>
        <v>114200000</v>
      </c>
    </row>
    <row r="1261">
      <c r="A1261" s="14" t="s">
        <v>1304</v>
      </c>
      <c r="B1261" s="14">
        <v>103.0</v>
      </c>
      <c r="C1261" s="15">
        <f t="shared" si="4"/>
        <v>11</v>
      </c>
      <c r="D1261" s="14" t="s">
        <v>208</v>
      </c>
      <c r="E1261" s="16">
        <f t="shared" ref="E1261:G1261" si="3780">ROUNDUP((XLOOKUP($D1261,$T$3:$T$10,$U$3:$U$10)*XLOOKUP(E$2,$AA$3:$AA$5,$AB$3:$AB$5)-ABS(XLOOKUP($C1261,$Q$3:$Q$16,$R$3:$R$16)))*$B1261,-5)</f>
        <v>23700000</v>
      </c>
      <c r="F1261" s="16">
        <f t="shared" si="3780"/>
        <v>41600000</v>
      </c>
      <c r="G1261" s="16">
        <f t="shared" si="3780"/>
        <v>45300000</v>
      </c>
      <c r="H1261" s="17">
        <f t="shared" ref="H1261:J1261" si="3781">roundup((XLOOKUP($D1261,$T$3:$T$10,$U$3:$U$10)*XLOOKUP(H$2,$AA$3:$AA$5,$AC$3:$AC$5)-ABS(XLOOKUP($C1261,$Q$3:$Q$16,$R$3:$R$16)))*$B1261,-5)</f>
        <v>19600000</v>
      </c>
      <c r="I1261" s="17">
        <f t="shared" si="3781"/>
        <v>51400000</v>
      </c>
      <c r="J1261" s="17">
        <f t="shared" si="3781"/>
        <v>55700000</v>
      </c>
      <c r="K1261" s="17">
        <f t="shared" ref="K1261:M1261" si="3782">roundup((XLOOKUP($D1261,$T$3:$T$10,$U$3:$U$10)*XLOOKUP(K$2,$AA$3:$AA$5,$AD$3:$AD$5)-ABS(XLOOKUP($C1261,$Q$3:$Q$16,$R$3:$R$16)))*$B1261,-5)</f>
        <v>23200000</v>
      </c>
      <c r="L1261" s="17">
        <f t="shared" si="3782"/>
        <v>58000000</v>
      </c>
      <c r="M1261" s="17">
        <f t="shared" si="3782"/>
        <v>62700000</v>
      </c>
    </row>
    <row r="1262">
      <c r="A1262" s="14" t="s">
        <v>1305</v>
      </c>
      <c r="B1262" s="14">
        <v>201.0</v>
      </c>
      <c r="C1262" s="15">
        <f t="shared" si="4"/>
        <v>13</v>
      </c>
      <c r="D1262" s="14" t="s">
        <v>36</v>
      </c>
      <c r="E1262" s="16">
        <f t="shared" ref="E1262:G1262" si="3783">ROUNDUP((XLOOKUP($D1262,$T$3:$T$10,$U$3:$U$10)*XLOOKUP(E$2,$AA$3:$AA$5,$AB$3:$AB$5)-ABS(XLOOKUP($C1262,$Q$3:$Q$16,$R$3:$R$16)))*$B1262,-5)</f>
        <v>48700000</v>
      </c>
      <c r="F1262" s="16">
        <f t="shared" si="3783"/>
        <v>86600000</v>
      </c>
      <c r="G1262" s="16">
        <f t="shared" si="3783"/>
        <v>94400000</v>
      </c>
      <c r="H1262" s="17">
        <f t="shared" ref="H1262:J1262" si="3784">roundup((XLOOKUP($D1262,$T$3:$T$10,$U$3:$U$10)*XLOOKUP(H$2,$AA$3:$AA$5,$AC$3:$AC$5)-ABS(XLOOKUP($C1262,$Q$3:$Q$16,$R$3:$R$16)))*$B1262,-5)</f>
        <v>40100000</v>
      </c>
      <c r="I1262" s="17">
        <f t="shared" si="3784"/>
        <v>107200000</v>
      </c>
      <c r="J1262" s="17">
        <f t="shared" si="3784"/>
        <v>116400000</v>
      </c>
      <c r="K1262" s="17">
        <f t="shared" ref="K1262:M1262" si="3785">roundup((XLOOKUP($D1262,$T$3:$T$10,$U$3:$U$10)*XLOOKUP(K$2,$AA$3:$AA$5,$AD$3:$AD$5)-ABS(XLOOKUP($C1262,$Q$3:$Q$16,$R$3:$R$16)))*$B1262,-5)</f>
        <v>47600000</v>
      </c>
      <c r="L1262" s="17">
        <f t="shared" si="3785"/>
        <v>121200000</v>
      </c>
      <c r="M1262" s="17">
        <f t="shared" si="3785"/>
        <v>131200000</v>
      </c>
    </row>
    <row r="1263">
      <c r="A1263" s="14" t="s">
        <v>1306</v>
      </c>
      <c r="B1263" s="14">
        <v>103.0</v>
      </c>
      <c r="C1263" s="15">
        <f t="shared" si="4"/>
        <v>11</v>
      </c>
      <c r="D1263" s="14" t="s">
        <v>208</v>
      </c>
      <c r="E1263" s="16">
        <f t="shared" ref="E1263:G1263" si="3786">ROUNDUP((XLOOKUP($D1263,$T$3:$T$10,$U$3:$U$10)*XLOOKUP(E$2,$AA$3:$AA$5,$AB$3:$AB$5)-ABS(XLOOKUP($C1263,$Q$3:$Q$16,$R$3:$R$16)))*$B1263,-5)</f>
        <v>23700000</v>
      </c>
      <c r="F1263" s="16">
        <f t="shared" si="3786"/>
        <v>41600000</v>
      </c>
      <c r="G1263" s="16">
        <f t="shared" si="3786"/>
        <v>45300000</v>
      </c>
      <c r="H1263" s="17">
        <f t="shared" ref="H1263:J1263" si="3787">roundup((XLOOKUP($D1263,$T$3:$T$10,$U$3:$U$10)*XLOOKUP(H$2,$AA$3:$AA$5,$AC$3:$AC$5)-ABS(XLOOKUP($C1263,$Q$3:$Q$16,$R$3:$R$16)))*$B1263,-5)</f>
        <v>19600000</v>
      </c>
      <c r="I1263" s="17">
        <f t="shared" si="3787"/>
        <v>51400000</v>
      </c>
      <c r="J1263" s="17">
        <f t="shared" si="3787"/>
        <v>55700000</v>
      </c>
      <c r="K1263" s="17">
        <f t="shared" ref="K1263:M1263" si="3788">roundup((XLOOKUP($D1263,$T$3:$T$10,$U$3:$U$10)*XLOOKUP(K$2,$AA$3:$AA$5,$AD$3:$AD$5)-ABS(XLOOKUP($C1263,$Q$3:$Q$16,$R$3:$R$16)))*$B1263,-5)</f>
        <v>23200000</v>
      </c>
      <c r="L1263" s="17">
        <f t="shared" si="3788"/>
        <v>58000000</v>
      </c>
      <c r="M1263" s="17">
        <f t="shared" si="3788"/>
        <v>62700000</v>
      </c>
    </row>
    <row r="1264">
      <c r="A1264" s="14" t="s">
        <v>1307</v>
      </c>
      <c r="B1264" s="14">
        <v>52.0</v>
      </c>
      <c r="C1264" s="15">
        <f t="shared" si="4"/>
        <v>7</v>
      </c>
      <c r="D1264" s="14" t="s">
        <v>33</v>
      </c>
      <c r="E1264" s="16">
        <f t="shared" ref="E1264:G1264" si="3789">ROUNDUP((XLOOKUP($D1264,$T$3:$T$10,$U$3:$U$10)*XLOOKUP(E$2,$AA$3:$AA$5,$AB$3:$AB$5)-ABS(XLOOKUP($C1264,$Q$3:$Q$16,$R$3:$R$16)))*$B1264,-5)</f>
        <v>17000000</v>
      </c>
      <c r="F1264" s="16">
        <f t="shared" si="3789"/>
        <v>25800000</v>
      </c>
      <c r="G1264" s="16">
        <f t="shared" si="3789"/>
        <v>27600000</v>
      </c>
      <c r="H1264" s="17">
        <f t="shared" ref="H1264:J1264" si="3790">roundup((XLOOKUP($D1264,$T$3:$T$10,$U$3:$U$10)*XLOOKUP(H$2,$AA$3:$AA$5,$AC$3:$AC$5)-ABS(XLOOKUP($C1264,$Q$3:$Q$16,$R$3:$R$16)))*$B1264,-5)</f>
        <v>15000000</v>
      </c>
      <c r="I1264" s="17">
        <f t="shared" si="3790"/>
        <v>30500000</v>
      </c>
      <c r="J1264" s="17">
        <f t="shared" si="3790"/>
        <v>32600000</v>
      </c>
      <c r="K1264" s="17">
        <f t="shared" ref="K1264:M1264" si="3791">roundup((XLOOKUP($D1264,$T$3:$T$10,$U$3:$U$10)*XLOOKUP(K$2,$AA$3:$AA$5,$AD$3:$AD$5)-ABS(XLOOKUP($C1264,$Q$3:$Q$16,$R$3:$R$16)))*$B1264,-5)</f>
        <v>16800000</v>
      </c>
      <c r="L1264" s="17">
        <f t="shared" si="3791"/>
        <v>33800000</v>
      </c>
      <c r="M1264" s="17">
        <f t="shared" si="3791"/>
        <v>36100000</v>
      </c>
    </row>
    <row r="1265">
      <c r="A1265" s="14" t="s">
        <v>1308</v>
      </c>
      <c r="B1265" s="14">
        <v>75.0</v>
      </c>
      <c r="C1265" s="15">
        <f t="shared" si="4"/>
        <v>9</v>
      </c>
      <c r="D1265" s="14" t="s">
        <v>1309</v>
      </c>
      <c r="E1265" s="16" t="str">
        <f t="shared" ref="E1265:G1265" si="3792">ROUNDUP((XLOOKUP($D1265,$T$3:$T$10,$U$3:$U$10)*XLOOKUP(E$2,$AA$3:$AA$5,$AB$3:$AB$5)-ABS(XLOOKUP($C1265,$Q$3:$Q$16,$R$3:$R$16)))*$B1265,-5)</f>
        <v>#N/A</v>
      </c>
      <c r="F1265" s="16" t="str">
        <f t="shared" si="3792"/>
        <v>#N/A</v>
      </c>
      <c r="G1265" s="16" t="str">
        <f t="shared" si="3792"/>
        <v>#N/A</v>
      </c>
      <c r="H1265" s="17" t="str">
        <f t="shared" ref="H1265:J1265" si="3793">roundup((XLOOKUP($D1265,$T$3:$T$10,$U$3:$U$10)*XLOOKUP(H$2,$AA$3:$AA$5,$AC$3:$AC$5)-ABS(XLOOKUP($C1265,$Q$3:$Q$16,$R$3:$R$16)))*$B1265,-5)</f>
        <v>#N/A</v>
      </c>
      <c r="I1265" s="17" t="str">
        <f t="shared" si="3793"/>
        <v>#N/A</v>
      </c>
      <c r="J1265" s="17" t="str">
        <f t="shared" si="3793"/>
        <v>#N/A</v>
      </c>
      <c r="K1265" s="17" t="str">
        <f t="shared" ref="K1265:M1265" si="3794">roundup((XLOOKUP($D1265,$T$3:$T$10,$U$3:$U$10)*XLOOKUP(K$2,$AA$3:$AA$5,$AD$3:$AD$5)-ABS(XLOOKUP($C1265,$Q$3:$Q$16,$R$3:$R$16)))*$B1265,-5)</f>
        <v>#N/A</v>
      </c>
      <c r="L1265" s="17" t="str">
        <f t="shared" si="3794"/>
        <v>#N/A</v>
      </c>
      <c r="M1265" s="17" t="str">
        <f t="shared" si="3794"/>
        <v>#N/A</v>
      </c>
    </row>
    <row r="1266">
      <c r="A1266" s="14" t="s">
        <v>1310</v>
      </c>
      <c r="B1266" s="14">
        <v>193.0</v>
      </c>
      <c r="C1266" s="15">
        <f t="shared" si="4"/>
        <v>13</v>
      </c>
      <c r="D1266" s="14" t="s">
        <v>36</v>
      </c>
      <c r="E1266" s="16">
        <f t="shared" ref="E1266:G1266" si="3795">ROUNDUP((XLOOKUP($D1266,$T$3:$T$10,$U$3:$U$10)*XLOOKUP(E$2,$AA$3:$AA$5,$AB$3:$AB$5)-ABS(XLOOKUP($C1266,$Q$3:$Q$16,$R$3:$R$16)))*$B1266,-5)</f>
        <v>46800000</v>
      </c>
      <c r="F1266" s="16">
        <f t="shared" si="3795"/>
        <v>83100000</v>
      </c>
      <c r="G1266" s="16">
        <f t="shared" si="3795"/>
        <v>90700000</v>
      </c>
      <c r="H1266" s="17">
        <f t="shared" ref="H1266:J1266" si="3796">roundup((XLOOKUP($D1266,$T$3:$T$10,$U$3:$U$10)*XLOOKUP(H$2,$AA$3:$AA$5,$AC$3:$AC$5)-ABS(XLOOKUP($C1266,$Q$3:$Q$16,$R$3:$R$16)))*$B1266,-5)</f>
        <v>38500000</v>
      </c>
      <c r="I1266" s="17">
        <f t="shared" si="3796"/>
        <v>102900000</v>
      </c>
      <c r="J1266" s="17">
        <f t="shared" si="3796"/>
        <v>111700000</v>
      </c>
      <c r="K1266" s="17">
        <f t="shared" ref="K1266:M1266" si="3797">roundup((XLOOKUP($D1266,$T$3:$T$10,$U$3:$U$10)*XLOOKUP(K$2,$AA$3:$AA$5,$AD$3:$AD$5)-ABS(XLOOKUP($C1266,$Q$3:$Q$16,$R$3:$R$16)))*$B1266,-5)</f>
        <v>45700000</v>
      </c>
      <c r="L1266" s="17">
        <f t="shared" si="3797"/>
        <v>116400000</v>
      </c>
      <c r="M1266" s="17">
        <f t="shared" si="3797"/>
        <v>126000000</v>
      </c>
    </row>
    <row r="1267">
      <c r="A1267" s="14" t="s">
        <v>1311</v>
      </c>
      <c r="B1267" s="14">
        <v>77.0</v>
      </c>
      <c r="C1267" s="15">
        <f t="shared" si="4"/>
        <v>10</v>
      </c>
      <c r="D1267" s="14" t="s">
        <v>208</v>
      </c>
      <c r="E1267" s="16">
        <f t="shared" ref="E1267:G1267" si="3798">ROUNDUP((XLOOKUP($D1267,$T$3:$T$10,$U$3:$U$10)*XLOOKUP(E$2,$AA$3:$AA$5,$AB$3:$AB$5)-ABS(XLOOKUP($C1267,$Q$3:$Q$16,$R$3:$R$16)))*$B1267,-5)</f>
        <v>20000000</v>
      </c>
      <c r="F1267" s="16">
        <f t="shared" si="3798"/>
        <v>33400000</v>
      </c>
      <c r="G1267" s="16">
        <f t="shared" si="3798"/>
        <v>36200000</v>
      </c>
      <c r="H1267" s="17">
        <f t="shared" ref="H1267:J1267" si="3799">roundup((XLOOKUP($D1267,$T$3:$T$10,$U$3:$U$10)*XLOOKUP(H$2,$AA$3:$AA$5,$AC$3:$AC$5)-ABS(XLOOKUP($C1267,$Q$3:$Q$16,$R$3:$R$16)))*$B1267,-5)</f>
        <v>17000000</v>
      </c>
      <c r="I1267" s="17">
        <f t="shared" si="3799"/>
        <v>40700000</v>
      </c>
      <c r="J1267" s="17">
        <f t="shared" si="3799"/>
        <v>44000000</v>
      </c>
      <c r="K1267" s="17">
        <f t="shared" ref="K1267:M1267" si="3800">roundup((XLOOKUP($D1267,$T$3:$T$10,$U$3:$U$10)*XLOOKUP(K$2,$AA$3:$AA$5,$AD$3:$AD$5)-ABS(XLOOKUP($C1267,$Q$3:$Q$16,$R$3:$R$16)))*$B1267,-5)</f>
        <v>19600000</v>
      </c>
      <c r="L1267" s="17">
        <f t="shared" si="3800"/>
        <v>45700000</v>
      </c>
      <c r="M1267" s="17">
        <f t="shared" si="3800"/>
        <v>49200000</v>
      </c>
    </row>
    <row r="1268">
      <c r="A1268" s="14" t="s">
        <v>1312</v>
      </c>
      <c r="B1268" s="14">
        <v>222.0</v>
      </c>
      <c r="C1268" s="15">
        <f t="shared" si="4"/>
        <v>14</v>
      </c>
      <c r="D1268" s="14" t="s">
        <v>36</v>
      </c>
      <c r="E1268" s="16">
        <f t="shared" ref="E1268:G1268" si="3801">ROUNDUP((XLOOKUP($D1268,$T$3:$T$10,$U$3:$U$10)*XLOOKUP(E$2,$AA$3:$AA$5,$AB$3:$AB$5)-ABS(XLOOKUP($C1268,$Q$3:$Q$16,$R$3:$R$16)))*$B1268,-5)</f>
        <v>51800000</v>
      </c>
      <c r="F1268" s="16">
        <f t="shared" si="3801"/>
        <v>93600000</v>
      </c>
      <c r="G1268" s="16">
        <f t="shared" si="3801"/>
        <v>102300000</v>
      </c>
      <c r="H1268" s="17">
        <f t="shared" ref="H1268:J1268" si="3802">roundup((XLOOKUP($D1268,$T$3:$T$10,$U$3:$U$10)*XLOOKUP(H$2,$AA$3:$AA$5,$AC$3:$AC$5)-ABS(XLOOKUP($C1268,$Q$3:$Q$16,$R$3:$R$16)))*$B1268,-5)</f>
        <v>42300000</v>
      </c>
      <c r="I1268" s="17">
        <f t="shared" si="3802"/>
        <v>116400000</v>
      </c>
      <c r="J1268" s="17">
        <f t="shared" si="3802"/>
        <v>126500000</v>
      </c>
      <c r="K1268" s="17">
        <f t="shared" ref="K1268:M1268" si="3803">roundup((XLOOKUP($D1268,$T$3:$T$10,$U$3:$U$10)*XLOOKUP(K$2,$AA$3:$AA$5,$AD$3:$AD$5)-ABS(XLOOKUP($C1268,$Q$3:$Q$16,$R$3:$R$16)))*$B1268,-5)</f>
        <v>50500000</v>
      </c>
      <c r="L1268" s="17">
        <f t="shared" si="3803"/>
        <v>131800000</v>
      </c>
      <c r="M1268" s="17">
        <f t="shared" si="3803"/>
        <v>142900000</v>
      </c>
    </row>
    <row r="1269">
      <c r="A1269" s="14" t="s">
        <v>1313</v>
      </c>
      <c r="B1269" s="14">
        <v>146.0</v>
      </c>
      <c r="C1269" s="15">
        <f t="shared" si="4"/>
        <v>11</v>
      </c>
      <c r="D1269" s="14" t="s">
        <v>36</v>
      </c>
      <c r="E1269" s="16">
        <f t="shared" ref="E1269:G1269" si="3804">ROUNDUP((XLOOKUP($D1269,$T$3:$T$10,$U$3:$U$10)*XLOOKUP(E$2,$AA$3:$AA$5,$AB$3:$AB$5)-ABS(XLOOKUP($C1269,$Q$3:$Q$16,$R$3:$R$16)))*$B1269,-5)</f>
        <v>38300000</v>
      </c>
      <c r="F1269" s="16">
        <f t="shared" si="3804"/>
        <v>65800000</v>
      </c>
      <c r="G1269" s="16">
        <f t="shared" si="3804"/>
        <v>71500000</v>
      </c>
      <c r="H1269" s="17">
        <f t="shared" ref="H1269:J1269" si="3805">roundup((XLOOKUP($D1269,$T$3:$T$10,$U$3:$U$10)*XLOOKUP(H$2,$AA$3:$AA$5,$AC$3:$AC$5)-ABS(XLOOKUP($C1269,$Q$3:$Q$16,$R$3:$R$16)))*$B1269,-5)</f>
        <v>32100000</v>
      </c>
      <c r="I1269" s="17">
        <f t="shared" si="3805"/>
        <v>80800000</v>
      </c>
      <c r="J1269" s="17">
        <f t="shared" si="3805"/>
        <v>87400000</v>
      </c>
      <c r="K1269" s="17">
        <f t="shared" ref="K1269:M1269" si="3806">roundup((XLOOKUP($D1269,$T$3:$T$10,$U$3:$U$10)*XLOOKUP(K$2,$AA$3:$AA$5,$AD$3:$AD$5)-ABS(XLOOKUP($C1269,$Q$3:$Q$16,$R$3:$R$16)))*$B1269,-5)</f>
        <v>37500000</v>
      </c>
      <c r="L1269" s="17">
        <f t="shared" si="3806"/>
        <v>91000000</v>
      </c>
      <c r="M1269" s="17">
        <f t="shared" si="3806"/>
        <v>98300000</v>
      </c>
    </row>
    <row r="1270">
      <c r="A1270" s="14" t="s">
        <v>1314</v>
      </c>
      <c r="B1270" s="14">
        <v>159.0</v>
      </c>
      <c r="C1270" s="15">
        <f t="shared" si="4"/>
        <v>11</v>
      </c>
      <c r="D1270" s="14" t="s">
        <v>33</v>
      </c>
      <c r="E1270" s="16">
        <f t="shared" ref="E1270:G1270" si="3807">ROUNDUP((XLOOKUP($D1270,$T$3:$T$10,$U$3:$U$10)*XLOOKUP(E$2,$AA$3:$AA$5,$AB$3:$AB$5)-ABS(XLOOKUP($C1270,$Q$3:$Q$16,$R$3:$R$16)))*$B1270,-5)</f>
        <v>34500000</v>
      </c>
      <c r="F1270" s="16">
        <f t="shared" si="3807"/>
        <v>61200000</v>
      </c>
      <c r="G1270" s="16">
        <f t="shared" si="3807"/>
        <v>66800000</v>
      </c>
      <c r="H1270" s="17">
        <f t="shared" ref="H1270:J1270" si="3808">roundup((XLOOKUP($D1270,$T$3:$T$10,$U$3:$U$10)*XLOOKUP(H$2,$AA$3:$AA$5,$AC$3:$AC$5)-ABS(XLOOKUP($C1270,$Q$3:$Q$16,$R$3:$R$16)))*$B1270,-5)</f>
        <v>28400000</v>
      </c>
      <c r="I1270" s="17">
        <f t="shared" si="3808"/>
        <v>75800000</v>
      </c>
      <c r="J1270" s="17">
        <f t="shared" si="3808"/>
        <v>82200000</v>
      </c>
      <c r="K1270" s="17">
        <f t="shared" ref="K1270:M1270" si="3809">roundup((XLOOKUP($D1270,$T$3:$T$10,$U$3:$U$10)*XLOOKUP(K$2,$AA$3:$AA$5,$AD$3:$AD$5)-ABS(XLOOKUP($C1270,$Q$3:$Q$16,$R$3:$R$16)))*$B1270,-5)</f>
        <v>33700000</v>
      </c>
      <c r="L1270" s="17">
        <f t="shared" si="3809"/>
        <v>85600000</v>
      </c>
      <c r="M1270" s="17">
        <f t="shared" si="3809"/>
        <v>92700000</v>
      </c>
    </row>
    <row r="1271">
      <c r="A1271" s="14" t="s">
        <v>1315</v>
      </c>
      <c r="B1271" s="14">
        <v>77.0</v>
      </c>
      <c r="C1271" s="15">
        <f t="shared" si="4"/>
        <v>10</v>
      </c>
      <c r="D1271" s="14" t="s">
        <v>1309</v>
      </c>
      <c r="E1271" s="16" t="str">
        <f t="shared" ref="E1271:G1271" si="3810">ROUNDUP((XLOOKUP($D1271,$T$3:$T$10,$U$3:$U$10)*XLOOKUP(E$2,$AA$3:$AA$5,$AB$3:$AB$5)-ABS(XLOOKUP($C1271,$Q$3:$Q$16,$R$3:$R$16)))*$B1271,-5)</f>
        <v>#N/A</v>
      </c>
      <c r="F1271" s="16" t="str">
        <f t="shared" si="3810"/>
        <v>#N/A</v>
      </c>
      <c r="G1271" s="16" t="str">
        <f t="shared" si="3810"/>
        <v>#N/A</v>
      </c>
      <c r="H1271" s="17" t="str">
        <f t="shared" ref="H1271:J1271" si="3811">roundup((XLOOKUP($D1271,$T$3:$T$10,$U$3:$U$10)*XLOOKUP(H$2,$AA$3:$AA$5,$AC$3:$AC$5)-ABS(XLOOKUP($C1271,$Q$3:$Q$16,$R$3:$R$16)))*$B1271,-5)</f>
        <v>#N/A</v>
      </c>
      <c r="I1271" s="17" t="str">
        <f t="shared" si="3811"/>
        <v>#N/A</v>
      </c>
      <c r="J1271" s="17" t="str">
        <f t="shared" si="3811"/>
        <v>#N/A</v>
      </c>
      <c r="K1271" s="17" t="str">
        <f t="shared" ref="K1271:M1271" si="3812">roundup((XLOOKUP($D1271,$T$3:$T$10,$U$3:$U$10)*XLOOKUP(K$2,$AA$3:$AA$5,$AD$3:$AD$5)-ABS(XLOOKUP($C1271,$Q$3:$Q$16,$R$3:$R$16)))*$B1271,-5)</f>
        <v>#N/A</v>
      </c>
      <c r="L1271" s="17" t="str">
        <f t="shared" si="3812"/>
        <v>#N/A</v>
      </c>
      <c r="M1271" s="17" t="str">
        <f t="shared" si="3812"/>
        <v>#N/A</v>
      </c>
    </row>
    <row r="1272">
      <c r="A1272" s="14" t="s">
        <v>1316</v>
      </c>
      <c r="B1272" s="14">
        <v>75.0</v>
      </c>
      <c r="C1272" s="15">
        <f t="shared" si="4"/>
        <v>9</v>
      </c>
      <c r="D1272" s="14" t="s">
        <v>1309</v>
      </c>
      <c r="E1272" s="16" t="str">
        <f t="shared" ref="E1272:G1272" si="3813">ROUNDUP((XLOOKUP($D1272,$T$3:$T$10,$U$3:$U$10)*XLOOKUP(E$2,$AA$3:$AA$5,$AB$3:$AB$5)-ABS(XLOOKUP($C1272,$Q$3:$Q$16,$R$3:$R$16)))*$B1272,-5)</f>
        <v>#N/A</v>
      </c>
      <c r="F1272" s="16" t="str">
        <f t="shared" si="3813"/>
        <v>#N/A</v>
      </c>
      <c r="G1272" s="16" t="str">
        <f t="shared" si="3813"/>
        <v>#N/A</v>
      </c>
      <c r="H1272" s="17" t="str">
        <f t="shared" ref="H1272:J1272" si="3814">roundup((XLOOKUP($D1272,$T$3:$T$10,$U$3:$U$10)*XLOOKUP(H$2,$AA$3:$AA$5,$AC$3:$AC$5)-ABS(XLOOKUP($C1272,$Q$3:$Q$16,$R$3:$R$16)))*$B1272,-5)</f>
        <v>#N/A</v>
      </c>
      <c r="I1272" s="17" t="str">
        <f t="shared" si="3814"/>
        <v>#N/A</v>
      </c>
      <c r="J1272" s="17" t="str">
        <f t="shared" si="3814"/>
        <v>#N/A</v>
      </c>
      <c r="K1272" s="17" t="str">
        <f t="shared" ref="K1272:M1272" si="3815">roundup((XLOOKUP($D1272,$T$3:$T$10,$U$3:$U$10)*XLOOKUP(K$2,$AA$3:$AA$5,$AD$3:$AD$5)-ABS(XLOOKUP($C1272,$Q$3:$Q$16,$R$3:$R$16)))*$B1272,-5)</f>
        <v>#N/A</v>
      </c>
      <c r="L1272" s="17" t="str">
        <f t="shared" si="3815"/>
        <v>#N/A</v>
      </c>
      <c r="M1272" s="17" t="str">
        <f t="shared" si="3815"/>
        <v>#N/A</v>
      </c>
    </row>
    <row r="1273">
      <c r="A1273" s="14" t="s">
        <v>1317</v>
      </c>
      <c r="B1273" s="14">
        <v>100.0</v>
      </c>
      <c r="C1273" s="15">
        <f t="shared" si="4"/>
        <v>11</v>
      </c>
      <c r="D1273" s="14" t="s">
        <v>36</v>
      </c>
      <c r="E1273" s="16">
        <f t="shared" ref="E1273:G1273" si="3816">ROUNDUP((XLOOKUP($D1273,$T$3:$T$10,$U$3:$U$10)*XLOOKUP(E$2,$AA$3:$AA$5,$AB$3:$AB$5)-ABS(XLOOKUP($C1273,$Q$3:$Q$16,$R$3:$R$16)))*$B1273,-5)</f>
        <v>26300000</v>
      </c>
      <c r="F1273" s="16">
        <f t="shared" si="3816"/>
        <v>45100000</v>
      </c>
      <c r="G1273" s="16">
        <f t="shared" si="3816"/>
        <v>49000000</v>
      </c>
      <c r="H1273" s="17">
        <f t="shared" ref="H1273:J1273" si="3817">roundup((XLOOKUP($D1273,$T$3:$T$10,$U$3:$U$10)*XLOOKUP(H$2,$AA$3:$AA$5,$AC$3:$AC$5)-ABS(XLOOKUP($C1273,$Q$3:$Q$16,$R$3:$R$16)))*$B1273,-5)</f>
        <v>22000000</v>
      </c>
      <c r="I1273" s="17">
        <f t="shared" si="3817"/>
        <v>55400000</v>
      </c>
      <c r="J1273" s="17">
        <f t="shared" si="3817"/>
        <v>59900000</v>
      </c>
      <c r="K1273" s="17">
        <f t="shared" ref="K1273:M1273" si="3818">roundup((XLOOKUP($D1273,$T$3:$T$10,$U$3:$U$10)*XLOOKUP(K$2,$AA$3:$AA$5,$AD$3:$AD$5)-ABS(XLOOKUP($C1273,$Q$3:$Q$16,$R$3:$R$16)))*$B1273,-5)</f>
        <v>25700000</v>
      </c>
      <c r="L1273" s="17">
        <f t="shared" si="3818"/>
        <v>62300000</v>
      </c>
      <c r="M1273" s="17">
        <f t="shared" si="3818"/>
        <v>67300000</v>
      </c>
    </row>
    <row r="1274">
      <c r="A1274" s="14" t="s">
        <v>1318</v>
      </c>
      <c r="B1274" s="14">
        <v>75.0</v>
      </c>
      <c r="C1274" s="15">
        <f t="shared" si="4"/>
        <v>9</v>
      </c>
      <c r="D1274" s="14" t="s">
        <v>208</v>
      </c>
      <c r="E1274" s="16">
        <f t="shared" ref="E1274:G1274" si="3819">ROUNDUP((XLOOKUP($D1274,$T$3:$T$10,$U$3:$U$10)*XLOOKUP(E$2,$AA$3:$AA$5,$AB$3:$AB$5)-ABS(XLOOKUP($C1274,$Q$3:$Q$16,$R$3:$R$16)))*$B1274,-5)</f>
        <v>24100000</v>
      </c>
      <c r="F1274" s="16">
        <f t="shared" si="3819"/>
        <v>37100000</v>
      </c>
      <c r="G1274" s="16">
        <f t="shared" si="3819"/>
        <v>39800000</v>
      </c>
      <c r="H1274" s="17">
        <f t="shared" ref="H1274:J1274" si="3820">roundup((XLOOKUP($D1274,$T$3:$T$10,$U$3:$U$10)*XLOOKUP(H$2,$AA$3:$AA$5,$AC$3:$AC$5)-ABS(XLOOKUP($C1274,$Q$3:$Q$16,$R$3:$R$16)))*$B1274,-5)</f>
        <v>21100000</v>
      </c>
      <c r="I1274" s="17">
        <f t="shared" si="3820"/>
        <v>44200000</v>
      </c>
      <c r="J1274" s="17">
        <f t="shared" si="3820"/>
        <v>47400000</v>
      </c>
      <c r="K1274" s="17">
        <f t="shared" ref="K1274:M1274" si="3821">roundup((XLOOKUP($D1274,$T$3:$T$10,$U$3:$U$10)*XLOOKUP(K$2,$AA$3:$AA$5,$AD$3:$AD$5)-ABS(XLOOKUP($C1274,$Q$3:$Q$16,$R$3:$R$16)))*$B1274,-5)</f>
        <v>23700000</v>
      </c>
      <c r="L1274" s="17">
        <f t="shared" si="3821"/>
        <v>49100000</v>
      </c>
      <c r="M1274" s="17">
        <f t="shared" si="3821"/>
        <v>52500000</v>
      </c>
    </row>
    <row r="1275">
      <c r="A1275" s="14" t="s">
        <v>1319</v>
      </c>
      <c r="B1275" s="14">
        <v>144.0</v>
      </c>
      <c r="C1275" s="15">
        <f t="shared" si="4"/>
        <v>11</v>
      </c>
      <c r="D1275" s="14" t="s">
        <v>36</v>
      </c>
      <c r="E1275" s="16">
        <f t="shared" ref="E1275:G1275" si="3822">ROUNDUP((XLOOKUP($D1275,$T$3:$T$10,$U$3:$U$10)*XLOOKUP(E$2,$AA$3:$AA$5,$AB$3:$AB$5)-ABS(XLOOKUP($C1275,$Q$3:$Q$16,$R$3:$R$16)))*$B1275,-5)</f>
        <v>37800000</v>
      </c>
      <c r="F1275" s="16">
        <f t="shared" si="3822"/>
        <v>64900000</v>
      </c>
      <c r="G1275" s="16">
        <f t="shared" si="3822"/>
        <v>70500000</v>
      </c>
      <c r="H1275" s="17">
        <f t="shared" ref="H1275:J1275" si="3823">roundup((XLOOKUP($D1275,$T$3:$T$10,$U$3:$U$10)*XLOOKUP(H$2,$AA$3:$AA$5,$AC$3:$AC$5)-ABS(XLOOKUP($C1275,$Q$3:$Q$16,$R$3:$R$16)))*$B1275,-5)</f>
        <v>31600000</v>
      </c>
      <c r="I1275" s="17">
        <f t="shared" si="3823"/>
        <v>79700000</v>
      </c>
      <c r="J1275" s="17">
        <f t="shared" si="3823"/>
        <v>86300000</v>
      </c>
      <c r="K1275" s="17">
        <f t="shared" ref="K1275:M1275" si="3824">roundup((XLOOKUP($D1275,$T$3:$T$10,$U$3:$U$10)*XLOOKUP(K$2,$AA$3:$AA$5,$AD$3:$AD$5)-ABS(XLOOKUP($C1275,$Q$3:$Q$16,$R$3:$R$16)))*$B1275,-5)</f>
        <v>37000000</v>
      </c>
      <c r="L1275" s="17">
        <f t="shared" si="3824"/>
        <v>89700000</v>
      </c>
      <c r="M1275" s="17">
        <f t="shared" si="3824"/>
        <v>96900000</v>
      </c>
    </row>
    <row r="1276">
      <c r="A1276" s="14" t="s">
        <v>1320</v>
      </c>
      <c r="B1276" s="14">
        <v>75.0</v>
      </c>
      <c r="C1276" s="15">
        <f t="shared" si="4"/>
        <v>9</v>
      </c>
      <c r="D1276" s="14" t="s">
        <v>208</v>
      </c>
      <c r="E1276" s="16">
        <f t="shared" ref="E1276:G1276" si="3825">ROUNDUP((XLOOKUP($D1276,$T$3:$T$10,$U$3:$U$10)*XLOOKUP(E$2,$AA$3:$AA$5,$AB$3:$AB$5)-ABS(XLOOKUP($C1276,$Q$3:$Q$16,$R$3:$R$16)))*$B1276,-5)</f>
        <v>24100000</v>
      </c>
      <c r="F1276" s="16">
        <f t="shared" si="3825"/>
        <v>37100000</v>
      </c>
      <c r="G1276" s="16">
        <f t="shared" si="3825"/>
        <v>39800000</v>
      </c>
      <c r="H1276" s="17">
        <f t="shared" ref="H1276:J1276" si="3826">roundup((XLOOKUP($D1276,$T$3:$T$10,$U$3:$U$10)*XLOOKUP(H$2,$AA$3:$AA$5,$AC$3:$AC$5)-ABS(XLOOKUP($C1276,$Q$3:$Q$16,$R$3:$R$16)))*$B1276,-5)</f>
        <v>21100000</v>
      </c>
      <c r="I1276" s="17">
        <f t="shared" si="3826"/>
        <v>44200000</v>
      </c>
      <c r="J1276" s="17">
        <f t="shared" si="3826"/>
        <v>47400000</v>
      </c>
      <c r="K1276" s="17">
        <f t="shared" ref="K1276:M1276" si="3827">roundup((XLOOKUP($D1276,$T$3:$T$10,$U$3:$U$10)*XLOOKUP(K$2,$AA$3:$AA$5,$AD$3:$AD$5)-ABS(XLOOKUP($C1276,$Q$3:$Q$16,$R$3:$R$16)))*$B1276,-5)</f>
        <v>23700000</v>
      </c>
      <c r="L1276" s="17">
        <f t="shared" si="3827"/>
        <v>49100000</v>
      </c>
      <c r="M1276" s="17">
        <f t="shared" si="3827"/>
        <v>52500000</v>
      </c>
    </row>
    <row r="1277">
      <c r="A1277" s="14" t="s">
        <v>1321</v>
      </c>
      <c r="B1277" s="14">
        <v>143.0</v>
      </c>
      <c r="C1277" s="15">
        <f t="shared" si="4"/>
        <v>11</v>
      </c>
      <c r="D1277" s="14" t="s">
        <v>33</v>
      </c>
      <c r="E1277" s="16">
        <f t="shared" ref="E1277:G1277" si="3828">ROUNDUP((XLOOKUP($D1277,$T$3:$T$10,$U$3:$U$10)*XLOOKUP(E$2,$AA$3:$AA$5,$AB$3:$AB$5)-ABS(XLOOKUP($C1277,$Q$3:$Q$16,$R$3:$R$16)))*$B1277,-5)</f>
        <v>31000000</v>
      </c>
      <c r="F1277" s="16">
        <f t="shared" si="3828"/>
        <v>55100000</v>
      </c>
      <c r="G1277" s="16">
        <f t="shared" si="3828"/>
        <v>60000000</v>
      </c>
      <c r="H1277" s="17">
        <f t="shared" ref="H1277:J1277" si="3829">roundup((XLOOKUP($D1277,$T$3:$T$10,$U$3:$U$10)*XLOOKUP(H$2,$AA$3:$AA$5,$AC$3:$AC$5)-ABS(XLOOKUP($C1277,$Q$3:$Q$16,$R$3:$R$16)))*$B1277,-5)</f>
        <v>25600000</v>
      </c>
      <c r="I1277" s="17">
        <f t="shared" si="3829"/>
        <v>68200000</v>
      </c>
      <c r="J1277" s="17">
        <f t="shared" si="3829"/>
        <v>74000000</v>
      </c>
      <c r="K1277" s="17">
        <f t="shared" ref="K1277:M1277" si="3830">roundup((XLOOKUP($D1277,$T$3:$T$10,$U$3:$U$10)*XLOOKUP(K$2,$AA$3:$AA$5,$AD$3:$AD$5)-ABS(XLOOKUP($C1277,$Q$3:$Q$16,$R$3:$R$16)))*$B1277,-5)</f>
        <v>30300000</v>
      </c>
      <c r="L1277" s="17">
        <f t="shared" si="3830"/>
        <v>77000000</v>
      </c>
      <c r="M1277" s="17">
        <f t="shared" si="3830"/>
        <v>83400000</v>
      </c>
    </row>
    <row r="1278">
      <c r="A1278" s="14" t="s">
        <v>1322</v>
      </c>
      <c r="B1278" s="14">
        <v>384.0</v>
      </c>
      <c r="C1278" s="15">
        <f t="shared" si="4"/>
        <v>14</v>
      </c>
      <c r="D1278" s="14" t="s">
        <v>36</v>
      </c>
      <c r="E1278" s="16">
        <f t="shared" ref="E1278:G1278" si="3831">ROUNDUP((XLOOKUP($D1278,$T$3:$T$10,$U$3:$U$10)*XLOOKUP(E$2,$AA$3:$AA$5,$AB$3:$AB$5)-ABS(XLOOKUP($C1278,$Q$3:$Q$16,$R$3:$R$16)))*$B1278,-5)</f>
        <v>89600000</v>
      </c>
      <c r="F1278" s="16">
        <f t="shared" si="3831"/>
        <v>161900000</v>
      </c>
      <c r="G1278" s="16">
        <f t="shared" si="3831"/>
        <v>176900000</v>
      </c>
      <c r="H1278" s="17">
        <f t="shared" ref="H1278:J1278" si="3832">roundup((XLOOKUP($D1278,$T$3:$T$10,$U$3:$U$10)*XLOOKUP(H$2,$AA$3:$AA$5,$AC$3:$AC$5)-ABS(XLOOKUP($C1278,$Q$3:$Q$16,$R$3:$R$16)))*$B1278,-5)</f>
        <v>73100000</v>
      </c>
      <c r="I1278" s="17">
        <f t="shared" si="3832"/>
        <v>201300000</v>
      </c>
      <c r="J1278" s="17">
        <f t="shared" si="3832"/>
        <v>218800000</v>
      </c>
      <c r="K1278" s="17">
        <f t="shared" ref="K1278:M1278" si="3833">roundup((XLOOKUP($D1278,$T$3:$T$10,$U$3:$U$10)*XLOOKUP(K$2,$AA$3:$AA$5,$AD$3:$AD$5)-ABS(XLOOKUP($C1278,$Q$3:$Q$16,$R$3:$R$16)))*$B1278,-5)</f>
        <v>87300000</v>
      </c>
      <c r="L1278" s="17">
        <f t="shared" si="3833"/>
        <v>228000000</v>
      </c>
      <c r="M1278" s="17">
        <f t="shared" si="3833"/>
        <v>247200000</v>
      </c>
    </row>
    <row r="1279">
      <c r="A1279" s="14" t="s">
        <v>1323</v>
      </c>
      <c r="B1279" s="14">
        <v>75.0</v>
      </c>
      <c r="C1279" s="15">
        <f t="shared" si="4"/>
        <v>9</v>
      </c>
      <c r="D1279" s="14" t="s">
        <v>208</v>
      </c>
      <c r="E1279" s="16">
        <f t="shared" ref="E1279:G1279" si="3834">ROUNDUP((XLOOKUP($D1279,$T$3:$T$10,$U$3:$U$10)*XLOOKUP(E$2,$AA$3:$AA$5,$AB$3:$AB$5)-ABS(XLOOKUP($C1279,$Q$3:$Q$16,$R$3:$R$16)))*$B1279,-5)</f>
        <v>24100000</v>
      </c>
      <c r="F1279" s="16">
        <f t="shared" si="3834"/>
        <v>37100000</v>
      </c>
      <c r="G1279" s="16">
        <f t="shared" si="3834"/>
        <v>39800000</v>
      </c>
      <c r="H1279" s="17">
        <f t="shared" ref="H1279:J1279" si="3835">roundup((XLOOKUP($D1279,$T$3:$T$10,$U$3:$U$10)*XLOOKUP(H$2,$AA$3:$AA$5,$AC$3:$AC$5)-ABS(XLOOKUP($C1279,$Q$3:$Q$16,$R$3:$R$16)))*$B1279,-5)</f>
        <v>21100000</v>
      </c>
      <c r="I1279" s="17">
        <f t="shared" si="3835"/>
        <v>44200000</v>
      </c>
      <c r="J1279" s="17">
        <f t="shared" si="3835"/>
        <v>47400000</v>
      </c>
      <c r="K1279" s="17">
        <f t="shared" ref="K1279:M1279" si="3836">roundup((XLOOKUP($D1279,$T$3:$T$10,$U$3:$U$10)*XLOOKUP(K$2,$AA$3:$AA$5,$AD$3:$AD$5)-ABS(XLOOKUP($C1279,$Q$3:$Q$16,$R$3:$R$16)))*$B1279,-5)</f>
        <v>23700000</v>
      </c>
      <c r="L1279" s="17">
        <f t="shared" si="3836"/>
        <v>49100000</v>
      </c>
      <c r="M1279" s="17">
        <f t="shared" si="3836"/>
        <v>52500000</v>
      </c>
    </row>
    <row r="1280">
      <c r="A1280" s="14" t="s">
        <v>1324</v>
      </c>
      <c r="B1280" s="14">
        <v>114.0</v>
      </c>
      <c r="C1280" s="15">
        <f t="shared" si="4"/>
        <v>11</v>
      </c>
      <c r="D1280" s="14" t="s">
        <v>33</v>
      </c>
      <c r="E1280" s="16">
        <f t="shared" ref="E1280:G1280" si="3837">ROUNDUP((XLOOKUP($D1280,$T$3:$T$10,$U$3:$U$10)*XLOOKUP(E$2,$AA$3:$AA$5,$AB$3:$AB$5)-ABS(XLOOKUP($C1280,$Q$3:$Q$16,$R$3:$R$16)))*$B1280,-5)</f>
        <v>24800000</v>
      </c>
      <c r="F1280" s="16">
        <f t="shared" si="3837"/>
        <v>43900000</v>
      </c>
      <c r="G1280" s="16">
        <f t="shared" si="3837"/>
        <v>47900000</v>
      </c>
      <c r="H1280" s="17">
        <f t="shared" ref="H1280:J1280" si="3838">roundup((XLOOKUP($D1280,$T$3:$T$10,$U$3:$U$10)*XLOOKUP(H$2,$AA$3:$AA$5,$AC$3:$AC$5)-ABS(XLOOKUP($C1280,$Q$3:$Q$16,$R$3:$R$16)))*$B1280,-5)</f>
        <v>20400000</v>
      </c>
      <c r="I1280" s="17">
        <f t="shared" si="3838"/>
        <v>54300000</v>
      </c>
      <c r="J1280" s="17">
        <f t="shared" si="3838"/>
        <v>59000000</v>
      </c>
      <c r="K1280" s="17">
        <f t="shared" ref="K1280:M1280" si="3839">roundup((XLOOKUP($D1280,$T$3:$T$10,$U$3:$U$10)*XLOOKUP(K$2,$AA$3:$AA$5,$AD$3:$AD$5)-ABS(XLOOKUP($C1280,$Q$3:$Q$16,$R$3:$R$16)))*$B1280,-5)</f>
        <v>24200000</v>
      </c>
      <c r="L1280" s="17">
        <f t="shared" si="3839"/>
        <v>61400000</v>
      </c>
      <c r="M1280" s="17">
        <f t="shared" si="3839"/>
        <v>66500000</v>
      </c>
    </row>
    <row r="1281">
      <c r="A1281" s="14" t="s">
        <v>1325</v>
      </c>
      <c r="B1281" s="14">
        <v>75.0</v>
      </c>
      <c r="C1281" s="15">
        <f t="shared" si="4"/>
        <v>9</v>
      </c>
      <c r="D1281" s="14" t="s">
        <v>208</v>
      </c>
      <c r="E1281" s="16">
        <f t="shared" ref="E1281:G1281" si="3840">ROUNDUP((XLOOKUP($D1281,$T$3:$T$10,$U$3:$U$10)*XLOOKUP(E$2,$AA$3:$AA$5,$AB$3:$AB$5)-ABS(XLOOKUP($C1281,$Q$3:$Q$16,$R$3:$R$16)))*$B1281,-5)</f>
        <v>24100000</v>
      </c>
      <c r="F1281" s="16">
        <f t="shared" si="3840"/>
        <v>37100000</v>
      </c>
      <c r="G1281" s="16">
        <f t="shared" si="3840"/>
        <v>39800000</v>
      </c>
      <c r="H1281" s="17">
        <f t="shared" ref="H1281:J1281" si="3841">roundup((XLOOKUP($D1281,$T$3:$T$10,$U$3:$U$10)*XLOOKUP(H$2,$AA$3:$AA$5,$AC$3:$AC$5)-ABS(XLOOKUP($C1281,$Q$3:$Q$16,$R$3:$R$16)))*$B1281,-5)</f>
        <v>21100000</v>
      </c>
      <c r="I1281" s="17">
        <f t="shared" si="3841"/>
        <v>44200000</v>
      </c>
      <c r="J1281" s="17">
        <f t="shared" si="3841"/>
        <v>47400000</v>
      </c>
      <c r="K1281" s="17">
        <f t="shared" ref="K1281:M1281" si="3842">roundup((XLOOKUP($D1281,$T$3:$T$10,$U$3:$U$10)*XLOOKUP(K$2,$AA$3:$AA$5,$AD$3:$AD$5)-ABS(XLOOKUP($C1281,$Q$3:$Q$16,$R$3:$R$16)))*$B1281,-5)</f>
        <v>23700000</v>
      </c>
      <c r="L1281" s="17">
        <f t="shared" si="3842"/>
        <v>49100000</v>
      </c>
      <c r="M1281" s="17">
        <f t="shared" si="3842"/>
        <v>52500000</v>
      </c>
    </row>
    <row r="1282">
      <c r="A1282" s="14" t="s">
        <v>1326</v>
      </c>
      <c r="B1282" s="14">
        <v>224.0</v>
      </c>
      <c r="C1282" s="15">
        <f t="shared" si="4"/>
        <v>14</v>
      </c>
      <c r="D1282" s="14" t="s">
        <v>33</v>
      </c>
      <c r="E1282" s="16">
        <f t="shared" ref="E1282:G1282" si="3843">ROUNDUP((XLOOKUP($D1282,$T$3:$T$10,$U$3:$U$10)*XLOOKUP(E$2,$AA$3:$AA$5,$AB$3:$AB$5)-ABS(XLOOKUP($C1282,$Q$3:$Q$16,$R$3:$R$16)))*$B1282,-5)</f>
        <v>42100000</v>
      </c>
      <c r="F1282" s="16">
        <f t="shared" si="3843"/>
        <v>79700000</v>
      </c>
      <c r="G1282" s="16">
        <f t="shared" si="3843"/>
        <v>87500000</v>
      </c>
      <c r="H1282" s="17">
        <f t="shared" ref="H1282:J1282" si="3844">roundup((XLOOKUP($D1282,$T$3:$T$10,$U$3:$U$10)*XLOOKUP(H$2,$AA$3:$AA$5,$AC$3:$AC$5)-ABS(XLOOKUP($C1282,$Q$3:$Q$16,$R$3:$R$16)))*$B1282,-5)</f>
        <v>33500000</v>
      </c>
      <c r="I1282" s="17">
        <f t="shared" si="3844"/>
        <v>100200000</v>
      </c>
      <c r="J1282" s="17">
        <f t="shared" si="3844"/>
        <v>109300000</v>
      </c>
      <c r="K1282" s="17">
        <f t="shared" ref="K1282:M1282" si="3845">roundup((XLOOKUP($D1282,$T$3:$T$10,$U$3:$U$10)*XLOOKUP(K$2,$AA$3:$AA$5,$AD$3:$AD$5)-ABS(XLOOKUP($C1282,$Q$3:$Q$16,$R$3:$R$16)))*$B1282,-5)</f>
        <v>40900000</v>
      </c>
      <c r="L1282" s="17">
        <f t="shared" si="3845"/>
        <v>114100000</v>
      </c>
      <c r="M1282" s="17">
        <f t="shared" si="3845"/>
        <v>124100000</v>
      </c>
    </row>
    <row r="1283">
      <c r="A1283" s="14" t="s">
        <v>1327</v>
      </c>
      <c r="B1283" s="14">
        <v>162.0</v>
      </c>
      <c r="C1283" s="15">
        <f t="shared" si="4"/>
        <v>12</v>
      </c>
      <c r="D1283" s="14" t="s">
        <v>33</v>
      </c>
      <c r="E1283" s="16">
        <f t="shared" ref="E1283:G1283" si="3846">ROUNDUP((XLOOKUP($D1283,$T$3:$T$10,$U$3:$U$10)*XLOOKUP(E$2,$AA$3:$AA$5,$AB$3:$AB$5)-ABS(XLOOKUP($C1283,$Q$3:$Q$16,$R$3:$R$16)))*$B1283,-5)</f>
        <v>34300000</v>
      </c>
      <c r="F1283" s="16">
        <f t="shared" si="3846"/>
        <v>61600000</v>
      </c>
      <c r="G1283" s="16">
        <f t="shared" si="3846"/>
        <v>67200000</v>
      </c>
      <c r="H1283" s="17">
        <f t="shared" ref="H1283:J1283" si="3847">roundup((XLOOKUP($D1283,$T$3:$T$10,$U$3:$U$10)*XLOOKUP(H$2,$AA$3:$AA$5,$AC$3:$AC$5)-ABS(XLOOKUP($C1283,$Q$3:$Q$16,$R$3:$R$16)))*$B1283,-5)</f>
        <v>28100000</v>
      </c>
      <c r="I1283" s="17">
        <f t="shared" si="3847"/>
        <v>76400000</v>
      </c>
      <c r="J1283" s="17">
        <f t="shared" si="3847"/>
        <v>83000000</v>
      </c>
      <c r="K1283" s="17">
        <f t="shared" ref="K1283:M1283" si="3848">roundup((XLOOKUP($D1283,$T$3:$T$10,$U$3:$U$10)*XLOOKUP(K$2,$AA$3:$AA$5,$AD$3:$AD$5)-ABS(XLOOKUP($C1283,$Q$3:$Q$16,$R$3:$R$16)))*$B1283,-5)</f>
        <v>33500000</v>
      </c>
      <c r="L1283" s="17">
        <f t="shared" si="3848"/>
        <v>86400000</v>
      </c>
      <c r="M1283" s="17">
        <f t="shared" si="3848"/>
        <v>93700000</v>
      </c>
    </row>
    <row r="1284">
      <c r="A1284" s="14" t="s">
        <v>1328</v>
      </c>
      <c r="B1284" s="14">
        <v>131.0</v>
      </c>
      <c r="C1284" s="15">
        <f t="shared" si="4"/>
        <v>11</v>
      </c>
      <c r="D1284" s="14" t="s">
        <v>33</v>
      </c>
      <c r="E1284" s="16">
        <f t="shared" ref="E1284:G1284" si="3849">ROUNDUP((XLOOKUP($D1284,$T$3:$T$10,$U$3:$U$10)*XLOOKUP(E$2,$AA$3:$AA$5,$AB$3:$AB$5)-ABS(XLOOKUP($C1284,$Q$3:$Q$16,$R$3:$R$16)))*$B1284,-5)</f>
        <v>28400000</v>
      </c>
      <c r="F1284" s="16">
        <f t="shared" si="3849"/>
        <v>50400000</v>
      </c>
      <c r="G1284" s="16">
        <f t="shared" si="3849"/>
        <v>55000000</v>
      </c>
      <c r="H1284" s="17">
        <f t="shared" ref="H1284:J1284" si="3850">roundup((XLOOKUP($D1284,$T$3:$T$10,$U$3:$U$10)*XLOOKUP(H$2,$AA$3:$AA$5,$AC$3:$AC$5)-ABS(XLOOKUP($C1284,$Q$3:$Q$16,$R$3:$R$16)))*$B1284,-5)</f>
        <v>23400000</v>
      </c>
      <c r="I1284" s="17">
        <f t="shared" si="3850"/>
        <v>62400000</v>
      </c>
      <c r="J1284" s="17">
        <f t="shared" si="3850"/>
        <v>67800000</v>
      </c>
      <c r="K1284" s="17">
        <f t="shared" ref="K1284:M1284" si="3851">roundup((XLOOKUP($D1284,$T$3:$T$10,$U$3:$U$10)*XLOOKUP(K$2,$AA$3:$AA$5,$AD$3:$AD$5)-ABS(XLOOKUP($C1284,$Q$3:$Q$16,$R$3:$R$16)))*$B1284,-5)</f>
        <v>27800000</v>
      </c>
      <c r="L1284" s="17">
        <f t="shared" si="3851"/>
        <v>70600000</v>
      </c>
      <c r="M1284" s="17">
        <f t="shared" si="3851"/>
        <v>76400000</v>
      </c>
    </row>
    <row r="1285">
      <c r="A1285" s="14" t="s">
        <v>1329</v>
      </c>
      <c r="B1285" s="14">
        <v>253.0</v>
      </c>
      <c r="C1285" s="15">
        <f t="shared" si="4"/>
        <v>14</v>
      </c>
      <c r="D1285" s="14" t="s">
        <v>36</v>
      </c>
      <c r="E1285" s="16">
        <f t="shared" ref="E1285:G1285" si="3852">ROUNDUP((XLOOKUP($D1285,$T$3:$T$10,$U$3:$U$10)*XLOOKUP(E$2,$AA$3:$AA$5,$AB$3:$AB$5)-ABS(XLOOKUP($C1285,$Q$3:$Q$16,$R$3:$R$16)))*$B1285,-5)</f>
        <v>59000000</v>
      </c>
      <c r="F1285" s="16">
        <f t="shared" si="3852"/>
        <v>106700000</v>
      </c>
      <c r="G1285" s="16">
        <f t="shared" si="3852"/>
        <v>116600000</v>
      </c>
      <c r="H1285" s="17">
        <f t="shared" ref="H1285:J1285" si="3853">roundup((XLOOKUP($D1285,$T$3:$T$10,$U$3:$U$10)*XLOOKUP(H$2,$AA$3:$AA$5,$AC$3:$AC$5)-ABS(XLOOKUP($C1285,$Q$3:$Q$16,$R$3:$R$16)))*$B1285,-5)</f>
        <v>48200000</v>
      </c>
      <c r="I1285" s="17">
        <f t="shared" si="3853"/>
        <v>132700000</v>
      </c>
      <c r="J1285" s="17">
        <f t="shared" si="3853"/>
        <v>144200000</v>
      </c>
      <c r="K1285" s="17">
        <f t="shared" ref="K1285:M1285" si="3854">roundup((XLOOKUP($D1285,$T$3:$T$10,$U$3:$U$10)*XLOOKUP(K$2,$AA$3:$AA$5,$AD$3:$AD$5)-ABS(XLOOKUP($C1285,$Q$3:$Q$16,$R$3:$R$16)))*$B1285,-5)</f>
        <v>57600000</v>
      </c>
      <c r="L1285" s="17">
        <f t="shared" si="3854"/>
        <v>150200000</v>
      </c>
      <c r="M1285" s="17">
        <f t="shared" si="3854"/>
        <v>162900000</v>
      </c>
    </row>
    <row r="1286">
      <c r="A1286" s="14" t="s">
        <v>1330</v>
      </c>
      <c r="B1286" s="14">
        <v>199.0</v>
      </c>
      <c r="C1286" s="15">
        <f t="shared" si="4"/>
        <v>13</v>
      </c>
      <c r="D1286" s="14" t="s">
        <v>33</v>
      </c>
      <c r="E1286" s="16">
        <f t="shared" ref="E1286:G1286" si="3855">ROUNDUP((XLOOKUP($D1286,$T$3:$T$10,$U$3:$U$10)*XLOOKUP(E$2,$AA$3:$AA$5,$AB$3:$AB$5)-ABS(XLOOKUP($C1286,$Q$3:$Q$16,$R$3:$R$16)))*$B1286,-5)</f>
        <v>39200000</v>
      </c>
      <c r="F1286" s="16">
        <f t="shared" si="3855"/>
        <v>72600000</v>
      </c>
      <c r="G1286" s="16">
        <f t="shared" si="3855"/>
        <v>79600000</v>
      </c>
      <c r="H1286" s="17">
        <f t="shared" ref="H1286:J1286" si="3856">roundup((XLOOKUP($D1286,$T$3:$T$10,$U$3:$U$10)*XLOOKUP(H$2,$AA$3:$AA$5,$AC$3:$AC$5)-ABS(XLOOKUP($C1286,$Q$3:$Q$16,$R$3:$R$16)))*$B1286,-5)</f>
        <v>31600000</v>
      </c>
      <c r="I1286" s="17">
        <f t="shared" si="3856"/>
        <v>90900000</v>
      </c>
      <c r="J1286" s="17">
        <f t="shared" si="3856"/>
        <v>98900000</v>
      </c>
      <c r="K1286" s="17">
        <f t="shared" ref="K1286:M1286" si="3857">roundup((XLOOKUP($D1286,$T$3:$T$10,$U$3:$U$10)*XLOOKUP(K$2,$AA$3:$AA$5,$AD$3:$AD$5)-ABS(XLOOKUP($C1286,$Q$3:$Q$16,$R$3:$R$16)))*$B1286,-5)</f>
        <v>38200000</v>
      </c>
      <c r="L1286" s="17">
        <f t="shared" si="3857"/>
        <v>103200000</v>
      </c>
      <c r="M1286" s="17">
        <f t="shared" si="3857"/>
        <v>112100000</v>
      </c>
    </row>
    <row r="1287">
      <c r="A1287" s="14" t="s">
        <v>1331</v>
      </c>
      <c r="B1287" s="14">
        <v>75.0</v>
      </c>
      <c r="C1287" s="15">
        <f t="shared" si="4"/>
        <v>9</v>
      </c>
      <c r="D1287" s="14" t="s">
        <v>208</v>
      </c>
      <c r="E1287" s="16">
        <f t="shared" ref="E1287:G1287" si="3858">ROUNDUP((XLOOKUP($D1287,$T$3:$T$10,$U$3:$U$10)*XLOOKUP(E$2,$AA$3:$AA$5,$AB$3:$AB$5)-ABS(XLOOKUP($C1287,$Q$3:$Q$16,$R$3:$R$16)))*$B1287,-5)</f>
        <v>24100000</v>
      </c>
      <c r="F1287" s="16">
        <f t="shared" si="3858"/>
        <v>37100000</v>
      </c>
      <c r="G1287" s="16">
        <f t="shared" si="3858"/>
        <v>39800000</v>
      </c>
      <c r="H1287" s="17">
        <f t="shared" ref="H1287:J1287" si="3859">roundup((XLOOKUP($D1287,$T$3:$T$10,$U$3:$U$10)*XLOOKUP(H$2,$AA$3:$AA$5,$AC$3:$AC$5)-ABS(XLOOKUP($C1287,$Q$3:$Q$16,$R$3:$R$16)))*$B1287,-5)</f>
        <v>21100000</v>
      </c>
      <c r="I1287" s="17">
        <f t="shared" si="3859"/>
        <v>44200000</v>
      </c>
      <c r="J1287" s="17">
        <f t="shared" si="3859"/>
        <v>47400000</v>
      </c>
      <c r="K1287" s="17">
        <f t="shared" ref="K1287:M1287" si="3860">roundup((XLOOKUP($D1287,$T$3:$T$10,$U$3:$U$10)*XLOOKUP(K$2,$AA$3:$AA$5,$AD$3:$AD$5)-ABS(XLOOKUP($C1287,$Q$3:$Q$16,$R$3:$R$16)))*$B1287,-5)</f>
        <v>23700000</v>
      </c>
      <c r="L1287" s="17">
        <f t="shared" si="3860"/>
        <v>49100000</v>
      </c>
      <c r="M1287" s="17">
        <f t="shared" si="3860"/>
        <v>52500000</v>
      </c>
    </row>
    <row r="1288">
      <c r="A1288" s="14" t="s">
        <v>1332</v>
      </c>
      <c r="B1288" s="14">
        <v>211.0</v>
      </c>
      <c r="C1288" s="15">
        <f t="shared" si="4"/>
        <v>13</v>
      </c>
      <c r="D1288" s="14" t="s">
        <v>33</v>
      </c>
      <c r="E1288" s="16">
        <f t="shared" ref="E1288:G1288" si="3861">ROUNDUP((XLOOKUP($D1288,$T$3:$T$10,$U$3:$U$10)*XLOOKUP(E$2,$AA$3:$AA$5,$AB$3:$AB$5)-ABS(XLOOKUP($C1288,$Q$3:$Q$16,$R$3:$R$16)))*$B1288,-5)</f>
        <v>41500000</v>
      </c>
      <c r="F1288" s="16">
        <f t="shared" si="3861"/>
        <v>77000000</v>
      </c>
      <c r="G1288" s="16">
        <f t="shared" si="3861"/>
        <v>84300000</v>
      </c>
      <c r="H1288" s="17">
        <f t="shared" ref="H1288:J1288" si="3862">roundup((XLOOKUP($D1288,$T$3:$T$10,$U$3:$U$10)*XLOOKUP(H$2,$AA$3:$AA$5,$AC$3:$AC$5)-ABS(XLOOKUP($C1288,$Q$3:$Q$16,$R$3:$R$16)))*$B1288,-5)</f>
        <v>33500000</v>
      </c>
      <c r="I1288" s="17">
        <f t="shared" si="3862"/>
        <v>96300000</v>
      </c>
      <c r="J1288" s="17">
        <f t="shared" si="3862"/>
        <v>104900000</v>
      </c>
      <c r="K1288" s="17">
        <f t="shared" ref="K1288:M1288" si="3863">roundup((XLOOKUP($D1288,$T$3:$T$10,$U$3:$U$10)*XLOOKUP(K$2,$AA$3:$AA$5,$AD$3:$AD$5)-ABS(XLOOKUP($C1288,$Q$3:$Q$16,$R$3:$R$16)))*$B1288,-5)</f>
        <v>40400000</v>
      </c>
      <c r="L1288" s="17">
        <f t="shared" si="3863"/>
        <v>109400000</v>
      </c>
      <c r="M1288" s="17">
        <f t="shared" si="3863"/>
        <v>118800000</v>
      </c>
    </row>
    <row r="1289">
      <c r="A1289" s="14" t="s">
        <v>1333</v>
      </c>
      <c r="B1289" s="14">
        <v>75.0</v>
      </c>
      <c r="C1289" s="15">
        <f t="shared" si="4"/>
        <v>9</v>
      </c>
      <c r="D1289" s="14" t="s">
        <v>33</v>
      </c>
      <c r="E1289" s="16">
        <f t="shared" ref="E1289:G1289" si="3864">ROUNDUP((XLOOKUP($D1289,$T$3:$T$10,$U$3:$U$10)*XLOOKUP(E$2,$AA$3:$AA$5,$AB$3:$AB$5)-ABS(XLOOKUP($C1289,$Q$3:$Q$16,$R$3:$R$16)))*$B1289,-5)</f>
        <v>23100000</v>
      </c>
      <c r="F1289" s="16">
        <f t="shared" si="3864"/>
        <v>35700000</v>
      </c>
      <c r="G1289" s="16">
        <f t="shared" si="3864"/>
        <v>38300000</v>
      </c>
      <c r="H1289" s="17">
        <f t="shared" ref="H1289:J1289" si="3865">roundup((XLOOKUP($D1289,$T$3:$T$10,$U$3:$U$10)*XLOOKUP(H$2,$AA$3:$AA$5,$AC$3:$AC$5)-ABS(XLOOKUP($C1289,$Q$3:$Q$16,$R$3:$R$16)))*$B1289,-5)</f>
        <v>20300000</v>
      </c>
      <c r="I1289" s="17">
        <f t="shared" si="3865"/>
        <v>42600000</v>
      </c>
      <c r="J1289" s="17">
        <f t="shared" si="3865"/>
        <v>45600000</v>
      </c>
      <c r="K1289" s="17">
        <f t="shared" ref="K1289:M1289" si="3866">roundup((XLOOKUP($D1289,$T$3:$T$10,$U$3:$U$10)*XLOOKUP(K$2,$AA$3:$AA$5,$AD$3:$AD$5)-ABS(XLOOKUP($C1289,$Q$3:$Q$16,$R$3:$R$16)))*$B1289,-5)</f>
        <v>22700000</v>
      </c>
      <c r="L1289" s="17">
        <f t="shared" si="3866"/>
        <v>47200000</v>
      </c>
      <c r="M1289" s="17">
        <f t="shared" si="3866"/>
        <v>50600000</v>
      </c>
    </row>
    <row r="1290">
      <c r="A1290" s="14" t="s">
        <v>1334</v>
      </c>
      <c r="B1290" s="14">
        <v>75.0</v>
      </c>
      <c r="C1290" s="15">
        <f t="shared" si="4"/>
        <v>9</v>
      </c>
      <c r="D1290" s="14" t="s">
        <v>208</v>
      </c>
      <c r="E1290" s="16">
        <f t="shared" ref="E1290:G1290" si="3867">ROUNDUP((XLOOKUP($D1290,$T$3:$T$10,$U$3:$U$10)*XLOOKUP(E$2,$AA$3:$AA$5,$AB$3:$AB$5)-ABS(XLOOKUP($C1290,$Q$3:$Q$16,$R$3:$R$16)))*$B1290,-5)</f>
        <v>24100000</v>
      </c>
      <c r="F1290" s="16">
        <f t="shared" si="3867"/>
        <v>37100000</v>
      </c>
      <c r="G1290" s="16">
        <f t="shared" si="3867"/>
        <v>39800000</v>
      </c>
      <c r="H1290" s="17">
        <f t="shared" ref="H1290:J1290" si="3868">roundup((XLOOKUP($D1290,$T$3:$T$10,$U$3:$U$10)*XLOOKUP(H$2,$AA$3:$AA$5,$AC$3:$AC$5)-ABS(XLOOKUP($C1290,$Q$3:$Q$16,$R$3:$R$16)))*$B1290,-5)</f>
        <v>21100000</v>
      </c>
      <c r="I1290" s="17">
        <f t="shared" si="3868"/>
        <v>44200000</v>
      </c>
      <c r="J1290" s="17">
        <f t="shared" si="3868"/>
        <v>47400000</v>
      </c>
      <c r="K1290" s="17">
        <f t="shared" ref="K1290:M1290" si="3869">roundup((XLOOKUP($D1290,$T$3:$T$10,$U$3:$U$10)*XLOOKUP(K$2,$AA$3:$AA$5,$AD$3:$AD$5)-ABS(XLOOKUP($C1290,$Q$3:$Q$16,$R$3:$R$16)))*$B1290,-5)</f>
        <v>23700000</v>
      </c>
      <c r="L1290" s="17">
        <f t="shared" si="3869"/>
        <v>49100000</v>
      </c>
      <c r="M1290" s="17">
        <f t="shared" si="3869"/>
        <v>52500000</v>
      </c>
    </row>
    <row r="1291">
      <c r="A1291" s="14" t="s">
        <v>1335</v>
      </c>
      <c r="B1291" s="14">
        <v>161.0</v>
      </c>
      <c r="C1291" s="15">
        <f t="shared" si="4"/>
        <v>12</v>
      </c>
      <c r="D1291" s="14" t="s">
        <v>36</v>
      </c>
      <c r="E1291" s="16">
        <f t="shared" ref="E1291:G1291" si="3870">ROUNDUP((XLOOKUP($D1291,$T$3:$T$10,$U$3:$U$10)*XLOOKUP(E$2,$AA$3:$AA$5,$AB$3:$AB$5)-ABS(XLOOKUP($C1291,$Q$3:$Q$16,$R$3:$R$16)))*$B1291,-5)</f>
        <v>41500000</v>
      </c>
      <c r="F1291" s="16">
        <f t="shared" si="3870"/>
        <v>71800000</v>
      </c>
      <c r="G1291" s="16">
        <f t="shared" si="3870"/>
        <v>78100000</v>
      </c>
      <c r="H1291" s="17">
        <f t="shared" ref="H1291:J1291" si="3871">roundup((XLOOKUP($D1291,$T$3:$T$10,$U$3:$U$10)*XLOOKUP(H$2,$AA$3:$AA$5,$AC$3:$AC$5)-ABS(XLOOKUP($C1291,$Q$3:$Q$16,$R$3:$R$16)))*$B1291,-5)</f>
        <v>34600000</v>
      </c>
      <c r="I1291" s="17">
        <f t="shared" si="3871"/>
        <v>88300000</v>
      </c>
      <c r="J1291" s="17">
        <f t="shared" si="3871"/>
        <v>95600000</v>
      </c>
      <c r="K1291" s="17">
        <f t="shared" ref="K1291:M1291" si="3872">roundup((XLOOKUP($D1291,$T$3:$T$10,$U$3:$U$10)*XLOOKUP(K$2,$AA$3:$AA$5,$AD$3:$AD$5)-ABS(XLOOKUP($C1291,$Q$3:$Q$16,$R$3:$R$16)))*$B1291,-5)</f>
        <v>40500000</v>
      </c>
      <c r="L1291" s="17">
        <f t="shared" si="3872"/>
        <v>99500000</v>
      </c>
      <c r="M1291" s="17">
        <f t="shared" si="3872"/>
        <v>107500000</v>
      </c>
    </row>
    <row r="1292">
      <c r="A1292" s="14" t="s">
        <v>1336</v>
      </c>
      <c r="B1292" s="14">
        <v>75.0</v>
      </c>
      <c r="C1292" s="15">
        <f t="shared" si="4"/>
        <v>9</v>
      </c>
      <c r="D1292" s="14" t="s">
        <v>208</v>
      </c>
      <c r="E1292" s="16">
        <f t="shared" ref="E1292:G1292" si="3873">ROUNDUP((XLOOKUP($D1292,$T$3:$T$10,$U$3:$U$10)*XLOOKUP(E$2,$AA$3:$AA$5,$AB$3:$AB$5)-ABS(XLOOKUP($C1292,$Q$3:$Q$16,$R$3:$R$16)))*$B1292,-5)</f>
        <v>24100000</v>
      </c>
      <c r="F1292" s="16">
        <f t="shared" si="3873"/>
        <v>37100000</v>
      </c>
      <c r="G1292" s="16">
        <f t="shared" si="3873"/>
        <v>39800000</v>
      </c>
      <c r="H1292" s="17">
        <f t="shared" ref="H1292:J1292" si="3874">roundup((XLOOKUP($D1292,$T$3:$T$10,$U$3:$U$10)*XLOOKUP(H$2,$AA$3:$AA$5,$AC$3:$AC$5)-ABS(XLOOKUP($C1292,$Q$3:$Q$16,$R$3:$R$16)))*$B1292,-5)</f>
        <v>21100000</v>
      </c>
      <c r="I1292" s="17">
        <f t="shared" si="3874"/>
        <v>44200000</v>
      </c>
      <c r="J1292" s="17">
        <f t="shared" si="3874"/>
        <v>47400000</v>
      </c>
      <c r="K1292" s="17">
        <f t="shared" ref="K1292:M1292" si="3875">roundup((XLOOKUP($D1292,$T$3:$T$10,$U$3:$U$10)*XLOOKUP(K$2,$AA$3:$AA$5,$AD$3:$AD$5)-ABS(XLOOKUP($C1292,$Q$3:$Q$16,$R$3:$R$16)))*$B1292,-5)</f>
        <v>23700000</v>
      </c>
      <c r="L1292" s="17">
        <f t="shared" si="3875"/>
        <v>49100000</v>
      </c>
      <c r="M1292" s="17">
        <f t="shared" si="3875"/>
        <v>52500000</v>
      </c>
    </row>
    <row r="1293">
      <c r="A1293" s="14" t="s">
        <v>1337</v>
      </c>
      <c r="B1293" s="14">
        <v>117.0</v>
      </c>
      <c r="C1293" s="15">
        <f t="shared" si="4"/>
        <v>11</v>
      </c>
      <c r="D1293" s="14" t="s">
        <v>36</v>
      </c>
      <c r="E1293" s="16">
        <f t="shared" ref="E1293:G1293" si="3876">ROUNDUP((XLOOKUP($D1293,$T$3:$T$10,$U$3:$U$10)*XLOOKUP(E$2,$AA$3:$AA$5,$AB$3:$AB$5)-ABS(XLOOKUP($C1293,$Q$3:$Q$16,$R$3:$R$16)))*$B1293,-5)</f>
        <v>30700000</v>
      </c>
      <c r="F1293" s="16">
        <f t="shared" si="3876"/>
        <v>52800000</v>
      </c>
      <c r="G1293" s="16">
        <f t="shared" si="3876"/>
        <v>57300000</v>
      </c>
      <c r="H1293" s="17">
        <f t="shared" ref="H1293:J1293" si="3877">roundup((XLOOKUP($D1293,$T$3:$T$10,$U$3:$U$10)*XLOOKUP(H$2,$AA$3:$AA$5,$AC$3:$AC$5)-ABS(XLOOKUP($C1293,$Q$3:$Q$16,$R$3:$R$16)))*$B1293,-5)</f>
        <v>25700000</v>
      </c>
      <c r="I1293" s="17">
        <f t="shared" si="3877"/>
        <v>64800000</v>
      </c>
      <c r="J1293" s="17">
        <f t="shared" si="3877"/>
        <v>70100000</v>
      </c>
      <c r="K1293" s="17">
        <f t="shared" ref="K1293:M1293" si="3878">roundup((XLOOKUP($D1293,$T$3:$T$10,$U$3:$U$10)*XLOOKUP(K$2,$AA$3:$AA$5,$AD$3:$AD$5)-ABS(XLOOKUP($C1293,$Q$3:$Q$16,$R$3:$R$16)))*$B1293,-5)</f>
        <v>30000000</v>
      </c>
      <c r="L1293" s="17">
        <f t="shared" si="3878"/>
        <v>72900000</v>
      </c>
      <c r="M1293" s="17">
        <f t="shared" si="3878"/>
        <v>78800000</v>
      </c>
    </row>
    <row r="1294">
      <c r="A1294" s="14" t="s">
        <v>1338</v>
      </c>
      <c r="B1294" s="14">
        <v>130.0</v>
      </c>
      <c r="C1294" s="15">
        <f t="shared" si="4"/>
        <v>11</v>
      </c>
      <c r="D1294" s="14" t="s">
        <v>36</v>
      </c>
      <c r="E1294" s="16">
        <f t="shared" ref="E1294:G1294" si="3879">ROUNDUP((XLOOKUP($D1294,$T$3:$T$10,$U$3:$U$10)*XLOOKUP(E$2,$AA$3:$AA$5,$AB$3:$AB$5)-ABS(XLOOKUP($C1294,$Q$3:$Q$16,$R$3:$R$16)))*$B1294,-5)</f>
        <v>34100000</v>
      </c>
      <c r="F1294" s="16">
        <f t="shared" si="3879"/>
        <v>58600000</v>
      </c>
      <c r="G1294" s="16">
        <f t="shared" si="3879"/>
        <v>63700000</v>
      </c>
      <c r="H1294" s="17">
        <f t="shared" ref="H1294:J1294" si="3880">roundup((XLOOKUP($D1294,$T$3:$T$10,$U$3:$U$10)*XLOOKUP(H$2,$AA$3:$AA$5,$AC$3:$AC$5)-ABS(XLOOKUP($C1294,$Q$3:$Q$16,$R$3:$R$16)))*$B1294,-5)</f>
        <v>28600000</v>
      </c>
      <c r="I1294" s="17">
        <f t="shared" si="3880"/>
        <v>72000000</v>
      </c>
      <c r="J1294" s="17">
        <f t="shared" si="3880"/>
        <v>77900000</v>
      </c>
      <c r="K1294" s="17">
        <f t="shared" ref="K1294:M1294" si="3881">roundup((XLOOKUP($D1294,$T$3:$T$10,$U$3:$U$10)*XLOOKUP(K$2,$AA$3:$AA$5,$AD$3:$AD$5)-ABS(XLOOKUP($C1294,$Q$3:$Q$16,$R$3:$R$16)))*$B1294,-5)</f>
        <v>33400000</v>
      </c>
      <c r="L1294" s="17">
        <f t="shared" si="3881"/>
        <v>81000000</v>
      </c>
      <c r="M1294" s="17">
        <f t="shared" si="3881"/>
        <v>87500000</v>
      </c>
    </row>
    <row r="1295">
      <c r="A1295" s="14" t="s">
        <v>1339</v>
      </c>
      <c r="B1295" s="14" t="s">
        <v>30</v>
      </c>
      <c r="C1295" s="15">
        <f t="shared" si="4"/>
        <v>14</v>
      </c>
      <c r="D1295" s="14" t="s">
        <v>33</v>
      </c>
      <c r="E1295" s="16" t="str">
        <f t="shared" ref="E1295:G1295" si="3882">ROUNDUP((XLOOKUP($D1295,$T$3:$T$10,$U$3:$U$10)*XLOOKUP(E$2,$AA$3:$AA$5,$AB$3:$AB$5)-ABS(XLOOKUP($C1295,$Q$3:$Q$16,$R$3:$R$16)))*$B1295,-5)</f>
        <v>#VALUE!</v>
      </c>
      <c r="F1295" s="16" t="str">
        <f t="shared" si="3882"/>
        <v>#VALUE!</v>
      </c>
      <c r="G1295" s="16" t="str">
        <f t="shared" si="3882"/>
        <v>#VALUE!</v>
      </c>
      <c r="H1295" s="17" t="str">
        <f t="shared" ref="H1295:J1295" si="3883">roundup((XLOOKUP($D1295,$T$3:$T$10,$U$3:$U$10)*XLOOKUP(H$2,$AA$3:$AA$5,$AC$3:$AC$5)-ABS(XLOOKUP($C1295,$Q$3:$Q$16,$R$3:$R$16)))*$B1295,-5)</f>
        <v>#VALUE!</v>
      </c>
      <c r="I1295" s="17" t="str">
        <f t="shared" si="3883"/>
        <v>#VALUE!</v>
      </c>
      <c r="J1295" s="17" t="str">
        <f t="shared" si="3883"/>
        <v>#VALUE!</v>
      </c>
      <c r="K1295" s="17" t="str">
        <f t="shared" ref="K1295:M1295" si="3884">roundup((XLOOKUP($D1295,$T$3:$T$10,$U$3:$U$10)*XLOOKUP(K$2,$AA$3:$AA$5,$AD$3:$AD$5)-ABS(XLOOKUP($C1295,$Q$3:$Q$16,$R$3:$R$16)))*$B1295,-5)</f>
        <v>#VALUE!</v>
      </c>
      <c r="L1295" s="17" t="str">
        <f t="shared" si="3884"/>
        <v>#VALUE!</v>
      </c>
      <c r="M1295" s="17" t="str">
        <f t="shared" si="3884"/>
        <v>#VALUE!</v>
      </c>
    </row>
    <row r="1296">
      <c r="A1296" s="14" t="s">
        <v>1340</v>
      </c>
      <c r="B1296" s="14">
        <v>36.0</v>
      </c>
      <c r="C1296" s="15">
        <f t="shared" si="4"/>
        <v>3</v>
      </c>
      <c r="D1296" s="14" t="s">
        <v>33</v>
      </c>
      <c r="E1296" s="16">
        <f t="shared" ref="E1296:G1296" si="3885">ROUNDUP((XLOOKUP($D1296,$T$3:$T$10,$U$3:$U$10)*XLOOKUP(E$2,$AA$3:$AA$5,$AB$3:$AB$5)-ABS(XLOOKUP($C1296,$Q$3:$Q$16,$R$3:$R$16)))*$B1296,-5)</f>
        <v>12500000</v>
      </c>
      <c r="F1296" s="16">
        <f t="shared" si="3885"/>
        <v>18500000</v>
      </c>
      <c r="G1296" s="16">
        <f t="shared" si="3885"/>
        <v>19800000</v>
      </c>
      <c r="H1296" s="17">
        <f t="shared" ref="H1296:J1296" si="3886">roundup((XLOOKUP($D1296,$T$3:$T$10,$U$3:$U$10)*XLOOKUP(H$2,$AA$3:$AA$5,$AC$3:$AC$5)-ABS(XLOOKUP($C1296,$Q$3:$Q$16,$R$3:$R$16)))*$B1296,-5)</f>
        <v>11100000</v>
      </c>
      <c r="I1296" s="17">
        <f t="shared" si="3886"/>
        <v>21800000</v>
      </c>
      <c r="J1296" s="17">
        <f t="shared" si="3886"/>
        <v>23300000</v>
      </c>
      <c r="K1296" s="17">
        <f t="shared" ref="K1296:M1296" si="3887">roundup((XLOOKUP($D1296,$T$3:$T$10,$U$3:$U$10)*XLOOKUP(K$2,$AA$3:$AA$5,$AD$3:$AD$5)-ABS(XLOOKUP($C1296,$Q$3:$Q$16,$R$3:$R$16)))*$B1296,-5)</f>
        <v>12300000</v>
      </c>
      <c r="L1296" s="17">
        <f t="shared" si="3887"/>
        <v>24000000</v>
      </c>
      <c r="M1296" s="17">
        <f t="shared" si="3887"/>
        <v>25600000</v>
      </c>
    </row>
    <row r="1297">
      <c r="A1297" s="14" t="s">
        <v>1341</v>
      </c>
      <c r="B1297" s="14">
        <v>132.0</v>
      </c>
      <c r="C1297" s="15">
        <f t="shared" si="4"/>
        <v>11</v>
      </c>
      <c r="D1297" s="14" t="s">
        <v>36</v>
      </c>
      <c r="E1297" s="16">
        <f t="shared" ref="E1297:G1297" si="3888">ROUNDUP((XLOOKUP($D1297,$T$3:$T$10,$U$3:$U$10)*XLOOKUP(E$2,$AA$3:$AA$5,$AB$3:$AB$5)-ABS(XLOOKUP($C1297,$Q$3:$Q$16,$R$3:$R$16)))*$B1297,-5)</f>
        <v>34700000</v>
      </c>
      <c r="F1297" s="16">
        <f t="shared" si="3888"/>
        <v>59500000</v>
      </c>
      <c r="G1297" s="16">
        <f t="shared" si="3888"/>
        <v>64700000</v>
      </c>
      <c r="H1297" s="17">
        <f t="shared" ref="H1297:J1297" si="3889">roundup((XLOOKUP($D1297,$T$3:$T$10,$U$3:$U$10)*XLOOKUP(H$2,$AA$3:$AA$5,$AC$3:$AC$5)-ABS(XLOOKUP($C1297,$Q$3:$Q$16,$R$3:$R$16)))*$B1297,-5)</f>
        <v>29000000</v>
      </c>
      <c r="I1297" s="17">
        <f t="shared" si="3889"/>
        <v>73100000</v>
      </c>
      <c r="J1297" s="17">
        <f t="shared" si="3889"/>
        <v>79100000</v>
      </c>
      <c r="K1297" s="17">
        <f t="shared" ref="K1297:M1297" si="3890">roundup((XLOOKUP($D1297,$T$3:$T$10,$U$3:$U$10)*XLOOKUP(K$2,$AA$3:$AA$5,$AD$3:$AD$5)-ABS(XLOOKUP($C1297,$Q$3:$Q$16,$R$3:$R$16)))*$B1297,-5)</f>
        <v>33900000</v>
      </c>
      <c r="L1297" s="17">
        <f t="shared" si="3890"/>
        <v>82200000</v>
      </c>
      <c r="M1297" s="17">
        <f t="shared" si="3890"/>
        <v>88800000</v>
      </c>
    </row>
    <row r="1298">
      <c r="A1298" s="14" t="s">
        <v>1342</v>
      </c>
      <c r="B1298" s="14">
        <v>201.0</v>
      </c>
      <c r="C1298" s="15">
        <f t="shared" si="4"/>
        <v>13</v>
      </c>
      <c r="D1298" s="14" t="s">
        <v>36</v>
      </c>
      <c r="E1298" s="16">
        <f t="shared" ref="E1298:G1298" si="3891">ROUNDUP((XLOOKUP($D1298,$T$3:$T$10,$U$3:$U$10)*XLOOKUP(E$2,$AA$3:$AA$5,$AB$3:$AB$5)-ABS(XLOOKUP($C1298,$Q$3:$Q$16,$R$3:$R$16)))*$B1298,-5)</f>
        <v>48700000</v>
      </c>
      <c r="F1298" s="16">
        <f t="shared" si="3891"/>
        <v>86600000</v>
      </c>
      <c r="G1298" s="16">
        <f t="shared" si="3891"/>
        <v>94400000</v>
      </c>
      <c r="H1298" s="17">
        <f t="shared" ref="H1298:J1298" si="3892">roundup((XLOOKUP($D1298,$T$3:$T$10,$U$3:$U$10)*XLOOKUP(H$2,$AA$3:$AA$5,$AC$3:$AC$5)-ABS(XLOOKUP($C1298,$Q$3:$Q$16,$R$3:$R$16)))*$B1298,-5)</f>
        <v>40100000</v>
      </c>
      <c r="I1298" s="17">
        <f t="shared" si="3892"/>
        <v>107200000</v>
      </c>
      <c r="J1298" s="17">
        <f t="shared" si="3892"/>
        <v>116400000</v>
      </c>
      <c r="K1298" s="17">
        <f t="shared" ref="K1298:M1298" si="3893">roundup((XLOOKUP($D1298,$T$3:$T$10,$U$3:$U$10)*XLOOKUP(K$2,$AA$3:$AA$5,$AD$3:$AD$5)-ABS(XLOOKUP($C1298,$Q$3:$Q$16,$R$3:$R$16)))*$B1298,-5)</f>
        <v>47600000</v>
      </c>
      <c r="L1298" s="17">
        <f t="shared" si="3893"/>
        <v>121200000</v>
      </c>
      <c r="M1298" s="17">
        <f t="shared" si="3893"/>
        <v>131200000</v>
      </c>
    </row>
    <row r="1299">
      <c r="A1299" s="14" t="s">
        <v>1343</v>
      </c>
      <c r="B1299" s="14">
        <v>161.0</v>
      </c>
      <c r="C1299" s="15">
        <f t="shared" si="4"/>
        <v>12</v>
      </c>
      <c r="D1299" s="14" t="s">
        <v>36</v>
      </c>
      <c r="E1299" s="16">
        <f t="shared" ref="E1299:G1299" si="3894">ROUNDUP((XLOOKUP($D1299,$T$3:$T$10,$U$3:$U$10)*XLOOKUP(E$2,$AA$3:$AA$5,$AB$3:$AB$5)-ABS(XLOOKUP($C1299,$Q$3:$Q$16,$R$3:$R$16)))*$B1299,-5)</f>
        <v>41500000</v>
      </c>
      <c r="F1299" s="16">
        <f t="shared" si="3894"/>
        <v>71800000</v>
      </c>
      <c r="G1299" s="16">
        <f t="shared" si="3894"/>
        <v>78100000</v>
      </c>
      <c r="H1299" s="17">
        <f t="shared" ref="H1299:J1299" si="3895">roundup((XLOOKUP($D1299,$T$3:$T$10,$U$3:$U$10)*XLOOKUP(H$2,$AA$3:$AA$5,$AC$3:$AC$5)-ABS(XLOOKUP($C1299,$Q$3:$Q$16,$R$3:$R$16)))*$B1299,-5)</f>
        <v>34600000</v>
      </c>
      <c r="I1299" s="17">
        <f t="shared" si="3895"/>
        <v>88300000</v>
      </c>
      <c r="J1299" s="17">
        <f t="shared" si="3895"/>
        <v>95600000</v>
      </c>
      <c r="K1299" s="17">
        <f t="shared" ref="K1299:M1299" si="3896">roundup((XLOOKUP($D1299,$T$3:$T$10,$U$3:$U$10)*XLOOKUP(K$2,$AA$3:$AA$5,$AD$3:$AD$5)-ABS(XLOOKUP($C1299,$Q$3:$Q$16,$R$3:$R$16)))*$B1299,-5)</f>
        <v>40500000</v>
      </c>
      <c r="L1299" s="17">
        <f t="shared" si="3896"/>
        <v>99500000</v>
      </c>
      <c r="M1299" s="17">
        <f t="shared" si="3896"/>
        <v>107500000</v>
      </c>
    </row>
    <row r="1300">
      <c r="A1300" s="14" t="s">
        <v>1344</v>
      </c>
      <c r="B1300" s="14">
        <v>123.0</v>
      </c>
      <c r="C1300" s="15">
        <f t="shared" si="4"/>
        <v>11</v>
      </c>
      <c r="D1300" s="14" t="s">
        <v>36</v>
      </c>
      <c r="E1300" s="16">
        <f t="shared" ref="E1300:G1300" si="3897">ROUNDUP((XLOOKUP($D1300,$T$3:$T$10,$U$3:$U$10)*XLOOKUP(E$2,$AA$3:$AA$5,$AB$3:$AB$5)-ABS(XLOOKUP($C1300,$Q$3:$Q$16,$R$3:$R$16)))*$B1300,-5)</f>
        <v>32300000</v>
      </c>
      <c r="F1300" s="16">
        <f t="shared" si="3897"/>
        <v>55500000</v>
      </c>
      <c r="G1300" s="16">
        <f t="shared" si="3897"/>
        <v>60300000</v>
      </c>
      <c r="H1300" s="17">
        <f t="shared" ref="H1300:J1300" si="3898">roundup((XLOOKUP($D1300,$T$3:$T$10,$U$3:$U$10)*XLOOKUP(H$2,$AA$3:$AA$5,$AC$3:$AC$5)-ABS(XLOOKUP($C1300,$Q$3:$Q$16,$R$3:$R$16)))*$B1300,-5)</f>
        <v>27000000</v>
      </c>
      <c r="I1300" s="17">
        <f t="shared" si="3898"/>
        <v>68100000</v>
      </c>
      <c r="J1300" s="17">
        <f t="shared" si="3898"/>
        <v>73700000</v>
      </c>
      <c r="K1300" s="17">
        <f t="shared" ref="K1300:M1300" si="3899">roundup((XLOOKUP($D1300,$T$3:$T$10,$U$3:$U$10)*XLOOKUP(K$2,$AA$3:$AA$5,$AD$3:$AD$5)-ABS(XLOOKUP($C1300,$Q$3:$Q$16,$R$3:$R$16)))*$B1300,-5)</f>
        <v>31600000</v>
      </c>
      <c r="L1300" s="17">
        <f t="shared" si="3899"/>
        <v>76600000</v>
      </c>
      <c r="M1300" s="17">
        <f t="shared" si="3899"/>
        <v>82800000</v>
      </c>
    </row>
    <row r="1301">
      <c r="A1301" s="14" t="s">
        <v>1345</v>
      </c>
      <c r="B1301" s="14">
        <v>202.0</v>
      </c>
      <c r="C1301" s="15">
        <f t="shared" si="4"/>
        <v>13</v>
      </c>
      <c r="D1301" s="14" t="s">
        <v>33</v>
      </c>
      <c r="E1301" s="16">
        <f t="shared" ref="E1301:G1301" si="3900">ROUNDUP((XLOOKUP($D1301,$T$3:$T$10,$U$3:$U$10)*XLOOKUP(E$2,$AA$3:$AA$5,$AB$3:$AB$5)-ABS(XLOOKUP($C1301,$Q$3:$Q$16,$R$3:$R$16)))*$B1301,-5)</f>
        <v>39800000</v>
      </c>
      <c r="F1301" s="16">
        <f t="shared" si="3900"/>
        <v>73700000</v>
      </c>
      <c r="G1301" s="16">
        <f t="shared" si="3900"/>
        <v>80700000</v>
      </c>
      <c r="H1301" s="17">
        <f t="shared" ref="H1301:J1301" si="3901">roundup((XLOOKUP($D1301,$T$3:$T$10,$U$3:$U$10)*XLOOKUP(H$2,$AA$3:$AA$5,$AC$3:$AC$5)-ABS(XLOOKUP($C1301,$Q$3:$Q$16,$R$3:$R$16)))*$B1301,-5)</f>
        <v>32100000</v>
      </c>
      <c r="I1301" s="17">
        <f t="shared" si="3901"/>
        <v>92200000</v>
      </c>
      <c r="J1301" s="17">
        <f t="shared" si="3901"/>
        <v>100400000</v>
      </c>
      <c r="K1301" s="17">
        <f t="shared" ref="K1301:M1301" si="3902">roundup((XLOOKUP($D1301,$T$3:$T$10,$U$3:$U$10)*XLOOKUP(K$2,$AA$3:$AA$5,$AD$3:$AD$5)-ABS(XLOOKUP($C1301,$Q$3:$Q$16,$R$3:$R$16)))*$B1301,-5)</f>
        <v>38700000</v>
      </c>
      <c r="L1301" s="17">
        <f t="shared" si="3902"/>
        <v>104700000</v>
      </c>
      <c r="M1301" s="17">
        <f t="shared" si="3902"/>
        <v>113800000</v>
      </c>
    </row>
    <row r="1302">
      <c r="A1302" s="14" t="s">
        <v>1346</v>
      </c>
      <c r="B1302" s="14">
        <v>158.0</v>
      </c>
      <c r="C1302" s="15">
        <f t="shared" si="4"/>
        <v>11</v>
      </c>
      <c r="D1302" s="14" t="s">
        <v>36</v>
      </c>
      <c r="E1302" s="16">
        <f t="shared" ref="E1302:G1302" si="3903">ROUNDUP((XLOOKUP($D1302,$T$3:$T$10,$U$3:$U$10)*XLOOKUP(E$2,$AA$3:$AA$5,$AB$3:$AB$5)-ABS(XLOOKUP($C1302,$Q$3:$Q$16,$R$3:$R$16)))*$B1302,-5)</f>
        <v>41500000</v>
      </c>
      <c r="F1302" s="16">
        <f t="shared" si="3903"/>
        <v>71200000</v>
      </c>
      <c r="G1302" s="16">
        <f t="shared" si="3903"/>
        <v>77400000</v>
      </c>
      <c r="H1302" s="17">
        <f t="shared" ref="H1302:J1302" si="3904">roundup((XLOOKUP($D1302,$T$3:$T$10,$U$3:$U$10)*XLOOKUP(H$2,$AA$3:$AA$5,$AC$3:$AC$5)-ABS(XLOOKUP($C1302,$Q$3:$Q$16,$R$3:$R$16)))*$B1302,-5)</f>
        <v>34700000</v>
      </c>
      <c r="I1302" s="17">
        <f t="shared" si="3904"/>
        <v>87400000</v>
      </c>
      <c r="J1302" s="17">
        <f t="shared" si="3904"/>
        <v>94600000</v>
      </c>
      <c r="K1302" s="17">
        <f t="shared" ref="K1302:M1302" si="3905">roundup((XLOOKUP($D1302,$T$3:$T$10,$U$3:$U$10)*XLOOKUP(K$2,$AA$3:$AA$5,$AD$3:$AD$5)-ABS(XLOOKUP($C1302,$Q$3:$Q$16,$R$3:$R$16)))*$B1302,-5)</f>
        <v>40600000</v>
      </c>
      <c r="L1302" s="17">
        <f t="shared" si="3905"/>
        <v>98400000</v>
      </c>
      <c r="M1302" s="17">
        <f t="shared" si="3905"/>
        <v>106300000</v>
      </c>
    </row>
    <row r="1303">
      <c r="A1303" s="14" t="s">
        <v>1347</v>
      </c>
      <c r="B1303" s="14">
        <v>165.0</v>
      </c>
      <c r="C1303" s="15">
        <f t="shared" si="4"/>
        <v>12</v>
      </c>
      <c r="D1303" s="14" t="s">
        <v>36</v>
      </c>
      <c r="E1303" s="16">
        <f t="shared" ref="E1303:G1303" si="3906">ROUNDUP((XLOOKUP($D1303,$T$3:$T$10,$U$3:$U$10)*XLOOKUP(E$2,$AA$3:$AA$5,$AB$3:$AB$5)-ABS(XLOOKUP($C1303,$Q$3:$Q$16,$R$3:$R$16)))*$B1303,-5)</f>
        <v>42500000</v>
      </c>
      <c r="F1303" s="16">
        <f t="shared" si="3906"/>
        <v>73600000</v>
      </c>
      <c r="G1303" s="16">
        <f t="shared" si="3906"/>
        <v>80000000</v>
      </c>
      <c r="H1303" s="17">
        <f t="shared" ref="H1303:J1303" si="3907">roundup((XLOOKUP($D1303,$T$3:$T$10,$U$3:$U$10)*XLOOKUP(H$2,$AA$3:$AA$5,$AC$3:$AC$5)-ABS(XLOOKUP($C1303,$Q$3:$Q$16,$R$3:$R$16)))*$B1303,-5)</f>
        <v>35400000</v>
      </c>
      <c r="I1303" s="17">
        <f t="shared" si="3907"/>
        <v>90500000</v>
      </c>
      <c r="J1303" s="17">
        <f t="shared" si="3907"/>
        <v>98000000</v>
      </c>
      <c r="K1303" s="17">
        <f t="shared" ref="K1303:M1303" si="3908">roundup((XLOOKUP($D1303,$T$3:$T$10,$U$3:$U$10)*XLOOKUP(K$2,$AA$3:$AA$5,$AD$3:$AD$5)-ABS(XLOOKUP($C1303,$Q$3:$Q$16,$R$3:$R$16)))*$B1303,-5)</f>
        <v>41500000</v>
      </c>
      <c r="L1303" s="17">
        <f t="shared" si="3908"/>
        <v>102000000</v>
      </c>
      <c r="M1303" s="17">
        <f t="shared" si="3908"/>
        <v>110200000</v>
      </c>
    </row>
    <row r="1304">
      <c r="A1304" s="14" t="s">
        <v>1348</v>
      </c>
      <c r="B1304" s="14">
        <v>116.0</v>
      </c>
      <c r="C1304" s="15">
        <f t="shared" si="4"/>
        <v>11</v>
      </c>
      <c r="D1304" s="14" t="s">
        <v>33</v>
      </c>
      <c r="E1304" s="16">
        <f t="shared" ref="E1304:G1304" si="3909">ROUNDUP((XLOOKUP($D1304,$T$3:$T$10,$U$3:$U$10)*XLOOKUP(E$2,$AA$3:$AA$5,$AB$3:$AB$5)-ABS(XLOOKUP($C1304,$Q$3:$Q$16,$R$3:$R$16)))*$B1304,-5)</f>
        <v>25200000</v>
      </c>
      <c r="F1304" s="16">
        <f t="shared" si="3909"/>
        <v>44700000</v>
      </c>
      <c r="G1304" s="16">
        <f t="shared" si="3909"/>
        <v>48700000</v>
      </c>
      <c r="H1304" s="17">
        <f t="shared" ref="H1304:J1304" si="3910">roundup((XLOOKUP($D1304,$T$3:$T$10,$U$3:$U$10)*XLOOKUP(H$2,$AA$3:$AA$5,$AC$3:$AC$5)-ABS(XLOOKUP($C1304,$Q$3:$Q$16,$R$3:$R$16)))*$B1304,-5)</f>
        <v>20700000</v>
      </c>
      <c r="I1304" s="17">
        <f t="shared" si="3910"/>
        <v>55300000</v>
      </c>
      <c r="J1304" s="17">
        <f t="shared" si="3910"/>
        <v>60000000</v>
      </c>
      <c r="K1304" s="17">
        <f t="shared" ref="K1304:M1304" si="3911">roundup((XLOOKUP($D1304,$T$3:$T$10,$U$3:$U$10)*XLOOKUP(K$2,$AA$3:$AA$5,$AD$3:$AD$5)-ABS(XLOOKUP($C1304,$Q$3:$Q$16,$R$3:$R$16)))*$B1304,-5)</f>
        <v>24600000</v>
      </c>
      <c r="L1304" s="17">
        <f t="shared" si="3911"/>
        <v>62500000</v>
      </c>
      <c r="M1304" s="17">
        <f t="shared" si="3911"/>
        <v>67700000</v>
      </c>
    </row>
    <row r="1305">
      <c r="A1305" s="14" t="s">
        <v>1349</v>
      </c>
      <c r="B1305" s="14">
        <v>298.0</v>
      </c>
      <c r="C1305" s="15">
        <f t="shared" si="4"/>
        <v>14</v>
      </c>
      <c r="D1305" s="14" t="s">
        <v>36</v>
      </c>
      <c r="E1305" s="16">
        <f t="shared" ref="E1305:G1305" si="3912">ROUNDUP((XLOOKUP($D1305,$T$3:$T$10,$U$3:$U$10)*XLOOKUP(E$2,$AA$3:$AA$5,$AB$3:$AB$5)-ABS(XLOOKUP($C1305,$Q$3:$Q$16,$R$3:$R$16)))*$B1305,-5)</f>
        <v>69500000</v>
      </c>
      <c r="F1305" s="16">
        <f t="shared" si="3912"/>
        <v>125700000</v>
      </c>
      <c r="G1305" s="16">
        <f t="shared" si="3912"/>
        <v>137300000</v>
      </c>
      <c r="H1305" s="17">
        <f t="shared" ref="H1305:J1305" si="3913">roundup((XLOOKUP($D1305,$T$3:$T$10,$U$3:$U$10)*XLOOKUP(H$2,$AA$3:$AA$5,$AC$3:$AC$5)-ABS(XLOOKUP($C1305,$Q$3:$Q$16,$R$3:$R$16)))*$B1305,-5)</f>
        <v>56800000</v>
      </c>
      <c r="I1305" s="17">
        <f t="shared" si="3913"/>
        <v>156200000</v>
      </c>
      <c r="J1305" s="17">
        <f t="shared" si="3913"/>
        <v>169800000</v>
      </c>
      <c r="K1305" s="17">
        <f t="shared" ref="K1305:M1305" si="3914">roundup((XLOOKUP($D1305,$T$3:$T$10,$U$3:$U$10)*XLOOKUP(K$2,$AA$3:$AA$5,$AD$3:$AD$5)-ABS(XLOOKUP($C1305,$Q$3:$Q$16,$R$3:$R$16)))*$B1305,-5)</f>
        <v>67800000</v>
      </c>
      <c r="L1305" s="17">
        <f t="shared" si="3914"/>
        <v>177000000</v>
      </c>
      <c r="M1305" s="17">
        <f t="shared" si="3914"/>
        <v>191900000</v>
      </c>
    </row>
    <row r="1306">
      <c r="A1306" s="14" t="s">
        <v>1350</v>
      </c>
      <c r="B1306" s="14">
        <v>157.0</v>
      </c>
      <c r="C1306" s="15">
        <f t="shared" si="4"/>
        <v>11</v>
      </c>
      <c r="D1306" s="14" t="s">
        <v>33</v>
      </c>
      <c r="E1306" s="16">
        <f t="shared" ref="E1306:G1306" si="3915">ROUNDUP((XLOOKUP($D1306,$T$3:$T$10,$U$3:$U$10)*XLOOKUP(E$2,$AA$3:$AA$5,$AB$3:$AB$5)-ABS(XLOOKUP($C1306,$Q$3:$Q$16,$R$3:$R$16)))*$B1306,-5)</f>
        <v>34100000</v>
      </c>
      <c r="F1306" s="16">
        <f t="shared" si="3915"/>
        <v>60500000</v>
      </c>
      <c r="G1306" s="16">
        <f t="shared" si="3915"/>
        <v>65900000</v>
      </c>
      <c r="H1306" s="17">
        <f t="shared" ref="H1306:J1306" si="3916">roundup((XLOOKUP($D1306,$T$3:$T$10,$U$3:$U$10)*XLOOKUP(H$2,$AA$3:$AA$5,$AC$3:$AC$5)-ABS(XLOOKUP($C1306,$Q$3:$Q$16,$R$3:$R$16)))*$B1306,-5)</f>
        <v>28100000</v>
      </c>
      <c r="I1306" s="17">
        <f t="shared" si="3916"/>
        <v>74800000</v>
      </c>
      <c r="J1306" s="17">
        <f t="shared" si="3916"/>
        <v>81200000</v>
      </c>
      <c r="K1306" s="17">
        <f t="shared" ref="K1306:M1306" si="3917">roundup((XLOOKUP($D1306,$T$3:$T$10,$U$3:$U$10)*XLOOKUP(K$2,$AA$3:$AA$5,$AD$3:$AD$5)-ABS(XLOOKUP($C1306,$Q$3:$Q$16,$R$3:$R$16)))*$B1306,-5)</f>
        <v>33200000</v>
      </c>
      <c r="L1306" s="17">
        <f t="shared" si="3917"/>
        <v>84600000</v>
      </c>
      <c r="M1306" s="17">
        <f t="shared" si="3917"/>
        <v>91600000</v>
      </c>
    </row>
    <row r="1307">
      <c r="A1307" s="14" t="s">
        <v>1351</v>
      </c>
      <c r="B1307" s="14">
        <v>125.0</v>
      </c>
      <c r="C1307" s="15">
        <f t="shared" si="4"/>
        <v>11</v>
      </c>
      <c r="D1307" s="14" t="s">
        <v>36</v>
      </c>
      <c r="E1307" s="16">
        <f t="shared" ref="E1307:G1307" si="3918">ROUNDUP((XLOOKUP($D1307,$T$3:$T$10,$U$3:$U$10)*XLOOKUP(E$2,$AA$3:$AA$5,$AB$3:$AB$5)-ABS(XLOOKUP($C1307,$Q$3:$Q$16,$R$3:$R$16)))*$B1307,-5)</f>
        <v>32800000</v>
      </c>
      <c r="F1307" s="16">
        <f t="shared" si="3918"/>
        <v>56400000</v>
      </c>
      <c r="G1307" s="16">
        <f t="shared" si="3918"/>
        <v>61200000</v>
      </c>
      <c r="H1307" s="17">
        <f t="shared" ref="H1307:J1307" si="3919">roundup((XLOOKUP($D1307,$T$3:$T$10,$U$3:$U$10)*XLOOKUP(H$2,$AA$3:$AA$5,$AC$3:$AC$5)-ABS(XLOOKUP($C1307,$Q$3:$Q$16,$R$3:$R$16)))*$B1307,-5)</f>
        <v>27500000</v>
      </c>
      <c r="I1307" s="17">
        <f t="shared" si="3919"/>
        <v>69200000</v>
      </c>
      <c r="J1307" s="17">
        <f t="shared" si="3919"/>
        <v>74900000</v>
      </c>
      <c r="K1307" s="17">
        <f t="shared" ref="K1307:M1307" si="3920">roundup((XLOOKUP($D1307,$T$3:$T$10,$U$3:$U$10)*XLOOKUP(K$2,$AA$3:$AA$5,$AD$3:$AD$5)-ABS(XLOOKUP($C1307,$Q$3:$Q$16,$R$3:$R$16)))*$B1307,-5)</f>
        <v>32100000</v>
      </c>
      <c r="L1307" s="17">
        <f t="shared" si="3920"/>
        <v>77900000</v>
      </c>
      <c r="M1307" s="17">
        <f t="shared" si="3920"/>
        <v>84100000</v>
      </c>
    </row>
    <row r="1308">
      <c r="A1308" s="14" t="s">
        <v>1352</v>
      </c>
      <c r="B1308" s="14">
        <v>219.0</v>
      </c>
      <c r="C1308" s="15">
        <f t="shared" si="4"/>
        <v>13</v>
      </c>
      <c r="D1308" s="14" t="s">
        <v>33</v>
      </c>
      <c r="E1308" s="16">
        <f t="shared" ref="E1308:G1308" si="3921">ROUNDUP((XLOOKUP($D1308,$T$3:$T$10,$U$3:$U$10)*XLOOKUP(E$2,$AA$3:$AA$5,$AB$3:$AB$5)-ABS(XLOOKUP($C1308,$Q$3:$Q$16,$R$3:$R$16)))*$B1308,-5)</f>
        <v>43100000</v>
      </c>
      <c r="F1308" s="16">
        <f t="shared" si="3921"/>
        <v>79900000</v>
      </c>
      <c r="G1308" s="16">
        <f t="shared" si="3921"/>
        <v>87500000</v>
      </c>
      <c r="H1308" s="17">
        <f t="shared" ref="H1308:J1308" si="3922">roundup((XLOOKUP($D1308,$T$3:$T$10,$U$3:$U$10)*XLOOKUP(H$2,$AA$3:$AA$5,$AC$3:$AC$5)-ABS(XLOOKUP($C1308,$Q$3:$Q$16,$R$3:$R$16)))*$B1308,-5)</f>
        <v>34700000</v>
      </c>
      <c r="I1308" s="17">
        <f t="shared" si="3922"/>
        <v>100000000</v>
      </c>
      <c r="J1308" s="17">
        <f t="shared" si="3922"/>
        <v>108900000</v>
      </c>
      <c r="K1308" s="17">
        <f t="shared" ref="K1308:M1308" si="3923">roundup((XLOOKUP($D1308,$T$3:$T$10,$U$3:$U$10)*XLOOKUP(K$2,$AA$3:$AA$5,$AD$3:$AD$5)-ABS(XLOOKUP($C1308,$Q$3:$Q$16,$R$3:$R$16)))*$B1308,-5)</f>
        <v>42000000</v>
      </c>
      <c r="L1308" s="17">
        <f t="shared" si="3923"/>
        <v>113600000</v>
      </c>
      <c r="M1308" s="17">
        <f t="shared" si="3923"/>
        <v>123300000</v>
      </c>
    </row>
    <row r="1309">
      <c r="A1309" s="14" t="s">
        <v>1353</v>
      </c>
      <c r="B1309" s="14">
        <v>165.0</v>
      </c>
      <c r="C1309" s="15">
        <f t="shared" si="4"/>
        <v>12</v>
      </c>
      <c r="D1309" s="14" t="s">
        <v>36</v>
      </c>
      <c r="E1309" s="16">
        <f t="shared" ref="E1309:G1309" si="3924">ROUNDUP((XLOOKUP($D1309,$T$3:$T$10,$U$3:$U$10)*XLOOKUP(E$2,$AA$3:$AA$5,$AB$3:$AB$5)-ABS(XLOOKUP($C1309,$Q$3:$Q$16,$R$3:$R$16)))*$B1309,-5)</f>
        <v>42500000</v>
      </c>
      <c r="F1309" s="16">
        <f t="shared" si="3924"/>
        <v>73600000</v>
      </c>
      <c r="G1309" s="16">
        <f t="shared" si="3924"/>
        <v>80000000</v>
      </c>
      <c r="H1309" s="17">
        <f t="shared" ref="H1309:J1309" si="3925">roundup((XLOOKUP($D1309,$T$3:$T$10,$U$3:$U$10)*XLOOKUP(H$2,$AA$3:$AA$5,$AC$3:$AC$5)-ABS(XLOOKUP($C1309,$Q$3:$Q$16,$R$3:$R$16)))*$B1309,-5)</f>
        <v>35400000</v>
      </c>
      <c r="I1309" s="17">
        <f t="shared" si="3925"/>
        <v>90500000</v>
      </c>
      <c r="J1309" s="17">
        <f t="shared" si="3925"/>
        <v>98000000</v>
      </c>
      <c r="K1309" s="17">
        <f t="shared" ref="K1309:M1309" si="3926">roundup((XLOOKUP($D1309,$T$3:$T$10,$U$3:$U$10)*XLOOKUP(K$2,$AA$3:$AA$5,$AD$3:$AD$5)-ABS(XLOOKUP($C1309,$Q$3:$Q$16,$R$3:$R$16)))*$B1309,-5)</f>
        <v>41500000</v>
      </c>
      <c r="L1309" s="17">
        <f t="shared" si="3926"/>
        <v>102000000</v>
      </c>
      <c r="M1309" s="17">
        <f t="shared" si="3926"/>
        <v>110200000</v>
      </c>
    </row>
    <row r="1310">
      <c r="A1310" s="14" t="s">
        <v>1354</v>
      </c>
      <c r="B1310" s="14">
        <v>115.0</v>
      </c>
      <c r="C1310" s="15">
        <f t="shared" si="4"/>
        <v>11</v>
      </c>
      <c r="D1310" s="14" t="s">
        <v>36</v>
      </c>
      <c r="E1310" s="16">
        <f t="shared" ref="E1310:G1310" si="3927">ROUNDUP((XLOOKUP($D1310,$T$3:$T$10,$U$3:$U$10)*XLOOKUP(E$2,$AA$3:$AA$5,$AB$3:$AB$5)-ABS(XLOOKUP($C1310,$Q$3:$Q$16,$R$3:$R$16)))*$B1310,-5)</f>
        <v>30200000</v>
      </c>
      <c r="F1310" s="16">
        <f t="shared" si="3927"/>
        <v>51900000</v>
      </c>
      <c r="G1310" s="16">
        <f t="shared" si="3927"/>
        <v>56300000</v>
      </c>
      <c r="H1310" s="17">
        <f t="shared" ref="H1310:J1310" si="3928">roundup((XLOOKUP($D1310,$T$3:$T$10,$U$3:$U$10)*XLOOKUP(H$2,$AA$3:$AA$5,$AC$3:$AC$5)-ABS(XLOOKUP($C1310,$Q$3:$Q$16,$R$3:$R$16)))*$B1310,-5)</f>
        <v>25300000</v>
      </c>
      <c r="I1310" s="17">
        <f t="shared" si="3928"/>
        <v>63700000</v>
      </c>
      <c r="J1310" s="17">
        <f t="shared" si="3928"/>
        <v>68900000</v>
      </c>
      <c r="K1310" s="17">
        <f t="shared" ref="K1310:M1310" si="3929">roundup((XLOOKUP($D1310,$T$3:$T$10,$U$3:$U$10)*XLOOKUP(K$2,$AA$3:$AA$5,$AD$3:$AD$5)-ABS(XLOOKUP($C1310,$Q$3:$Q$16,$R$3:$R$16)))*$B1310,-5)</f>
        <v>29500000</v>
      </c>
      <c r="L1310" s="17">
        <f t="shared" si="3929"/>
        <v>71700000</v>
      </c>
      <c r="M1310" s="17">
        <f t="shared" si="3929"/>
        <v>77400000</v>
      </c>
    </row>
    <row r="1311">
      <c r="A1311" s="14" t="s">
        <v>1355</v>
      </c>
      <c r="B1311" s="14">
        <v>156.0</v>
      </c>
      <c r="C1311" s="15">
        <f t="shared" si="4"/>
        <v>11</v>
      </c>
      <c r="D1311" s="14" t="s">
        <v>33</v>
      </c>
      <c r="E1311" s="16">
        <f t="shared" ref="E1311:G1311" si="3930">ROUNDUP((XLOOKUP($D1311,$T$3:$T$10,$U$3:$U$10)*XLOOKUP(E$2,$AA$3:$AA$5,$AB$3:$AB$5)-ABS(XLOOKUP($C1311,$Q$3:$Q$16,$R$3:$R$16)))*$B1311,-5)</f>
        <v>33900000</v>
      </c>
      <c r="F1311" s="16">
        <f t="shared" si="3930"/>
        <v>60100000</v>
      </c>
      <c r="G1311" s="16">
        <f t="shared" si="3930"/>
        <v>65500000</v>
      </c>
      <c r="H1311" s="17">
        <f t="shared" ref="H1311:J1311" si="3931">roundup((XLOOKUP($D1311,$T$3:$T$10,$U$3:$U$10)*XLOOKUP(H$2,$AA$3:$AA$5,$AC$3:$AC$5)-ABS(XLOOKUP($C1311,$Q$3:$Q$16,$R$3:$R$16)))*$B1311,-5)</f>
        <v>27900000</v>
      </c>
      <c r="I1311" s="17">
        <f t="shared" si="3931"/>
        <v>74400000</v>
      </c>
      <c r="J1311" s="17">
        <f t="shared" si="3931"/>
        <v>80700000</v>
      </c>
      <c r="K1311" s="17">
        <f t="shared" ref="K1311:M1311" si="3932">roundup((XLOOKUP($D1311,$T$3:$T$10,$U$3:$U$10)*XLOOKUP(K$2,$AA$3:$AA$5,$AD$3:$AD$5)-ABS(XLOOKUP($C1311,$Q$3:$Q$16,$R$3:$R$16)))*$B1311,-5)</f>
        <v>33000000</v>
      </c>
      <c r="L1311" s="17">
        <f t="shared" si="3932"/>
        <v>84000000</v>
      </c>
      <c r="M1311" s="17">
        <f t="shared" si="3932"/>
        <v>91000000</v>
      </c>
    </row>
    <row r="1312">
      <c r="A1312" s="14" t="s">
        <v>1356</v>
      </c>
      <c r="B1312" s="14">
        <v>203.0</v>
      </c>
      <c r="C1312" s="15">
        <f t="shared" si="4"/>
        <v>13</v>
      </c>
      <c r="D1312" s="14" t="s">
        <v>36</v>
      </c>
      <c r="E1312" s="16">
        <f t="shared" ref="E1312:G1312" si="3933">ROUNDUP((XLOOKUP($D1312,$T$3:$T$10,$U$3:$U$10)*XLOOKUP(E$2,$AA$3:$AA$5,$AB$3:$AB$5)-ABS(XLOOKUP($C1312,$Q$3:$Q$16,$R$3:$R$16)))*$B1312,-5)</f>
        <v>49200000</v>
      </c>
      <c r="F1312" s="16">
        <f t="shared" si="3933"/>
        <v>87400000</v>
      </c>
      <c r="G1312" s="16">
        <f t="shared" si="3933"/>
        <v>95400000</v>
      </c>
      <c r="H1312" s="17">
        <f t="shared" ref="H1312:J1312" si="3934">roundup((XLOOKUP($D1312,$T$3:$T$10,$U$3:$U$10)*XLOOKUP(H$2,$AA$3:$AA$5,$AC$3:$AC$5)-ABS(XLOOKUP($C1312,$Q$3:$Q$16,$R$3:$R$16)))*$B1312,-5)</f>
        <v>40500000</v>
      </c>
      <c r="I1312" s="17">
        <f t="shared" si="3934"/>
        <v>108300000</v>
      </c>
      <c r="J1312" s="17">
        <f t="shared" si="3934"/>
        <v>117500000</v>
      </c>
      <c r="K1312" s="17">
        <f t="shared" ref="K1312:M1312" si="3935">roundup((XLOOKUP($D1312,$T$3:$T$10,$U$3:$U$10)*XLOOKUP(K$2,$AA$3:$AA$5,$AD$3:$AD$5)-ABS(XLOOKUP($C1312,$Q$3:$Q$16,$R$3:$R$16)))*$B1312,-5)</f>
        <v>48000000</v>
      </c>
      <c r="L1312" s="17">
        <f t="shared" si="3935"/>
        <v>122400000</v>
      </c>
      <c r="M1312" s="17">
        <f t="shared" si="3935"/>
        <v>132500000</v>
      </c>
    </row>
    <row r="1313">
      <c r="A1313" s="14" t="s">
        <v>1357</v>
      </c>
      <c r="B1313" s="14">
        <v>140.0</v>
      </c>
      <c r="C1313" s="15">
        <f t="shared" si="4"/>
        <v>11</v>
      </c>
      <c r="D1313" s="14" t="s">
        <v>36</v>
      </c>
      <c r="E1313" s="16">
        <f t="shared" ref="E1313:G1313" si="3936">ROUNDUP((XLOOKUP($D1313,$T$3:$T$10,$U$3:$U$10)*XLOOKUP(E$2,$AA$3:$AA$5,$AB$3:$AB$5)-ABS(XLOOKUP($C1313,$Q$3:$Q$16,$R$3:$R$16)))*$B1313,-5)</f>
        <v>36800000</v>
      </c>
      <c r="F1313" s="16">
        <f t="shared" si="3936"/>
        <v>63100000</v>
      </c>
      <c r="G1313" s="16">
        <f t="shared" si="3936"/>
        <v>68600000</v>
      </c>
      <c r="H1313" s="17">
        <f t="shared" ref="H1313:J1313" si="3937">roundup((XLOOKUP($D1313,$T$3:$T$10,$U$3:$U$10)*XLOOKUP(H$2,$AA$3:$AA$5,$AC$3:$AC$5)-ABS(XLOOKUP($C1313,$Q$3:$Q$16,$R$3:$R$16)))*$B1313,-5)</f>
        <v>30800000</v>
      </c>
      <c r="I1313" s="17">
        <f t="shared" si="3937"/>
        <v>77500000</v>
      </c>
      <c r="J1313" s="17">
        <f t="shared" si="3937"/>
        <v>83900000</v>
      </c>
      <c r="K1313" s="17">
        <f t="shared" ref="K1313:M1313" si="3938">roundup((XLOOKUP($D1313,$T$3:$T$10,$U$3:$U$10)*XLOOKUP(K$2,$AA$3:$AA$5,$AD$3:$AD$5)-ABS(XLOOKUP($C1313,$Q$3:$Q$16,$R$3:$R$16)))*$B1313,-5)</f>
        <v>35900000</v>
      </c>
      <c r="L1313" s="17">
        <f t="shared" si="3938"/>
        <v>87200000</v>
      </c>
      <c r="M1313" s="17">
        <f t="shared" si="3938"/>
        <v>94200000</v>
      </c>
    </row>
    <row r="1314">
      <c r="A1314" s="14" t="s">
        <v>1358</v>
      </c>
      <c r="B1314" s="14">
        <v>154.0</v>
      </c>
      <c r="C1314" s="15">
        <f t="shared" si="4"/>
        <v>11</v>
      </c>
      <c r="D1314" s="14" t="s">
        <v>36</v>
      </c>
      <c r="E1314" s="16">
        <f t="shared" ref="E1314:G1314" si="3939">ROUNDUP((XLOOKUP($D1314,$T$3:$T$10,$U$3:$U$10)*XLOOKUP(E$2,$AA$3:$AA$5,$AB$3:$AB$5)-ABS(XLOOKUP($C1314,$Q$3:$Q$16,$R$3:$R$16)))*$B1314,-5)</f>
        <v>40400000</v>
      </c>
      <c r="F1314" s="16">
        <f t="shared" si="3939"/>
        <v>69400000</v>
      </c>
      <c r="G1314" s="16">
        <f t="shared" si="3939"/>
        <v>75400000</v>
      </c>
      <c r="H1314" s="17">
        <f t="shared" ref="H1314:J1314" si="3940">roundup((XLOOKUP($D1314,$T$3:$T$10,$U$3:$U$10)*XLOOKUP(H$2,$AA$3:$AA$5,$AC$3:$AC$5)-ABS(XLOOKUP($C1314,$Q$3:$Q$16,$R$3:$R$16)))*$B1314,-5)</f>
        <v>33800000</v>
      </c>
      <c r="I1314" s="17">
        <f t="shared" si="3940"/>
        <v>85200000</v>
      </c>
      <c r="J1314" s="17">
        <f t="shared" si="3940"/>
        <v>92200000</v>
      </c>
      <c r="K1314" s="17">
        <f t="shared" ref="K1314:M1314" si="3941">roundup((XLOOKUP($D1314,$T$3:$T$10,$U$3:$U$10)*XLOOKUP(K$2,$AA$3:$AA$5,$AD$3:$AD$5)-ABS(XLOOKUP($C1314,$Q$3:$Q$16,$R$3:$R$16)))*$B1314,-5)</f>
        <v>39500000</v>
      </c>
      <c r="L1314" s="17">
        <f t="shared" si="3941"/>
        <v>95900000</v>
      </c>
      <c r="M1314" s="17">
        <f t="shared" si="3941"/>
        <v>103600000</v>
      </c>
    </row>
    <row r="1315">
      <c r="A1315" s="14" t="s">
        <v>1359</v>
      </c>
      <c r="B1315" s="14">
        <v>139.0</v>
      </c>
      <c r="C1315" s="15">
        <f t="shared" si="4"/>
        <v>11</v>
      </c>
      <c r="D1315" s="14" t="s">
        <v>36</v>
      </c>
      <c r="E1315" s="16">
        <f t="shared" ref="E1315:G1315" si="3942">ROUNDUP((XLOOKUP($D1315,$T$3:$T$10,$U$3:$U$10)*XLOOKUP(E$2,$AA$3:$AA$5,$AB$3:$AB$5)-ABS(XLOOKUP($C1315,$Q$3:$Q$16,$R$3:$R$16)))*$B1315,-5)</f>
        <v>36500000</v>
      </c>
      <c r="F1315" s="16">
        <f t="shared" si="3942"/>
        <v>62700000</v>
      </c>
      <c r="G1315" s="16">
        <f t="shared" si="3942"/>
        <v>68100000</v>
      </c>
      <c r="H1315" s="17">
        <f t="shared" ref="H1315:J1315" si="3943">roundup((XLOOKUP($D1315,$T$3:$T$10,$U$3:$U$10)*XLOOKUP(H$2,$AA$3:$AA$5,$AC$3:$AC$5)-ABS(XLOOKUP($C1315,$Q$3:$Q$16,$R$3:$R$16)))*$B1315,-5)</f>
        <v>30500000</v>
      </c>
      <c r="I1315" s="17">
        <f t="shared" si="3943"/>
        <v>76900000</v>
      </c>
      <c r="J1315" s="17">
        <f t="shared" si="3943"/>
        <v>83300000</v>
      </c>
      <c r="K1315" s="17">
        <f t="shared" ref="K1315:M1315" si="3944">roundup((XLOOKUP($D1315,$T$3:$T$10,$U$3:$U$10)*XLOOKUP(K$2,$AA$3:$AA$5,$AD$3:$AD$5)-ABS(XLOOKUP($C1315,$Q$3:$Q$16,$R$3:$R$16)))*$B1315,-5)</f>
        <v>35700000</v>
      </c>
      <c r="L1315" s="17">
        <f t="shared" si="3944"/>
        <v>86600000</v>
      </c>
      <c r="M1315" s="17">
        <f t="shared" si="3944"/>
        <v>93500000</v>
      </c>
    </row>
    <row r="1316">
      <c r="A1316" s="14" t="s">
        <v>1360</v>
      </c>
      <c r="B1316" s="14">
        <v>166.0</v>
      </c>
      <c r="C1316" s="15">
        <f t="shared" si="4"/>
        <v>12</v>
      </c>
      <c r="D1316" s="14" t="s">
        <v>36</v>
      </c>
      <c r="E1316" s="16">
        <f t="shared" ref="E1316:G1316" si="3945">ROUNDUP((XLOOKUP($D1316,$T$3:$T$10,$U$3:$U$10)*XLOOKUP(E$2,$AA$3:$AA$5,$AB$3:$AB$5)-ABS(XLOOKUP($C1316,$Q$3:$Q$16,$R$3:$R$16)))*$B1316,-5)</f>
        <v>42700000</v>
      </c>
      <c r="F1316" s="16">
        <f t="shared" si="3945"/>
        <v>74000000</v>
      </c>
      <c r="G1316" s="16">
        <f t="shared" si="3945"/>
        <v>80500000</v>
      </c>
      <c r="H1316" s="17">
        <f t="shared" ref="H1316:J1316" si="3946">roundup((XLOOKUP($D1316,$T$3:$T$10,$U$3:$U$10)*XLOOKUP(H$2,$AA$3:$AA$5,$AC$3:$AC$5)-ABS(XLOOKUP($C1316,$Q$3:$Q$16,$R$3:$R$16)))*$B1316,-5)</f>
        <v>35600000</v>
      </c>
      <c r="I1316" s="17">
        <f t="shared" si="3946"/>
        <v>91000000</v>
      </c>
      <c r="J1316" s="17">
        <f t="shared" si="3946"/>
        <v>98600000</v>
      </c>
      <c r="K1316" s="17">
        <f t="shared" ref="K1316:M1316" si="3947">roundup((XLOOKUP($D1316,$T$3:$T$10,$U$3:$U$10)*XLOOKUP(K$2,$AA$3:$AA$5,$AD$3:$AD$5)-ABS(XLOOKUP($C1316,$Q$3:$Q$16,$R$3:$R$16)))*$B1316,-5)</f>
        <v>41800000</v>
      </c>
      <c r="L1316" s="17">
        <f t="shared" si="3947"/>
        <v>102600000</v>
      </c>
      <c r="M1316" s="17">
        <f t="shared" si="3947"/>
        <v>110900000</v>
      </c>
    </row>
    <row r="1317">
      <c r="A1317" s="14" t="s">
        <v>1361</v>
      </c>
      <c r="B1317" s="14">
        <v>165.0</v>
      </c>
      <c r="C1317" s="15">
        <f t="shared" si="4"/>
        <v>12</v>
      </c>
      <c r="D1317" s="14" t="s">
        <v>33</v>
      </c>
      <c r="E1317" s="16">
        <f t="shared" ref="E1317:G1317" si="3948">ROUNDUP((XLOOKUP($D1317,$T$3:$T$10,$U$3:$U$10)*XLOOKUP(E$2,$AA$3:$AA$5,$AB$3:$AB$5)-ABS(XLOOKUP($C1317,$Q$3:$Q$16,$R$3:$R$16)))*$B1317,-5)</f>
        <v>35000000</v>
      </c>
      <c r="F1317" s="16">
        <f t="shared" si="3948"/>
        <v>62700000</v>
      </c>
      <c r="G1317" s="16">
        <f t="shared" si="3948"/>
        <v>68400000</v>
      </c>
      <c r="H1317" s="17">
        <f t="shared" ref="H1317:J1317" si="3949">roundup((XLOOKUP($D1317,$T$3:$T$10,$U$3:$U$10)*XLOOKUP(H$2,$AA$3:$AA$5,$AC$3:$AC$5)-ABS(XLOOKUP($C1317,$Q$3:$Q$16,$R$3:$R$16)))*$B1317,-5)</f>
        <v>28700000</v>
      </c>
      <c r="I1317" s="17">
        <f t="shared" si="3949"/>
        <v>77800000</v>
      </c>
      <c r="J1317" s="17">
        <f t="shared" si="3949"/>
        <v>84500000</v>
      </c>
      <c r="K1317" s="17">
        <f t="shared" ref="K1317:M1317" si="3950">roundup((XLOOKUP($D1317,$T$3:$T$10,$U$3:$U$10)*XLOOKUP(K$2,$AA$3:$AA$5,$AD$3:$AD$5)-ABS(XLOOKUP($C1317,$Q$3:$Q$16,$R$3:$R$16)))*$B1317,-5)</f>
        <v>34100000</v>
      </c>
      <c r="L1317" s="17">
        <f t="shared" si="3950"/>
        <v>88000000</v>
      </c>
      <c r="M1317" s="17">
        <f t="shared" si="3950"/>
        <v>95400000</v>
      </c>
    </row>
    <row r="1318">
      <c r="A1318" s="14" t="s">
        <v>1362</v>
      </c>
      <c r="B1318" s="14">
        <v>219.0</v>
      </c>
      <c r="C1318" s="15">
        <f t="shared" si="4"/>
        <v>13</v>
      </c>
      <c r="D1318" s="14" t="s">
        <v>36</v>
      </c>
      <c r="E1318" s="16">
        <f t="shared" ref="E1318:G1318" si="3951">ROUNDUP((XLOOKUP($D1318,$T$3:$T$10,$U$3:$U$10)*XLOOKUP(E$2,$AA$3:$AA$5,$AB$3:$AB$5)-ABS(XLOOKUP($C1318,$Q$3:$Q$16,$R$3:$R$16)))*$B1318,-5)</f>
        <v>53100000</v>
      </c>
      <c r="F1318" s="16">
        <f t="shared" si="3951"/>
        <v>94300000</v>
      </c>
      <c r="G1318" s="16">
        <f t="shared" si="3951"/>
        <v>102900000</v>
      </c>
      <c r="H1318" s="17">
        <f t="shared" ref="H1318:J1318" si="3952">roundup((XLOOKUP($D1318,$T$3:$T$10,$U$3:$U$10)*XLOOKUP(H$2,$AA$3:$AA$5,$AC$3:$AC$5)-ABS(XLOOKUP($C1318,$Q$3:$Q$16,$R$3:$R$16)))*$B1318,-5)</f>
        <v>43700000</v>
      </c>
      <c r="I1318" s="17">
        <f t="shared" si="3952"/>
        <v>116800000</v>
      </c>
      <c r="J1318" s="17">
        <f t="shared" si="3952"/>
        <v>126800000</v>
      </c>
      <c r="K1318" s="17">
        <f t="shared" ref="K1318:M1318" si="3953">roundup((XLOOKUP($D1318,$T$3:$T$10,$U$3:$U$10)*XLOOKUP(K$2,$AA$3:$AA$5,$AD$3:$AD$5)-ABS(XLOOKUP($C1318,$Q$3:$Q$16,$R$3:$R$16)))*$B1318,-5)</f>
        <v>51800000</v>
      </c>
      <c r="L1318" s="17">
        <f t="shared" si="3953"/>
        <v>132000000</v>
      </c>
      <c r="M1318" s="17">
        <f t="shared" si="3953"/>
        <v>143000000</v>
      </c>
    </row>
    <row r="1319">
      <c r="A1319" s="14" t="s">
        <v>1363</v>
      </c>
      <c r="B1319" s="14">
        <v>192.0</v>
      </c>
      <c r="C1319" s="15">
        <f t="shared" si="4"/>
        <v>13</v>
      </c>
      <c r="D1319" s="14" t="s">
        <v>36</v>
      </c>
      <c r="E1319" s="16">
        <f t="shared" ref="E1319:G1319" si="3954">ROUNDUP((XLOOKUP($D1319,$T$3:$T$10,$U$3:$U$10)*XLOOKUP(E$2,$AA$3:$AA$5,$AB$3:$AB$5)-ABS(XLOOKUP($C1319,$Q$3:$Q$16,$R$3:$R$16)))*$B1319,-5)</f>
        <v>46500000</v>
      </c>
      <c r="F1319" s="16">
        <f t="shared" si="3954"/>
        <v>82700000</v>
      </c>
      <c r="G1319" s="16">
        <f t="shared" si="3954"/>
        <v>90200000</v>
      </c>
      <c r="H1319" s="17">
        <f t="shared" ref="H1319:J1319" si="3955">roundup((XLOOKUP($D1319,$T$3:$T$10,$U$3:$U$10)*XLOOKUP(H$2,$AA$3:$AA$5,$AC$3:$AC$5)-ABS(XLOOKUP($C1319,$Q$3:$Q$16,$R$3:$R$16)))*$B1319,-5)</f>
        <v>38300000</v>
      </c>
      <c r="I1319" s="17">
        <f t="shared" si="3955"/>
        <v>102400000</v>
      </c>
      <c r="J1319" s="17">
        <f t="shared" si="3955"/>
        <v>111100000</v>
      </c>
      <c r="K1319" s="17">
        <f t="shared" ref="K1319:M1319" si="3956">roundup((XLOOKUP($D1319,$T$3:$T$10,$U$3:$U$10)*XLOOKUP(K$2,$AA$3:$AA$5,$AD$3:$AD$5)-ABS(XLOOKUP($C1319,$Q$3:$Q$16,$R$3:$R$16)))*$B1319,-5)</f>
        <v>45400000</v>
      </c>
      <c r="L1319" s="17">
        <f t="shared" si="3956"/>
        <v>115800000</v>
      </c>
      <c r="M1319" s="17">
        <f t="shared" si="3956"/>
        <v>125400000</v>
      </c>
    </row>
    <row r="1320">
      <c r="A1320" s="14" t="s">
        <v>1364</v>
      </c>
      <c r="B1320" s="14">
        <v>150.0</v>
      </c>
      <c r="C1320" s="15">
        <f t="shared" si="4"/>
        <v>11</v>
      </c>
      <c r="D1320" s="14" t="s">
        <v>33</v>
      </c>
      <c r="E1320" s="16">
        <f t="shared" ref="E1320:G1320" si="3957">ROUNDUP((XLOOKUP($D1320,$T$3:$T$10,$U$3:$U$10)*XLOOKUP(E$2,$AA$3:$AA$5,$AB$3:$AB$5)-ABS(XLOOKUP($C1320,$Q$3:$Q$16,$R$3:$R$16)))*$B1320,-5)</f>
        <v>32600000</v>
      </c>
      <c r="F1320" s="16">
        <f t="shared" si="3957"/>
        <v>57800000</v>
      </c>
      <c r="G1320" s="16">
        <f t="shared" si="3957"/>
        <v>63000000</v>
      </c>
      <c r="H1320" s="17">
        <f t="shared" ref="H1320:J1320" si="3958">roundup((XLOOKUP($D1320,$T$3:$T$10,$U$3:$U$10)*XLOOKUP(H$2,$AA$3:$AA$5,$AC$3:$AC$5)-ABS(XLOOKUP($C1320,$Q$3:$Q$16,$R$3:$R$16)))*$B1320,-5)</f>
        <v>26800000</v>
      </c>
      <c r="I1320" s="17">
        <f t="shared" si="3958"/>
        <v>71500000</v>
      </c>
      <c r="J1320" s="17">
        <f t="shared" si="3958"/>
        <v>77600000</v>
      </c>
      <c r="K1320" s="17">
        <f t="shared" ref="K1320:M1320" si="3959">roundup((XLOOKUP($D1320,$T$3:$T$10,$U$3:$U$10)*XLOOKUP(K$2,$AA$3:$AA$5,$AD$3:$AD$5)-ABS(XLOOKUP($C1320,$Q$3:$Q$16,$R$3:$R$16)))*$B1320,-5)</f>
        <v>31800000</v>
      </c>
      <c r="L1320" s="17">
        <f t="shared" si="3959"/>
        <v>80800000</v>
      </c>
      <c r="M1320" s="17">
        <f t="shared" si="3959"/>
        <v>87500000</v>
      </c>
    </row>
    <row r="1321">
      <c r="A1321" s="14" t="s">
        <v>1365</v>
      </c>
      <c r="B1321" s="14">
        <v>163.0</v>
      </c>
      <c r="C1321" s="15">
        <f t="shared" si="4"/>
        <v>12</v>
      </c>
      <c r="D1321" s="14" t="s">
        <v>36</v>
      </c>
      <c r="E1321" s="16">
        <f t="shared" ref="E1321:G1321" si="3960">ROUNDUP((XLOOKUP($D1321,$T$3:$T$10,$U$3:$U$10)*XLOOKUP(E$2,$AA$3:$AA$5,$AB$3:$AB$5)-ABS(XLOOKUP($C1321,$Q$3:$Q$16,$R$3:$R$16)))*$B1321,-5)</f>
        <v>42000000</v>
      </c>
      <c r="F1321" s="16">
        <f t="shared" si="3960"/>
        <v>72700000</v>
      </c>
      <c r="G1321" s="16">
        <f t="shared" si="3960"/>
        <v>79000000</v>
      </c>
      <c r="H1321" s="17">
        <f t="shared" ref="H1321:J1321" si="3961">roundup((XLOOKUP($D1321,$T$3:$T$10,$U$3:$U$10)*XLOOKUP(H$2,$AA$3:$AA$5,$AC$3:$AC$5)-ABS(XLOOKUP($C1321,$Q$3:$Q$16,$R$3:$R$16)))*$B1321,-5)</f>
        <v>35000000</v>
      </c>
      <c r="I1321" s="17">
        <f t="shared" si="3961"/>
        <v>89400000</v>
      </c>
      <c r="J1321" s="17">
        <f t="shared" si="3961"/>
        <v>96800000</v>
      </c>
      <c r="K1321" s="17">
        <f t="shared" ref="K1321:M1321" si="3962">roundup((XLOOKUP($D1321,$T$3:$T$10,$U$3:$U$10)*XLOOKUP(K$2,$AA$3:$AA$5,$AD$3:$AD$5)-ABS(XLOOKUP($C1321,$Q$3:$Q$16,$R$3:$R$16)))*$B1321,-5)</f>
        <v>41000000</v>
      </c>
      <c r="L1321" s="17">
        <f t="shared" si="3962"/>
        <v>100700000</v>
      </c>
      <c r="M1321" s="17">
        <f t="shared" si="3962"/>
        <v>108900000</v>
      </c>
    </row>
    <row r="1322">
      <c r="A1322" s="14" t="s">
        <v>1366</v>
      </c>
      <c r="B1322" s="14">
        <v>116.0</v>
      </c>
      <c r="C1322" s="15">
        <f t="shared" si="4"/>
        <v>11</v>
      </c>
      <c r="D1322" s="14" t="s">
        <v>36</v>
      </c>
      <c r="E1322" s="16">
        <f t="shared" ref="E1322:G1322" si="3963">ROUNDUP((XLOOKUP($D1322,$T$3:$T$10,$U$3:$U$10)*XLOOKUP(E$2,$AA$3:$AA$5,$AB$3:$AB$5)-ABS(XLOOKUP($C1322,$Q$3:$Q$16,$R$3:$R$16)))*$B1322,-5)</f>
        <v>30500000</v>
      </c>
      <c r="F1322" s="16">
        <f t="shared" si="3963"/>
        <v>52300000</v>
      </c>
      <c r="G1322" s="16">
        <f t="shared" si="3963"/>
        <v>56800000</v>
      </c>
      <c r="H1322" s="17">
        <f t="shared" ref="H1322:J1322" si="3964">roundup((XLOOKUP($D1322,$T$3:$T$10,$U$3:$U$10)*XLOOKUP(H$2,$AA$3:$AA$5,$AC$3:$AC$5)-ABS(XLOOKUP($C1322,$Q$3:$Q$16,$R$3:$R$16)))*$B1322,-5)</f>
        <v>25500000</v>
      </c>
      <c r="I1322" s="17">
        <f t="shared" si="3964"/>
        <v>64200000</v>
      </c>
      <c r="J1322" s="17">
        <f t="shared" si="3964"/>
        <v>69500000</v>
      </c>
      <c r="K1322" s="17">
        <f t="shared" ref="K1322:M1322" si="3965">roundup((XLOOKUP($D1322,$T$3:$T$10,$U$3:$U$10)*XLOOKUP(K$2,$AA$3:$AA$5,$AD$3:$AD$5)-ABS(XLOOKUP($C1322,$Q$3:$Q$16,$R$3:$R$16)))*$B1322,-5)</f>
        <v>29800000</v>
      </c>
      <c r="L1322" s="17">
        <f t="shared" si="3965"/>
        <v>72300000</v>
      </c>
      <c r="M1322" s="17">
        <f t="shared" si="3965"/>
        <v>78100000</v>
      </c>
    </row>
    <row r="1323">
      <c r="A1323" s="14" t="s">
        <v>1367</v>
      </c>
      <c r="B1323" s="14">
        <v>75.0</v>
      </c>
      <c r="C1323" s="15">
        <f t="shared" si="4"/>
        <v>9</v>
      </c>
      <c r="D1323" s="14" t="s">
        <v>33</v>
      </c>
      <c r="E1323" s="16">
        <f t="shared" ref="E1323:G1323" si="3966">ROUNDUP((XLOOKUP($D1323,$T$3:$T$10,$U$3:$U$10)*XLOOKUP(E$2,$AA$3:$AA$5,$AB$3:$AB$5)-ABS(XLOOKUP($C1323,$Q$3:$Q$16,$R$3:$R$16)))*$B1323,-5)</f>
        <v>23100000</v>
      </c>
      <c r="F1323" s="16">
        <f t="shared" si="3966"/>
        <v>35700000</v>
      </c>
      <c r="G1323" s="16">
        <f t="shared" si="3966"/>
        <v>38300000</v>
      </c>
      <c r="H1323" s="17">
        <f t="shared" ref="H1323:J1323" si="3967">roundup((XLOOKUP($D1323,$T$3:$T$10,$U$3:$U$10)*XLOOKUP(H$2,$AA$3:$AA$5,$AC$3:$AC$5)-ABS(XLOOKUP($C1323,$Q$3:$Q$16,$R$3:$R$16)))*$B1323,-5)</f>
        <v>20300000</v>
      </c>
      <c r="I1323" s="17">
        <f t="shared" si="3967"/>
        <v>42600000</v>
      </c>
      <c r="J1323" s="17">
        <f t="shared" si="3967"/>
        <v>45600000</v>
      </c>
      <c r="K1323" s="17">
        <f t="shared" ref="K1323:M1323" si="3968">roundup((XLOOKUP($D1323,$T$3:$T$10,$U$3:$U$10)*XLOOKUP(K$2,$AA$3:$AA$5,$AD$3:$AD$5)-ABS(XLOOKUP($C1323,$Q$3:$Q$16,$R$3:$R$16)))*$B1323,-5)</f>
        <v>22700000</v>
      </c>
      <c r="L1323" s="17">
        <f t="shared" si="3968"/>
        <v>47200000</v>
      </c>
      <c r="M1323" s="17">
        <f t="shared" si="3968"/>
        <v>50600000</v>
      </c>
    </row>
    <row r="1324">
      <c r="A1324" s="14" t="s">
        <v>1368</v>
      </c>
      <c r="B1324" s="14">
        <v>138.0</v>
      </c>
      <c r="C1324" s="15">
        <f t="shared" si="4"/>
        <v>11</v>
      </c>
      <c r="D1324" s="14" t="s">
        <v>33</v>
      </c>
      <c r="E1324" s="16">
        <f t="shared" ref="E1324:G1324" si="3969">ROUNDUP((XLOOKUP($D1324,$T$3:$T$10,$U$3:$U$10)*XLOOKUP(E$2,$AA$3:$AA$5,$AB$3:$AB$5)-ABS(XLOOKUP($C1324,$Q$3:$Q$16,$R$3:$R$16)))*$B1324,-5)</f>
        <v>30000000</v>
      </c>
      <c r="F1324" s="16">
        <f t="shared" si="3969"/>
        <v>53100000</v>
      </c>
      <c r="G1324" s="16">
        <f t="shared" si="3969"/>
        <v>57900000</v>
      </c>
      <c r="H1324" s="17">
        <f t="shared" ref="H1324:J1324" si="3970">roundup((XLOOKUP($D1324,$T$3:$T$10,$U$3:$U$10)*XLOOKUP(H$2,$AA$3:$AA$5,$AC$3:$AC$5)-ABS(XLOOKUP($C1324,$Q$3:$Q$16,$R$3:$R$16)))*$B1324,-5)</f>
        <v>24700000</v>
      </c>
      <c r="I1324" s="17">
        <f t="shared" si="3970"/>
        <v>65800000</v>
      </c>
      <c r="J1324" s="17">
        <f t="shared" si="3970"/>
        <v>71400000</v>
      </c>
      <c r="K1324" s="17">
        <f t="shared" ref="K1324:M1324" si="3971">roundup((XLOOKUP($D1324,$T$3:$T$10,$U$3:$U$10)*XLOOKUP(K$2,$AA$3:$AA$5,$AD$3:$AD$5)-ABS(XLOOKUP($C1324,$Q$3:$Q$16,$R$3:$R$16)))*$B1324,-5)</f>
        <v>29200000</v>
      </c>
      <c r="L1324" s="17">
        <f t="shared" si="3971"/>
        <v>74300000</v>
      </c>
      <c r="M1324" s="17">
        <f t="shared" si="3971"/>
        <v>80500000</v>
      </c>
    </row>
    <row r="1325">
      <c r="A1325" s="14" t="s">
        <v>1369</v>
      </c>
      <c r="B1325" s="14">
        <v>174.0</v>
      </c>
      <c r="C1325" s="15">
        <f t="shared" si="4"/>
        <v>12</v>
      </c>
      <c r="D1325" s="14" t="s">
        <v>33</v>
      </c>
      <c r="E1325" s="16">
        <f t="shared" ref="E1325:G1325" si="3972">ROUNDUP((XLOOKUP($D1325,$T$3:$T$10,$U$3:$U$10)*XLOOKUP(E$2,$AA$3:$AA$5,$AB$3:$AB$5)-ABS(XLOOKUP($C1325,$Q$3:$Q$16,$R$3:$R$16)))*$B1325,-5)</f>
        <v>36900000</v>
      </c>
      <c r="F1325" s="16">
        <f t="shared" si="3972"/>
        <v>66100000</v>
      </c>
      <c r="G1325" s="16">
        <f t="shared" si="3972"/>
        <v>72200000</v>
      </c>
      <c r="H1325" s="17">
        <f t="shared" ref="H1325:J1325" si="3973">roundup((XLOOKUP($D1325,$T$3:$T$10,$U$3:$U$10)*XLOOKUP(H$2,$AA$3:$AA$5,$AC$3:$AC$5)-ABS(XLOOKUP($C1325,$Q$3:$Q$16,$R$3:$R$16)))*$B1325,-5)</f>
        <v>30200000</v>
      </c>
      <c r="I1325" s="17">
        <f t="shared" si="3973"/>
        <v>82100000</v>
      </c>
      <c r="J1325" s="17">
        <f t="shared" si="3973"/>
        <v>89100000</v>
      </c>
      <c r="K1325" s="17">
        <f t="shared" ref="K1325:M1325" si="3974">roundup((XLOOKUP($D1325,$T$3:$T$10,$U$3:$U$10)*XLOOKUP(K$2,$AA$3:$AA$5,$AD$3:$AD$5)-ABS(XLOOKUP($C1325,$Q$3:$Q$16,$R$3:$R$16)))*$B1325,-5)</f>
        <v>36000000</v>
      </c>
      <c r="L1325" s="17">
        <f t="shared" si="3974"/>
        <v>92800000</v>
      </c>
      <c r="M1325" s="17">
        <f t="shared" si="3974"/>
        <v>100600000</v>
      </c>
    </row>
    <row r="1326">
      <c r="A1326" s="14" t="s">
        <v>1370</v>
      </c>
      <c r="B1326" s="14">
        <v>135.0</v>
      </c>
      <c r="C1326" s="15">
        <f t="shared" si="4"/>
        <v>11</v>
      </c>
      <c r="D1326" s="14" t="s">
        <v>33</v>
      </c>
      <c r="E1326" s="16">
        <f t="shared" ref="E1326:G1326" si="3975">ROUNDUP((XLOOKUP($D1326,$T$3:$T$10,$U$3:$U$10)*XLOOKUP(E$2,$AA$3:$AA$5,$AB$3:$AB$5)-ABS(XLOOKUP($C1326,$Q$3:$Q$16,$R$3:$R$16)))*$B1326,-5)</f>
        <v>29300000</v>
      </c>
      <c r="F1326" s="16">
        <f t="shared" si="3975"/>
        <v>52000000</v>
      </c>
      <c r="G1326" s="16">
        <f t="shared" si="3975"/>
        <v>56700000</v>
      </c>
      <c r="H1326" s="17">
        <f t="shared" ref="H1326:J1326" si="3976">roundup((XLOOKUP($D1326,$T$3:$T$10,$U$3:$U$10)*XLOOKUP(H$2,$AA$3:$AA$5,$AC$3:$AC$5)-ABS(XLOOKUP($C1326,$Q$3:$Q$16,$R$3:$R$16)))*$B1326,-5)</f>
        <v>24100000</v>
      </c>
      <c r="I1326" s="17">
        <f t="shared" si="3976"/>
        <v>64300000</v>
      </c>
      <c r="J1326" s="17">
        <f t="shared" si="3976"/>
        <v>69800000</v>
      </c>
      <c r="K1326" s="17">
        <f t="shared" ref="K1326:M1326" si="3977">roundup((XLOOKUP($D1326,$T$3:$T$10,$U$3:$U$10)*XLOOKUP(K$2,$AA$3:$AA$5,$AD$3:$AD$5)-ABS(XLOOKUP($C1326,$Q$3:$Q$16,$R$3:$R$16)))*$B1326,-5)</f>
        <v>28600000</v>
      </c>
      <c r="L1326" s="17">
        <f t="shared" si="3977"/>
        <v>72700000</v>
      </c>
      <c r="M1326" s="17">
        <f t="shared" si="3977"/>
        <v>78700000</v>
      </c>
    </row>
    <row r="1327">
      <c r="A1327" s="14" t="s">
        <v>1371</v>
      </c>
      <c r="B1327" s="14">
        <v>138.0</v>
      </c>
      <c r="C1327" s="15">
        <f t="shared" si="4"/>
        <v>11</v>
      </c>
      <c r="D1327" s="14" t="s">
        <v>33</v>
      </c>
      <c r="E1327" s="16">
        <f t="shared" ref="E1327:G1327" si="3978">ROUNDUP((XLOOKUP($D1327,$T$3:$T$10,$U$3:$U$10)*XLOOKUP(E$2,$AA$3:$AA$5,$AB$3:$AB$5)-ABS(XLOOKUP($C1327,$Q$3:$Q$16,$R$3:$R$16)))*$B1327,-5)</f>
        <v>30000000</v>
      </c>
      <c r="F1327" s="16">
        <f t="shared" si="3978"/>
        <v>53100000</v>
      </c>
      <c r="G1327" s="16">
        <f t="shared" si="3978"/>
        <v>57900000</v>
      </c>
      <c r="H1327" s="17">
        <f t="shared" ref="H1327:J1327" si="3979">roundup((XLOOKUP($D1327,$T$3:$T$10,$U$3:$U$10)*XLOOKUP(H$2,$AA$3:$AA$5,$AC$3:$AC$5)-ABS(XLOOKUP($C1327,$Q$3:$Q$16,$R$3:$R$16)))*$B1327,-5)</f>
        <v>24700000</v>
      </c>
      <c r="I1327" s="17">
        <f t="shared" si="3979"/>
        <v>65800000</v>
      </c>
      <c r="J1327" s="17">
        <f t="shared" si="3979"/>
        <v>71400000</v>
      </c>
      <c r="K1327" s="17">
        <f t="shared" ref="K1327:M1327" si="3980">roundup((XLOOKUP($D1327,$T$3:$T$10,$U$3:$U$10)*XLOOKUP(K$2,$AA$3:$AA$5,$AD$3:$AD$5)-ABS(XLOOKUP($C1327,$Q$3:$Q$16,$R$3:$R$16)))*$B1327,-5)</f>
        <v>29200000</v>
      </c>
      <c r="L1327" s="17">
        <f t="shared" si="3980"/>
        <v>74300000</v>
      </c>
      <c r="M1327" s="17">
        <f t="shared" si="3980"/>
        <v>80500000</v>
      </c>
    </row>
    <row r="1328">
      <c r="A1328" s="14" t="s">
        <v>1372</v>
      </c>
      <c r="B1328" s="14">
        <v>204.0</v>
      </c>
      <c r="C1328" s="15">
        <f t="shared" si="4"/>
        <v>13</v>
      </c>
      <c r="D1328" s="14" t="s">
        <v>36</v>
      </c>
      <c r="E1328" s="16">
        <f t="shared" ref="E1328:G1328" si="3981">ROUNDUP((XLOOKUP($D1328,$T$3:$T$10,$U$3:$U$10)*XLOOKUP(E$2,$AA$3:$AA$5,$AB$3:$AB$5)-ABS(XLOOKUP($C1328,$Q$3:$Q$16,$R$3:$R$16)))*$B1328,-5)</f>
        <v>49500000</v>
      </c>
      <c r="F1328" s="16">
        <f t="shared" si="3981"/>
        <v>87900000</v>
      </c>
      <c r="G1328" s="16">
        <f t="shared" si="3981"/>
        <v>95800000</v>
      </c>
      <c r="H1328" s="17">
        <f t="shared" ref="H1328:J1328" si="3982">roundup((XLOOKUP($D1328,$T$3:$T$10,$U$3:$U$10)*XLOOKUP(H$2,$AA$3:$AA$5,$AC$3:$AC$5)-ABS(XLOOKUP($C1328,$Q$3:$Q$16,$R$3:$R$16)))*$B1328,-5)</f>
        <v>40700000</v>
      </c>
      <c r="I1328" s="17">
        <f t="shared" si="3982"/>
        <v>108800000</v>
      </c>
      <c r="J1328" s="17">
        <f t="shared" si="3982"/>
        <v>118100000</v>
      </c>
      <c r="K1328" s="17">
        <f t="shared" ref="K1328:M1328" si="3983">roundup((XLOOKUP($D1328,$T$3:$T$10,$U$3:$U$10)*XLOOKUP(K$2,$AA$3:$AA$5,$AD$3:$AD$5)-ABS(XLOOKUP($C1328,$Q$3:$Q$16,$R$3:$R$16)))*$B1328,-5)</f>
        <v>48300000</v>
      </c>
      <c r="L1328" s="17">
        <f t="shared" si="3983"/>
        <v>123000000</v>
      </c>
      <c r="M1328" s="17">
        <f t="shared" si="3983"/>
        <v>133200000</v>
      </c>
    </row>
    <row r="1329">
      <c r="A1329" s="14" t="s">
        <v>1373</v>
      </c>
      <c r="B1329" s="14">
        <v>129.0</v>
      </c>
      <c r="C1329" s="15">
        <f t="shared" si="4"/>
        <v>11</v>
      </c>
      <c r="D1329" s="14" t="s">
        <v>33</v>
      </c>
      <c r="E1329" s="16">
        <f t="shared" ref="E1329:G1329" si="3984">ROUNDUP((XLOOKUP($D1329,$T$3:$T$10,$U$3:$U$10)*XLOOKUP(E$2,$AA$3:$AA$5,$AB$3:$AB$5)-ABS(XLOOKUP($C1329,$Q$3:$Q$16,$R$3:$R$16)))*$B1329,-5)</f>
        <v>28000000</v>
      </c>
      <c r="F1329" s="16">
        <f t="shared" si="3984"/>
        <v>49700000</v>
      </c>
      <c r="G1329" s="16">
        <f t="shared" si="3984"/>
        <v>54200000</v>
      </c>
      <c r="H1329" s="17">
        <f t="shared" ref="H1329:J1329" si="3985">roundup((XLOOKUP($D1329,$T$3:$T$10,$U$3:$U$10)*XLOOKUP(H$2,$AA$3:$AA$5,$AC$3:$AC$5)-ABS(XLOOKUP($C1329,$Q$3:$Q$16,$R$3:$R$16)))*$B1329,-5)</f>
        <v>23100000</v>
      </c>
      <c r="I1329" s="17">
        <f t="shared" si="3985"/>
        <v>61500000</v>
      </c>
      <c r="J1329" s="17">
        <f t="shared" si="3985"/>
        <v>66700000</v>
      </c>
      <c r="K1329" s="17">
        <f t="shared" ref="K1329:M1329" si="3986">roundup((XLOOKUP($D1329,$T$3:$T$10,$U$3:$U$10)*XLOOKUP(K$2,$AA$3:$AA$5,$AD$3:$AD$5)-ABS(XLOOKUP($C1329,$Q$3:$Q$16,$R$3:$R$16)))*$B1329,-5)</f>
        <v>27300000</v>
      </c>
      <c r="L1329" s="17">
        <f t="shared" si="3986"/>
        <v>69500000</v>
      </c>
      <c r="M1329" s="17">
        <f t="shared" si="3986"/>
        <v>75200000</v>
      </c>
    </row>
    <row r="1330">
      <c r="A1330" s="14" t="s">
        <v>1374</v>
      </c>
      <c r="B1330" s="14">
        <v>121.0</v>
      </c>
      <c r="C1330" s="15">
        <f t="shared" si="4"/>
        <v>11</v>
      </c>
      <c r="D1330" s="14" t="s">
        <v>33</v>
      </c>
      <c r="E1330" s="16">
        <f t="shared" ref="E1330:G1330" si="3987">ROUNDUP((XLOOKUP($D1330,$T$3:$T$10,$U$3:$U$10)*XLOOKUP(E$2,$AA$3:$AA$5,$AB$3:$AB$5)-ABS(XLOOKUP($C1330,$Q$3:$Q$16,$R$3:$R$16)))*$B1330,-5)</f>
        <v>26300000</v>
      </c>
      <c r="F1330" s="16">
        <f t="shared" si="3987"/>
        <v>46600000</v>
      </c>
      <c r="G1330" s="16">
        <f t="shared" si="3987"/>
        <v>50800000</v>
      </c>
      <c r="H1330" s="17">
        <f t="shared" ref="H1330:J1330" si="3988">roundup((XLOOKUP($D1330,$T$3:$T$10,$U$3:$U$10)*XLOOKUP(H$2,$AA$3:$AA$5,$AC$3:$AC$5)-ABS(XLOOKUP($C1330,$Q$3:$Q$16,$R$3:$R$16)))*$B1330,-5)</f>
        <v>21600000</v>
      </c>
      <c r="I1330" s="17">
        <f t="shared" si="3988"/>
        <v>57700000</v>
      </c>
      <c r="J1330" s="17">
        <f t="shared" si="3988"/>
        <v>62600000</v>
      </c>
      <c r="K1330" s="17">
        <f t="shared" ref="K1330:M1330" si="3989">roundup((XLOOKUP($D1330,$T$3:$T$10,$U$3:$U$10)*XLOOKUP(K$2,$AA$3:$AA$5,$AD$3:$AD$5)-ABS(XLOOKUP($C1330,$Q$3:$Q$16,$R$3:$R$16)))*$B1330,-5)</f>
        <v>25600000</v>
      </c>
      <c r="L1330" s="17">
        <f t="shared" si="3989"/>
        <v>65200000</v>
      </c>
      <c r="M1330" s="17">
        <f t="shared" si="3989"/>
        <v>70600000</v>
      </c>
    </row>
    <row r="1331">
      <c r="A1331" s="14" t="s">
        <v>1375</v>
      </c>
      <c r="B1331" s="14">
        <v>196.0</v>
      </c>
      <c r="C1331" s="15">
        <f t="shared" si="4"/>
        <v>13</v>
      </c>
      <c r="D1331" s="14" t="s">
        <v>24</v>
      </c>
      <c r="E1331" s="16">
        <f t="shared" ref="E1331:G1331" si="3990">ROUNDUP((XLOOKUP($D1331,$T$3:$T$10,$U$3:$U$10)*XLOOKUP(E$2,$AA$3:$AA$5,$AB$3:$AB$5)-ABS(XLOOKUP($C1331,$Q$3:$Q$16,$R$3:$R$16)))*$B1331,-5)</f>
        <v>50100000</v>
      </c>
      <c r="F1331" s="16">
        <f t="shared" si="3990"/>
        <v>88100000</v>
      </c>
      <c r="G1331" s="16">
        <f t="shared" si="3990"/>
        <v>96000000</v>
      </c>
      <c r="H1331" s="17">
        <f t="shared" ref="H1331:J1331" si="3991">roundup((XLOOKUP($D1331,$T$3:$T$10,$U$3:$U$10)*XLOOKUP(H$2,$AA$3:$AA$5,$AC$3:$AC$5)-ABS(XLOOKUP($C1331,$Q$3:$Q$16,$R$3:$R$16)))*$B1331,-5)</f>
        <v>41400000</v>
      </c>
      <c r="I1331" s="17">
        <f t="shared" si="3991"/>
        <v>108900000</v>
      </c>
      <c r="J1331" s="17">
        <f t="shared" si="3991"/>
        <v>118100000</v>
      </c>
      <c r="K1331" s="17">
        <f t="shared" ref="K1331:M1331" si="3992">roundup((XLOOKUP($D1331,$T$3:$T$10,$U$3:$U$10)*XLOOKUP(K$2,$AA$3:$AA$5,$AD$3:$AD$5)-ABS(XLOOKUP($C1331,$Q$3:$Q$16,$R$3:$R$16)))*$B1331,-5)</f>
        <v>48900000</v>
      </c>
      <c r="L1331" s="17">
        <f t="shared" si="3992"/>
        <v>122900000</v>
      </c>
      <c r="M1331" s="17">
        <f t="shared" si="3992"/>
        <v>133000000</v>
      </c>
    </row>
    <row r="1332">
      <c r="A1332" s="14" t="s">
        <v>1376</v>
      </c>
      <c r="B1332" s="14">
        <v>85.0</v>
      </c>
      <c r="C1332" s="15">
        <f t="shared" si="4"/>
        <v>11</v>
      </c>
      <c r="D1332" s="14" t="s">
        <v>28</v>
      </c>
      <c r="E1332" s="16">
        <f t="shared" ref="E1332:G1332" si="3993">ROUNDUP((XLOOKUP($D1332,$T$3:$T$10,$U$3:$U$10)*XLOOKUP(E$2,$AA$3:$AA$5,$AB$3:$AB$5)-ABS(XLOOKUP($C1332,$Q$3:$Q$16,$R$3:$R$16)))*$B1332,-5)</f>
        <v>23500000</v>
      </c>
      <c r="F1332" s="16">
        <f t="shared" si="3993"/>
        <v>40000000</v>
      </c>
      <c r="G1332" s="16">
        <f t="shared" si="3993"/>
        <v>43400000</v>
      </c>
      <c r="H1332" s="17">
        <f t="shared" ref="H1332:J1332" si="3994">roundup((XLOOKUP($D1332,$T$3:$T$10,$U$3:$U$10)*XLOOKUP(H$2,$AA$3:$AA$5,$AC$3:$AC$5)-ABS(XLOOKUP($C1332,$Q$3:$Q$16,$R$3:$R$16)))*$B1332,-5)</f>
        <v>19700000</v>
      </c>
      <c r="I1332" s="17">
        <f t="shared" si="3994"/>
        <v>49000000</v>
      </c>
      <c r="J1332" s="17">
        <f t="shared" si="3994"/>
        <v>53000000</v>
      </c>
      <c r="K1332" s="17">
        <f t="shared" ref="K1332:M1332" si="3995">roundup((XLOOKUP($D1332,$T$3:$T$10,$U$3:$U$10)*XLOOKUP(K$2,$AA$3:$AA$5,$AD$3:$AD$5)-ABS(XLOOKUP($C1332,$Q$3:$Q$16,$R$3:$R$16)))*$B1332,-5)</f>
        <v>23000000</v>
      </c>
      <c r="L1332" s="17">
        <f t="shared" si="3995"/>
        <v>55100000</v>
      </c>
      <c r="M1332" s="17">
        <f t="shared" si="3995"/>
        <v>59500000</v>
      </c>
    </row>
    <row r="1333">
      <c r="A1333" s="14" t="s">
        <v>1377</v>
      </c>
      <c r="B1333" s="14">
        <v>189.0</v>
      </c>
      <c r="C1333" s="15">
        <f t="shared" si="4"/>
        <v>13</v>
      </c>
      <c r="D1333" s="14" t="s">
        <v>33</v>
      </c>
      <c r="E1333" s="16">
        <f t="shared" ref="E1333:G1333" si="3996">ROUNDUP((XLOOKUP($D1333,$T$3:$T$10,$U$3:$U$10)*XLOOKUP(E$2,$AA$3:$AA$5,$AB$3:$AB$5)-ABS(XLOOKUP($C1333,$Q$3:$Q$16,$R$3:$R$16)))*$B1333,-5)</f>
        <v>37200000</v>
      </c>
      <c r="F1333" s="16">
        <f t="shared" si="3996"/>
        <v>69000000</v>
      </c>
      <c r="G1333" s="16">
        <f t="shared" si="3996"/>
        <v>75600000</v>
      </c>
      <c r="H1333" s="17">
        <f t="shared" ref="H1333:J1333" si="3997">roundup((XLOOKUP($D1333,$T$3:$T$10,$U$3:$U$10)*XLOOKUP(H$2,$AA$3:$AA$5,$AC$3:$AC$5)-ABS(XLOOKUP($C1333,$Q$3:$Q$16,$R$3:$R$16)))*$B1333,-5)</f>
        <v>30000000</v>
      </c>
      <c r="I1333" s="17">
        <f t="shared" si="3997"/>
        <v>86300000</v>
      </c>
      <c r="J1333" s="17">
        <f t="shared" si="3997"/>
        <v>94000000</v>
      </c>
      <c r="K1333" s="17">
        <f t="shared" ref="K1333:M1333" si="3998">roundup((XLOOKUP($D1333,$T$3:$T$10,$U$3:$U$10)*XLOOKUP(K$2,$AA$3:$AA$5,$AD$3:$AD$5)-ABS(XLOOKUP($C1333,$Q$3:$Q$16,$R$3:$R$16)))*$B1333,-5)</f>
        <v>36200000</v>
      </c>
      <c r="L1333" s="17">
        <f t="shared" si="3998"/>
        <v>98000000</v>
      </c>
      <c r="M1333" s="17">
        <f t="shared" si="3998"/>
        <v>106400000</v>
      </c>
    </row>
    <row r="1334">
      <c r="A1334" s="14" t="s">
        <v>1378</v>
      </c>
      <c r="B1334" s="14">
        <v>97.0</v>
      </c>
      <c r="C1334" s="15">
        <f t="shared" si="4"/>
        <v>11</v>
      </c>
      <c r="D1334" s="14" t="s">
        <v>33</v>
      </c>
      <c r="E1334" s="16">
        <f t="shared" ref="E1334:G1334" si="3999">ROUNDUP((XLOOKUP($D1334,$T$3:$T$10,$U$3:$U$10)*XLOOKUP(E$2,$AA$3:$AA$5,$AB$3:$AB$5)-ABS(XLOOKUP($C1334,$Q$3:$Q$16,$R$3:$R$16)))*$B1334,-5)</f>
        <v>21100000</v>
      </c>
      <c r="F1334" s="16">
        <f t="shared" si="3999"/>
        <v>37400000</v>
      </c>
      <c r="G1334" s="16">
        <f t="shared" si="3999"/>
        <v>40700000</v>
      </c>
      <c r="H1334" s="17">
        <f t="shared" ref="H1334:J1334" si="4000">roundup((XLOOKUP($D1334,$T$3:$T$10,$U$3:$U$10)*XLOOKUP(H$2,$AA$3:$AA$5,$AC$3:$AC$5)-ABS(XLOOKUP($C1334,$Q$3:$Q$16,$R$3:$R$16)))*$B1334,-5)</f>
        <v>17400000</v>
      </c>
      <c r="I1334" s="17">
        <f t="shared" si="4000"/>
        <v>46300000</v>
      </c>
      <c r="J1334" s="17">
        <f t="shared" si="4000"/>
        <v>50200000</v>
      </c>
      <c r="K1334" s="17">
        <f t="shared" ref="K1334:M1334" si="4001">roundup((XLOOKUP($D1334,$T$3:$T$10,$U$3:$U$10)*XLOOKUP(K$2,$AA$3:$AA$5,$AD$3:$AD$5)-ABS(XLOOKUP($C1334,$Q$3:$Q$16,$R$3:$R$16)))*$B1334,-5)</f>
        <v>20600000</v>
      </c>
      <c r="L1334" s="17">
        <f t="shared" si="4001"/>
        <v>52300000</v>
      </c>
      <c r="M1334" s="17">
        <f t="shared" si="4001"/>
        <v>56600000</v>
      </c>
    </row>
    <row r="1335">
      <c r="A1335" s="14" t="s">
        <v>1379</v>
      </c>
      <c r="B1335" s="14">
        <v>106.0</v>
      </c>
      <c r="C1335" s="15">
        <f t="shared" si="4"/>
        <v>11</v>
      </c>
      <c r="D1335" s="14" t="s">
        <v>36</v>
      </c>
      <c r="E1335" s="16">
        <f t="shared" ref="E1335:G1335" si="4002">ROUNDUP((XLOOKUP($D1335,$T$3:$T$10,$U$3:$U$10)*XLOOKUP(E$2,$AA$3:$AA$5,$AB$3:$AB$5)-ABS(XLOOKUP($C1335,$Q$3:$Q$16,$R$3:$R$16)))*$B1335,-5)</f>
        <v>27800000</v>
      </c>
      <c r="F1335" s="16">
        <f t="shared" si="4002"/>
        <v>47800000</v>
      </c>
      <c r="G1335" s="16">
        <f t="shared" si="4002"/>
        <v>51900000</v>
      </c>
      <c r="H1335" s="17">
        <f t="shared" ref="H1335:J1335" si="4003">roundup((XLOOKUP($D1335,$T$3:$T$10,$U$3:$U$10)*XLOOKUP(H$2,$AA$3:$AA$5,$AC$3:$AC$5)-ABS(XLOOKUP($C1335,$Q$3:$Q$16,$R$3:$R$16)))*$B1335,-5)</f>
        <v>23300000</v>
      </c>
      <c r="I1335" s="17">
        <f t="shared" si="4003"/>
        <v>58700000</v>
      </c>
      <c r="J1335" s="17">
        <f t="shared" si="4003"/>
        <v>63500000</v>
      </c>
      <c r="K1335" s="17">
        <f t="shared" ref="K1335:M1335" si="4004">roundup((XLOOKUP($D1335,$T$3:$T$10,$U$3:$U$10)*XLOOKUP(K$2,$AA$3:$AA$5,$AD$3:$AD$5)-ABS(XLOOKUP($C1335,$Q$3:$Q$16,$R$3:$R$16)))*$B1335,-5)</f>
        <v>27200000</v>
      </c>
      <c r="L1335" s="17">
        <f t="shared" si="4004"/>
        <v>66100000</v>
      </c>
      <c r="M1335" s="17">
        <f t="shared" si="4004"/>
        <v>71400000</v>
      </c>
    </row>
    <row r="1336">
      <c r="A1336" s="14" t="s">
        <v>1380</v>
      </c>
      <c r="B1336" s="14">
        <v>106.0</v>
      </c>
      <c r="C1336" s="15">
        <f t="shared" si="4"/>
        <v>11</v>
      </c>
      <c r="D1336" s="14" t="s">
        <v>33</v>
      </c>
      <c r="E1336" s="16">
        <f t="shared" ref="E1336:G1336" si="4005">ROUNDUP((XLOOKUP($D1336,$T$3:$T$10,$U$3:$U$10)*XLOOKUP(E$2,$AA$3:$AA$5,$AB$3:$AB$5)-ABS(XLOOKUP($C1336,$Q$3:$Q$16,$R$3:$R$16)))*$B1336,-5)</f>
        <v>23000000</v>
      </c>
      <c r="F1336" s="16">
        <f t="shared" si="4005"/>
        <v>40800000</v>
      </c>
      <c r="G1336" s="16">
        <f t="shared" si="4005"/>
        <v>44500000</v>
      </c>
      <c r="H1336" s="17">
        <f t="shared" ref="H1336:J1336" si="4006">roundup((XLOOKUP($D1336,$T$3:$T$10,$U$3:$U$10)*XLOOKUP(H$2,$AA$3:$AA$5,$AC$3:$AC$5)-ABS(XLOOKUP($C1336,$Q$3:$Q$16,$R$3:$R$16)))*$B1336,-5)</f>
        <v>19000000</v>
      </c>
      <c r="I1336" s="17">
        <f t="shared" si="4006"/>
        <v>50500000</v>
      </c>
      <c r="J1336" s="17">
        <f t="shared" si="4006"/>
        <v>54800000</v>
      </c>
      <c r="K1336" s="17">
        <f t="shared" ref="K1336:M1336" si="4007">roundup((XLOOKUP($D1336,$T$3:$T$10,$U$3:$U$10)*XLOOKUP(K$2,$AA$3:$AA$5,$AD$3:$AD$5)-ABS(XLOOKUP($C1336,$Q$3:$Q$16,$R$3:$R$16)))*$B1336,-5)</f>
        <v>22500000</v>
      </c>
      <c r="L1336" s="17">
        <f t="shared" si="4007"/>
        <v>57100000</v>
      </c>
      <c r="M1336" s="17">
        <f t="shared" si="4007"/>
        <v>61800000</v>
      </c>
    </row>
    <row r="1337">
      <c r="A1337" s="14" t="s">
        <v>1381</v>
      </c>
      <c r="B1337" s="14">
        <v>103.0</v>
      </c>
      <c r="C1337" s="15">
        <f t="shared" si="4"/>
        <v>11</v>
      </c>
      <c r="D1337" s="14" t="s">
        <v>33</v>
      </c>
      <c r="E1337" s="16">
        <f t="shared" ref="E1337:G1337" si="4008">ROUNDUP((XLOOKUP($D1337,$T$3:$T$10,$U$3:$U$10)*XLOOKUP(E$2,$AA$3:$AA$5,$AB$3:$AB$5)-ABS(XLOOKUP($C1337,$Q$3:$Q$16,$R$3:$R$16)))*$B1337,-5)</f>
        <v>22400000</v>
      </c>
      <c r="F1337" s="16">
        <f t="shared" si="4008"/>
        <v>39700000</v>
      </c>
      <c r="G1337" s="16">
        <f t="shared" si="4008"/>
        <v>43300000</v>
      </c>
      <c r="H1337" s="17">
        <f t="shared" ref="H1337:J1337" si="4009">roundup((XLOOKUP($D1337,$T$3:$T$10,$U$3:$U$10)*XLOOKUP(H$2,$AA$3:$AA$5,$AC$3:$AC$5)-ABS(XLOOKUP($C1337,$Q$3:$Q$16,$R$3:$R$16)))*$B1337,-5)</f>
        <v>18400000</v>
      </c>
      <c r="I1337" s="17">
        <f t="shared" si="4009"/>
        <v>49100000</v>
      </c>
      <c r="J1337" s="17">
        <f t="shared" si="4009"/>
        <v>53300000</v>
      </c>
      <c r="K1337" s="17">
        <f t="shared" ref="K1337:M1337" si="4010">roundup((XLOOKUP($D1337,$T$3:$T$10,$U$3:$U$10)*XLOOKUP(K$2,$AA$3:$AA$5,$AD$3:$AD$5)-ABS(XLOOKUP($C1337,$Q$3:$Q$16,$R$3:$R$16)))*$B1337,-5)</f>
        <v>21800000</v>
      </c>
      <c r="L1337" s="17">
        <f t="shared" si="4010"/>
        <v>55500000</v>
      </c>
      <c r="M1337" s="17">
        <f t="shared" si="4010"/>
        <v>60100000</v>
      </c>
    </row>
    <row r="1338">
      <c r="A1338" s="14" t="s">
        <v>1382</v>
      </c>
      <c r="B1338" s="14">
        <v>103.0</v>
      </c>
      <c r="C1338" s="15">
        <f t="shared" si="4"/>
        <v>11</v>
      </c>
      <c r="D1338" s="14" t="s">
        <v>33</v>
      </c>
      <c r="E1338" s="16">
        <f t="shared" ref="E1338:G1338" si="4011">ROUNDUP((XLOOKUP($D1338,$T$3:$T$10,$U$3:$U$10)*XLOOKUP(E$2,$AA$3:$AA$5,$AB$3:$AB$5)-ABS(XLOOKUP($C1338,$Q$3:$Q$16,$R$3:$R$16)))*$B1338,-5)</f>
        <v>22400000</v>
      </c>
      <c r="F1338" s="16">
        <f t="shared" si="4011"/>
        <v>39700000</v>
      </c>
      <c r="G1338" s="16">
        <f t="shared" si="4011"/>
        <v>43300000</v>
      </c>
      <c r="H1338" s="17">
        <f t="shared" ref="H1338:J1338" si="4012">roundup((XLOOKUP($D1338,$T$3:$T$10,$U$3:$U$10)*XLOOKUP(H$2,$AA$3:$AA$5,$AC$3:$AC$5)-ABS(XLOOKUP($C1338,$Q$3:$Q$16,$R$3:$R$16)))*$B1338,-5)</f>
        <v>18400000</v>
      </c>
      <c r="I1338" s="17">
        <f t="shared" si="4012"/>
        <v>49100000</v>
      </c>
      <c r="J1338" s="17">
        <f t="shared" si="4012"/>
        <v>53300000</v>
      </c>
      <c r="K1338" s="17">
        <f t="shared" ref="K1338:M1338" si="4013">roundup((XLOOKUP($D1338,$T$3:$T$10,$U$3:$U$10)*XLOOKUP(K$2,$AA$3:$AA$5,$AD$3:$AD$5)-ABS(XLOOKUP($C1338,$Q$3:$Q$16,$R$3:$R$16)))*$B1338,-5)</f>
        <v>21800000</v>
      </c>
      <c r="L1338" s="17">
        <f t="shared" si="4013"/>
        <v>55500000</v>
      </c>
      <c r="M1338" s="17">
        <f t="shared" si="4013"/>
        <v>60100000</v>
      </c>
    </row>
    <row r="1339">
      <c r="A1339" s="14" t="s">
        <v>1383</v>
      </c>
      <c r="B1339" s="14">
        <v>102.0</v>
      </c>
      <c r="C1339" s="15">
        <f t="shared" si="4"/>
        <v>11</v>
      </c>
      <c r="D1339" s="14" t="s">
        <v>33</v>
      </c>
      <c r="E1339" s="16">
        <f t="shared" ref="E1339:G1339" si="4014">ROUNDUP((XLOOKUP($D1339,$T$3:$T$10,$U$3:$U$10)*XLOOKUP(E$2,$AA$3:$AA$5,$AB$3:$AB$5)-ABS(XLOOKUP($C1339,$Q$3:$Q$16,$R$3:$R$16)))*$B1339,-5)</f>
        <v>22200000</v>
      </c>
      <c r="F1339" s="16">
        <f t="shared" si="4014"/>
        <v>39300000</v>
      </c>
      <c r="G1339" s="16">
        <f t="shared" si="4014"/>
        <v>42800000</v>
      </c>
      <c r="H1339" s="17">
        <f t="shared" ref="H1339:J1339" si="4015">roundup((XLOOKUP($D1339,$T$3:$T$10,$U$3:$U$10)*XLOOKUP(H$2,$AA$3:$AA$5,$AC$3:$AC$5)-ABS(XLOOKUP($C1339,$Q$3:$Q$16,$R$3:$R$16)))*$B1339,-5)</f>
        <v>18200000</v>
      </c>
      <c r="I1339" s="17">
        <f t="shared" si="4015"/>
        <v>48600000</v>
      </c>
      <c r="J1339" s="17">
        <f t="shared" si="4015"/>
        <v>52800000</v>
      </c>
      <c r="K1339" s="17">
        <f t="shared" ref="K1339:M1339" si="4016">roundup((XLOOKUP($D1339,$T$3:$T$10,$U$3:$U$10)*XLOOKUP(K$2,$AA$3:$AA$5,$AD$3:$AD$5)-ABS(XLOOKUP($C1339,$Q$3:$Q$16,$R$3:$R$16)))*$B1339,-5)</f>
        <v>21600000</v>
      </c>
      <c r="L1339" s="17">
        <f t="shared" si="4016"/>
        <v>55000000</v>
      </c>
      <c r="M1339" s="17">
        <f t="shared" si="4016"/>
        <v>59500000</v>
      </c>
    </row>
    <row r="1340">
      <c r="A1340" s="14" t="s">
        <v>1384</v>
      </c>
      <c r="B1340" s="14">
        <v>102.0</v>
      </c>
      <c r="C1340" s="15">
        <f t="shared" si="4"/>
        <v>11</v>
      </c>
      <c r="D1340" s="14" t="s">
        <v>33</v>
      </c>
      <c r="E1340" s="16">
        <f t="shared" ref="E1340:G1340" si="4017">ROUNDUP((XLOOKUP($D1340,$T$3:$T$10,$U$3:$U$10)*XLOOKUP(E$2,$AA$3:$AA$5,$AB$3:$AB$5)-ABS(XLOOKUP($C1340,$Q$3:$Q$16,$R$3:$R$16)))*$B1340,-5)</f>
        <v>22200000</v>
      </c>
      <c r="F1340" s="16">
        <f t="shared" si="4017"/>
        <v>39300000</v>
      </c>
      <c r="G1340" s="16">
        <f t="shared" si="4017"/>
        <v>42800000</v>
      </c>
      <c r="H1340" s="17">
        <f t="shared" ref="H1340:J1340" si="4018">roundup((XLOOKUP($D1340,$T$3:$T$10,$U$3:$U$10)*XLOOKUP(H$2,$AA$3:$AA$5,$AC$3:$AC$5)-ABS(XLOOKUP($C1340,$Q$3:$Q$16,$R$3:$R$16)))*$B1340,-5)</f>
        <v>18200000</v>
      </c>
      <c r="I1340" s="17">
        <f t="shared" si="4018"/>
        <v>48600000</v>
      </c>
      <c r="J1340" s="17">
        <f t="shared" si="4018"/>
        <v>52800000</v>
      </c>
      <c r="K1340" s="17">
        <f t="shared" ref="K1340:M1340" si="4019">roundup((XLOOKUP($D1340,$T$3:$T$10,$U$3:$U$10)*XLOOKUP(K$2,$AA$3:$AA$5,$AD$3:$AD$5)-ABS(XLOOKUP($C1340,$Q$3:$Q$16,$R$3:$R$16)))*$B1340,-5)</f>
        <v>21600000</v>
      </c>
      <c r="L1340" s="17">
        <f t="shared" si="4019"/>
        <v>55000000</v>
      </c>
      <c r="M1340" s="17">
        <f t="shared" si="4019"/>
        <v>59500000</v>
      </c>
    </row>
    <row r="1341">
      <c r="A1341" s="14" t="s">
        <v>1385</v>
      </c>
      <c r="B1341" s="14">
        <v>117.0</v>
      </c>
      <c r="C1341" s="15">
        <f t="shared" si="4"/>
        <v>11</v>
      </c>
      <c r="D1341" s="14" t="s">
        <v>33</v>
      </c>
      <c r="E1341" s="16">
        <f t="shared" ref="E1341:G1341" si="4020">ROUNDUP((XLOOKUP($D1341,$T$3:$T$10,$U$3:$U$10)*XLOOKUP(E$2,$AA$3:$AA$5,$AB$3:$AB$5)-ABS(XLOOKUP($C1341,$Q$3:$Q$16,$R$3:$R$16)))*$B1341,-5)</f>
        <v>25400000</v>
      </c>
      <c r="F1341" s="16">
        <f t="shared" si="4020"/>
        <v>45100000</v>
      </c>
      <c r="G1341" s="16">
        <f t="shared" si="4020"/>
        <v>49100000</v>
      </c>
      <c r="H1341" s="17">
        <f t="shared" ref="H1341:J1341" si="4021">roundup((XLOOKUP($D1341,$T$3:$T$10,$U$3:$U$10)*XLOOKUP(H$2,$AA$3:$AA$5,$AC$3:$AC$5)-ABS(XLOOKUP($C1341,$Q$3:$Q$16,$R$3:$R$16)))*$B1341,-5)</f>
        <v>20900000</v>
      </c>
      <c r="I1341" s="17">
        <f t="shared" si="4021"/>
        <v>55800000</v>
      </c>
      <c r="J1341" s="17">
        <f t="shared" si="4021"/>
        <v>60500000</v>
      </c>
      <c r="K1341" s="17">
        <f t="shared" ref="K1341:M1341" si="4022">roundup((XLOOKUP($D1341,$T$3:$T$10,$U$3:$U$10)*XLOOKUP(K$2,$AA$3:$AA$5,$AD$3:$AD$5)-ABS(XLOOKUP($C1341,$Q$3:$Q$16,$R$3:$R$16)))*$B1341,-5)</f>
        <v>24800000</v>
      </c>
      <c r="L1341" s="17">
        <f t="shared" si="4022"/>
        <v>63000000</v>
      </c>
      <c r="M1341" s="17">
        <f t="shared" si="4022"/>
        <v>68300000</v>
      </c>
    </row>
    <row r="1342">
      <c r="A1342" s="14" t="s">
        <v>1386</v>
      </c>
      <c r="B1342" s="14">
        <v>105.0</v>
      </c>
      <c r="C1342" s="15">
        <f t="shared" si="4"/>
        <v>11</v>
      </c>
      <c r="D1342" s="14" t="s">
        <v>33</v>
      </c>
      <c r="E1342" s="16">
        <f t="shared" ref="E1342:G1342" si="4023">ROUNDUP((XLOOKUP($D1342,$T$3:$T$10,$U$3:$U$10)*XLOOKUP(E$2,$AA$3:$AA$5,$AB$3:$AB$5)-ABS(XLOOKUP($C1342,$Q$3:$Q$16,$R$3:$R$16)))*$B1342,-5)</f>
        <v>22800000</v>
      </c>
      <c r="F1342" s="16">
        <f t="shared" si="4023"/>
        <v>40400000</v>
      </c>
      <c r="G1342" s="16">
        <f t="shared" si="4023"/>
        <v>44100000</v>
      </c>
      <c r="H1342" s="17">
        <f t="shared" ref="H1342:J1342" si="4024">roundup((XLOOKUP($D1342,$T$3:$T$10,$U$3:$U$10)*XLOOKUP(H$2,$AA$3:$AA$5,$AC$3:$AC$5)-ABS(XLOOKUP($C1342,$Q$3:$Q$16,$R$3:$R$16)))*$B1342,-5)</f>
        <v>18800000</v>
      </c>
      <c r="I1342" s="17">
        <f t="shared" si="4024"/>
        <v>50100000</v>
      </c>
      <c r="J1342" s="17">
        <f t="shared" si="4024"/>
        <v>54300000</v>
      </c>
      <c r="K1342" s="17">
        <f t="shared" ref="K1342:M1342" si="4025">roundup((XLOOKUP($D1342,$T$3:$T$10,$U$3:$U$10)*XLOOKUP(K$2,$AA$3:$AA$5,$AD$3:$AD$5)-ABS(XLOOKUP($C1342,$Q$3:$Q$16,$R$3:$R$16)))*$B1342,-5)</f>
        <v>22300000</v>
      </c>
      <c r="L1342" s="17">
        <f t="shared" si="4025"/>
        <v>56600000</v>
      </c>
      <c r="M1342" s="17">
        <f t="shared" si="4025"/>
        <v>61300000</v>
      </c>
    </row>
  </sheetData>
  <drawing r:id="rId1"/>
</worksheet>
</file>