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b1223dc8d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erial kalkulációs" sheetId="1" r:id="R9b92bee9ca0d4781"/>
    <x:sheet xmlns:r="http://schemas.openxmlformats.org/officeDocument/2006/relationships" name="Bautica" sheetId="2" r:id="R1cea016343294444"/>
    <x:sheet xmlns:r="http://schemas.openxmlformats.org/officeDocument/2006/relationships" name="Prefab" sheetId="3" r:id="R56440d0491f948f2"/>
    <x:sheet xmlns:r="http://schemas.openxmlformats.org/officeDocument/2006/relationships" name="Danish Fabrik" sheetId="4" r:id="Rbfc400438466498b"/>
    <x:sheet xmlns:r="http://schemas.openxmlformats.org/officeDocument/2006/relationships" name="BauFreund" sheetId="5" r:id="R1aedc7f095994f85"/>
    <x:sheet xmlns:r="http://schemas.openxmlformats.org/officeDocument/2006/relationships" name="Átadási tényezők" sheetId="6" r:id="R32f42a1bca89489a"/>
    <x:sheet xmlns:r="http://schemas.openxmlformats.org/officeDocument/2006/relationships" name="Piaci alapár indoklás" sheetId="7" r:id="Ra735ab7f97fa416b"/>
  </x:sheets>
</x:workbook>
</file>

<file path=xl/sharedStrings.xml><?xml version="1.0" encoding="utf-8"?>
<x:sst xmlns:x="http://schemas.openxmlformats.org/spreadsheetml/2006/main">
  <x:si>
    <x:t xml:space="preserve">Acél</x:t>
  </x:si>
  <x:si>
    <x:t xml:space="preserve">CLT</x:t>
  </x:si>
  <x:si>
    <x:t xml:space="preserve">Danish Fabrik</x:t>
  </x:si>
  <x:si>
    <x:t xml:space="preserve">Leier</x:t>
  </x:si>
  <x:si>
    <x:t xml:space="preserve">Liapor</x:t>
  </x:si>
  <x:si>
    <x:t xml:space="preserve">Tégla</x:t>
  </x:si>
  <x:si>
    <x:t xml:space="preserve">Ytong</x:t>
  </x:si>
  <x:si>
    <x:t xml:space="preserve">Sip</x:t>
  </x:si>
  <x:si>
    <x:t xml:space="preserve">Alap</x:t>
  </x:si>
</x:sst>
</file>

<file path=xl/styles.xml><?xml version="1.0" encoding="utf-8"?>
<x:styleSheet xmlns:x="http://schemas.openxmlformats.org/spreadsheetml/2006/main">
  <x:numFmts count="4">
    <x:numFmt numFmtId="164" formatCode="yyyy.mm.dd"/>
    <x:numFmt numFmtId="200" formatCode="#,##0 &quot;Ft&quot;"/>
    <x:numFmt numFmtId="201" formatCode="0.000"/>
    <x:numFmt numFmtId="202" formatCode="#,##0 &quot;Ft/m²&quot;"/>
  </x:numFmts>
  <x:fonts count="7">
    <x:font>
      <x:sz val="10"/>
      <x:color rgb="FF000000"/>
      <x:name val="Arial"/>
    </x:font>
    <x:font>
      <x:color theme="1"/>
      <x:name val="Arial"/>
    </x:font>
    <x:font>
      <x:b/>
      <x:color theme="1"/>
      <x:name val="Arial"/>
    </x:font>
    <x:font>
      <x:color rgb="FF222222"/>
      <x:name val="Arial"/>
    </x:font>
    <x:font>
      <x:b/>
      <x:color rgb="FF1F4E2C"/>
      <x:name val="Arial"/>
    </x:font>
    <x:font>
      <x:b/>
      <x:sz val="10"/>
      <x:color rgb="FF000000"/>
      <x:name val="Arial"/>
    </x:font>
    <x:font>
      <x:b/>
      <x:sz val="10"/>
      <x:color rgb="FFFFFFFF"/>
      <x:name val="Arial"/>
    </x:font>
  </x:fonts>
  <x:fills count="11">
    <x:fill>
      <x:patternFill patternType="none"/>
    </x:fill>
    <x:fill>
      <x:patternFill patternType="lightGray"/>
    </x:fill>
    <x:fill>
      <x:patternFill patternType="solid">
        <x:fgColor rgb="FFCFE2F3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D9A9C0"/>
      </x:patternFill>
    </x:fill>
    <x:fill>
      <x:patternFill patternType="solid">
        <x:fgColor rgb="FFF0D7E2"/>
      </x:patternFill>
    </x:fill>
    <x:fill>
      <x:patternFill patternType="solid">
        <x:fgColor rgb="FFF8E9F0"/>
      </x:patternFill>
    </x:fill>
    <x:fill>
      <x:patternFill patternType="solid">
        <x:fgColor rgb="FFD9EAF7"/>
      </x:patternFill>
    </x:fill>
    <x:fill>
      <x:patternFill patternType="solid">
        <x:fgColor rgb="FFEDEDED"/>
      </x:patternFill>
    </x:fill>
    <x:fill>
      <x:patternFill patternType="solid">
        <x:fgColor rgb="FF17324D"/>
      </x:patternFill>
    </x:fill>
  </x:fills>
  <x:borders count="2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555555"/>
      </x:left>
      <x:top style="thin">
        <x:color rgb="FF555555"/>
      </x:top>
    </x:border>
    <x:border>
      <x:top style="thin">
        <x:color rgb="FF555555"/>
      </x:top>
    </x:border>
    <x:border>
      <x:right style="thin">
        <x:color rgb="FF555555"/>
      </x:right>
      <x:top style="thin">
        <x:color rgb="FF555555"/>
      </x:top>
    </x:border>
    <x:border>
      <x:left style="thin">
        <x:color rgb="FF555555"/>
      </x:left>
    </x:border>
    <x:border>
      <x:right style="thin">
        <x:color rgb="FF555555"/>
      </x:right>
    </x:border>
    <x:border>
      <x:left style="thin">
        <x:color rgb="FF555555"/>
      </x:left>
      <x:bottom style="thin">
        <x:color rgb="FF555555"/>
      </x:bottom>
    </x:border>
    <x:border>
      <x:bottom style="thin">
        <x:color rgb="FF555555"/>
      </x:bottom>
    </x:border>
    <x:border>
      <x:right style="thin">
        <x:color rgb="FF555555"/>
      </x:right>
      <x:bottom style="thin">
        <x:color rgb="FF555555"/>
      </x:bottom>
    </x:border>
    <x:border>
      <x:left style="thin">
        <x:color rgb="FF777777"/>
      </x:left>
      <x:top style="thin">
        <x:color rgb="FF777777"/>
      </x:top>
    </x:border>
    <x:border>
      <x:top style="thin">
        <x:color rgb="FF777777"/>
      </x:top>
    </x:border>
    <x:border>
      <x:right style="thin">
        <x:color rgb="FF777777"/>
      </x:right>
      <x:top style="thin">
        <x:color rgb="FF777777"/>
      </x:top>
    </x:border>
    <x:border>
      <x:left style="thin">
        <x:color rgb="FF777777"/>
      </x:left>
    </x:border>
    <x:border>
      <x:right style="thin">
        <x:color rgb="FF777777"/>
      </x:right>
    </x:border>
    <x:border>
      <x:left style="thin">
        <x:color rgb="FF777777"/>
      </x:left>
      <x:bottom style="thin">
        <x:color rgb="FF777777"/>
      </x:bottom>
    </x:border>
    <x:border>
      <x:bottom style="thin">
        <x:color rgb="FF777777"/>
      </x:bottom>
    </x:border>
    <x:border>
      <x:right style="thin">
        <x:color rgb="FF777777"/>
      </x:right>
      <x:bottom style="thin">
        <x:color rgb="FF777777"/>
      </x:bottom>
    </x:border>
    <x:border>
      <x:left style="thin">
        <x:color rgb="FFC7D0D9"/>
      </x:left>
      <x:top style="thin">
        <x:color rgb="FFC7D0D9"/>
      </x:top>
    </x:border>
    <x:border>
      <x:top style="thin">
        <x:color rgb="FFC7D0D9"/>
      </x:top>
    </x:border>
    <x:border>
      <x:right style="thin">
        <x:color rgb="FFC7D0D9"/>
      </x:right>
      <x:top style="thin">
        <x:color rgb="FFC7D0D9"/>
      </x:top>
    </x:border>
    <x:border>
      <x:left style="thin">
        <x:color rgb="FFC7D0D9"/>
      </x:left>
    </x:border>
    <x:border>
      <x:right style="thin">
        <x:color rgb="FFC7D0D9"/>
      </x:right>
    </x:border>
    <x:border>
      <x:left style="thin">
        <x:color rgb="FFC7D0D9"/>
      </x:left>
      <x:bottom style="thin">
        <x:color rgb="FFC7D0D9"/>
      </x:bottom>
    </x:border>
    <x:border>
      <x:bottom style="thin">
        <x:color rgb="FFC7D0D9"/>
      </x:bottom>
    </x:border>
    <x:border>
      <x:right style="thin">
        <x:color rgb="FFC7D0D9"/>
      </x:right>
      <x:bottom style="thin">
        <x:color rgb="FFC7D0D9"/>
      </x:bottom>
    </x:border>
  </x:borders>
  <x:cellStyleXfs count="1">
    <x:xf numFmtId="0" fontId="0" fillId="0" borderId="0" applyFont="1" applyAlignment="1"/>
  </x:cellStyleXfs>
  <x:cellXfs count="95">
    <x:xf numFmtId="0" fontId="0" fillId="0" borderId="0" xfId="0" applyFont="1" applyAlignment="1">
      <x:alignment vertical="bottom" wrapText="0"/>
    </x:xf>
    <x:xf numFmtId="0" fontId="1" fillId="0" borderId="1" xfId="0" applyFont="1" applyBorder="1"/>
    <x:xf numFmtId="0" fontId="2" fillId="2" borderId="0" xfId="0" applyFont="1" applyFill="1"/>
    <x:xf numFmtId="0" fontId="1" fillId="0" borderId="0" xfId="0" applyFont="1" applyAlignment="1"/>
    <x:xf numFmtId="10" fontId="1" fillId="0" borderId="0" xfId="0" applyNumberFormat="1" applyFont="1"/>
    <x:xf numFmtId="0" fontId="2" fillId="0" borderId="1" xfId="0" applyFont="1" applyBorder="1"/>
    <x:xf numFmtId="10" fontId="1" fillId="0" borderId="0" xfId="0" applyNumberFormat="1" applyFont="1" applyAlignment="1"/>
    <x:xf numFmtId="164" fontId="2" fillId="0" borderId="1" xfId="0" applyNumberFormat="1" applyFont="1" applyBorder="1"/>
    <x:xf numFmtId="0" fontId="2" fillId="0" borderId="0" xfId="0" applyFont="1"/>
    <x:xf numFmtId="0" fontId="3" fillId="3" borderId="0" xfId="0" applyFont="1" applyFill="1"/>
    <x:xf numFmtId="3" fontId="1" fillId="0" borderId="1" xfId="0" applyNumberFormat="1" applyFont="1" applyBorder="1"/>
    <x:xf numFmtId="3" fontId="2" fillId="0" borderId="0" xfId="0" applyNumberFormat="1" applyFont="1"/>
    <x:xf numFmtId="3" fontId="1" fillId="0" borderId="0" xfId="0" applyNumberFormat="1" applyFont="1"/>
    <x:xf numFmtId="3" fontId="2" fillId="0" borderId="1" xfId="0" applyNumberFormat="1" applyFont="1" applyBorder="1"/>
    <x:xf numFmtId="3" fontId="2" fillId="0" borderId="0" xfId="0" applyNumberFormat="1" applyFont="1" applyAlignment="1">
      <x:alignment horizontal="right"/>
    </x:xf>
    <x:xf numFmtId="0" fontId="1" fillId="0" borderId="0" xfId="0" applyFont="1"/>
    <x:xf numFmtId="0" fontId="2" fillId="0" borderId="0" xfId="0" applyFont="1" applyAlignment="1">
      <x:alignment horizontal="center"/>
    </x:xf>
    <x:xf numFmtId="164" fontId="2" fillId="0" borderId="0" xfId="0" applyNumberFormat="1" applyFo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/>
    <x:xf numFmtId="10" fontId="1" fillId="0" borderId="0" xfId="0" applyNumberFormat="1" applyFont="1" applyFill="1" applyBorder="1"/>
    <x:xf numFmtId="0" fontId="2" fillId="0" borderId="1" xfId="0" applyNumberFormat="1" applyFont="1" applyFill="1" applyBorder="1"/>
    <x:xf numFmtId="164" fontId="2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3" borderId="0" xfId="0" applyNumberFormat="1" applyFont="1" applyFill="1" applyBorder="1"/>
    <x:xf numFmtId="3" fontId="1" fillId="0" borderId="1" xfId="0" applyNumberFormat="1" applyFont="1" applyFill="1" applyBorder="1"/>
    <x:xf numFmtId="3" fontId="2" fillId="0" borderId="0" xfId="0" applyNumberFormat="1" applyFont="1" applyFill="1" applyBorder="1"/>
    <x:xf numFmtId="3" fontId="1" fillId="0" borderId="0" xfId="0" applyNumberFormat="1" applyFont="1" applyFill="1" applyBorder="1"/>
    <x:xf numFmtId="3" fontId="2" fillId="0" borderId="1" xfId="0" applyNumberFormat="1" applyFont="1" applyFill="1" applyBorder="1"/>
    <x:xf numFmtId="3" fontId="2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/>
    </x:xf>
    <x:xf numFmtId="164" fontId="2" fillId="0" borderId="0" xfId="0" applyNumberFormat="1" applyFont="1" applyFill="1" applyBorder="1"/>
    <x:xf numFmtId="0" fontId="2" fillId="4" borderId="0" xfId="0" applyNumberFormat="1" applyFont="1" applyFill="1" applyBorder="1"/>
    <x:xf numFmtId="0" fontId="4" fillId="4" borderId="0" xfId="0" applyNumberFormat="1" applyFont="1" applyFill="1" applyBorder="1"/>
    <x:xf numFmtId="200" fontId="2" fillId="2" borderId="0" xfId="0" applyNumberFormat="1" applyFont="1" applyFill="1" applyBorder="1"/>
    <x:xf numFmtId="200" fontId="4" fillId="4" borderId="0" xfId="0" applyNumberFormat="1" applyFont="1" applyFill="1" applyBorder="1"/>
    <x:xf numFmtId="0" fontId="0" fillId="5" borderId="0" xfId="0" applyNumberFormat="1" applyFont="1" applyFill="1" applyBorder="1" applyAlignment="1">
      <x:alignment vertical="bottom" wrapText="0"/>
    </x:xf>
    <x:xf numFmtId="0" fontId="5" fillId="5" borderId="0" xfId="0" applyNumberFormat="1" applyFont="1" applyFill="1" applyBorder="1" applyAlignment="1">
      <x:alignment vertical="bottom" wrapText="0"/>
    </x:xf>
    <x:xf numFmtId="0" fontId="5" fillId="5" borderId="0" xfId="0" applyNumberFormat="1" applyFont="1" applyFill="1" applyBorder="1" applyAlignment="1">
      <x:alignment horizontal="center" vertical="bottom" wrapText="0"/>
    </x:xf>
    <x:xf numFmtId="0" fontId="5" fillId="5" borderId="0" xfId="0" applyNumberFormat="1" applyFont="1" applyFill="1" applyBorder="1" applyAlignment="1">
      <x:alignment horizontal="center" vertical="center" wrapText="0"/>
    </x:xf>
    <x:xf numFmtId="0" fontId="0" fillId="6" borderId="0" xfId="0" applyNumberFormat="1" applyFont="1" applyFill="1" applyBorder="1" applyAlignment="1">
      <x:alignment vertical="bottom" wrapText="0"/>
    </x:xf>
    <x:xf numFmtId="0" fontId="5" fillId="6" borderId="0" xfId="0" applyNumberFormat="1" applyFont="1" applyFill="1" applyBorder="1" applyAlignment="1">
      <x:alignment vertical="bottom" wrapText="0"/>
    </x:xf>
    <x:xf numFmtId="0" fontId="0" fillId="7" borderId="0" xfId="0" applyNumberFormat="1" applyFont="1" applyFill="1" applyBorder="1" applyAlignment="1">
      <x:alignment vertical="bottom" wrapText="0"/>
    </x:xf>
    <x:xf numFmtId="0" fontId="0" fillId="7" borderId="0" xfId="0" applyNumberFormat="1" applyFont="1" applyFill="1" applyBorder="1" applyAlignment="1">
      <x:alignment horizontal="center" vertical="bottom" wrapText="0"/>
    </x:xf>
    <x:xf numFmtId="201" fontId="0" fillId="7" borderId="0" xfId="0" applyNumberFormat="1" applyFont="1" applyFill="1" applyBorder="1" applyAlignment="1">
      <x:alignment horizontal="center" vertical="bottom" wrapText="0"/>
    </x:xf>
    <x:xf numFmtId="0" fontId="5" fillId="5" borderId="2" xfId="0" applyNumberFormat="1" applyFont="1" applyFill="1" applyBorder="1" applyAlignment="1">
      <x:alignment horizontal="center" vertical="center" wrapText="0"/>
    </x:xf>
    <x:xf numFmtId="0" fontId="5" fillId="5" borderId="3" xfId="0" applyNumberFormat="1" applyFont="1" applyFill="1" applyBorder="1" applyAlignment="1">
      <x:alignment horizontal="center" vertical="center" wrapText="0"/>
    </x:xf>
    <x:xf numFmtId="0" fontId="5" fillId="5" borderId="4" xfId="0" applyNumberFormat="1" applyFont="1" applyFill="1" applyBorder="1" applyAlignment="1">
      <x:alignment horizontal="center" vertical="center" wrapText="0"/>
    </x:xf>
    <x:xf numFmtId="0" fontId="5" fillId="6" borderId="5" xfId="0" applyNumberFormat="1" applyFont="1" applyFill="1" applyBorder="1" applyAlignment="1">
      <x:alignment vertical="bottom" wrapText="0"/>
    </x:xf>
    <x:xf numFmtId="201" fontId="0" fillId="7" xfId="0" applyNumberFormat="1" applyFont="1" applyFill="1" applyBorder="0" applyAlignment="1">
      <x:alignment horizontal="center" vertical="bottom" wrapText="0"/>
    </x:xf>
    <x:xf numFmtId="201" fontId="0" fillId="7" borderId="6" xfId="0" applyNumberFormat="1" applyFont="1" applyFill="1" applyBorder="1" applyAlignment="1">
      <x:alignment horizontal="center" vertical="bottom" wrapText="0"/>
    </x:xf>
    <x:xf numFmtId="0" fontId="5" fillId="6" borderId="7" xfId="0" applyNumberFormat="1" applyFont="1" applyFill="1" applyBorder="1" applyAlignment="1">
      <x:alignment vertical="bottom" wrapText="0"/>
    </x:xf>
    <x:xf numFmtId="201" fontId="0" fillId="7" borderId="8" xfId="0" applyNumberFormat="1" applyFont="1" applyFill="1" applyBorder="1" applyAlignment="1">
      <x:alignment horizontal="center" vertical="bottom" wrapText="0"/>
    </x:xf>
    <x:xf numFmtId="201" fontId="0" fillId="7" borderId="9" xfId="0" applyNumberFormat="1" applyFont="1" applyFill="1" applyBorder="1" applyAlignment="1">
      <x:alignment horizontal="center" vertical="bottom" wrapText="0"/>
    </x:xf>
    <x:xf numFmtId="0" fontId="0" fillId="8" borderId="0" xfId="0" applyNumberFormat="1" applyFont="1" applyFill="1" applyBorder="1" applyAlignment="1">
      <x:alignment vertical="bottom" wrapText="0"/>
    </x:xf>
    <x:xf numFmtId="0" fontId="5" fillId="8" borderId="0" xfId="0" applyNumberFormat="1" applyFont="1" applyFill="1" applyBorder="1" applyAlignment="1">
      <x:alignment vertical="bottom" wrapText="0"/>
    </x:xf>
    <x:xf numFmtId="0" fontId="5" fillId="8" borderId="0" xfId="0" applyNumberFormat="1" applyFont="1" applyFill="1" applyBorder="1" applyAlignment="1">
      <x:alignment vertical="bottom" wrapText="1"/>
    </x:xf>
    <x:xf numFmtId="0" fontId="5" fillId="8" borderId="0" xfId="0" applyNumberFormat="1" applyFont="1" applyFill="1" applyBorder="1" applyAlignment="1">
      <x:alignment horizontal="center" vertical="bottom" wrapText="1"/>
    </x:xf>
    <x:xf numFmtId="202" fontId="0" fillId="0" borderId="0" xfId="0" applyNumberFormat="1" applyFont="1" applyFill="1" applyBorder="1" applyAlignment="1">
      <x:alignment vertical="bottom" wrapText="0"/>
    </x:xf>
    <x:xf numFmtId="0" fontId="5" fillId="8" borderId="10" xfId="0" applyNumberFormat="1" applyFont="1" applyFill="1" applyBorder="1" applyAlignment="1">
      <x:alignment horizontal="center" vertical="bottom" wrapText="1"/>
    </x:xf>
    <x:xf numFmtId="0" fontId="5" fillId="8" borderId="11" xfId="0" applyNumberFormat="1" applyFont="1" applyFill="1" applyBorder="1" applyAlignment="1">
      <x:alignment horizontal="center" vertical="bottom" wrapText="1"/>
    </x:xf>
    <x:xf numFmtId="0" fontId="5" fillId="8" borderId="12" xfId="0" applyNumberFormat="1" applyFont="1" applyFill="1" applyBorder="1" applyAlignment="1">
      <x:alignment horizontal="center" vertical="bottom" wrapText="1"/>
    </x:xf>
    <x:xf numFmtId="0" fontId="0" fillId="0" borderId="13" xfId="0" applyNumberFormat="1" applyFont="1" applyFill="1" applyBorder="1" applyAlignment="1">
      <x:alignment vertical="bottom" wrapText="0"/>
    </x:xf>
    <x:xf numFmtId="202" fontId="0" fillId="0" xfId="0" applyNumberFormat="1" applyFont="1" applyFill="1" applyBorder="0" applyAlignment="1">
      <x:alignment vertical="bottom" wrapText="0"/>
    </x:xf>
    <x:xf numFmtId="202" fontId="0" fillId="0" borderId="14" xfId="0" applyNumberFormat="1" applyFont="1" applyFill="1" applyBorder="1" applyAlignment="1">
      <x:alignment vertical="bottom" wrapText="0"/>
    </x:xf>
    <x:xf numFmtId="0" fontId="0" fillId="0" borderId="15" xfId="0" applyNumberFormat="1" applyFont="1" applyFill="1" applyBorder="1" applyAlignment="1">
      <x:alignment vertical="bottom" wrapText="0"/>
    </x:xf>
    <x:xf numFmtId="202" fontId="0" fillId="0" borderId="16" xfId="0" applyNumberFormat="1" applyFont="1" applyFill="1" applyBorder="1" applyAlignment="1">
      <x:alignment vertical="bottom" wrapText="0"/>
    </x:xf>
    <x:xf numFmtId="202" fontId="0" fillId="0" borderId="17" xfId="0" applyNumberFormat="1" applyFont="1" applyFill="1" applyBorder="1" applyAlignment="1">
      <x:alignment vertical="bottom" wrapText="0"/>
    </x:xf>
    <x:xf numFmtId="0" fontId="0" fillId="9" borderId="0" xfId="0" applyNumberFormat="1" applyFont="1" applyFill="1" applyBorder="1" applyAlignment="1">
      <x:alignment vertical="bottom" wrapText="0"/>
    </x:xf>
    <x:xf numFmtId="0" fontId="5" fillId="9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bottom" wrapText="1"/>
    </x:xf>
    <x:xf numFmtId="20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 applyAlignment="1">
      <x:alignment vertical="bottom" wrapText="0"/>
    </x:xf>
    <x:xf numFmtId="0" fontId="5" fillId="9" borderId="0" xfId="0" applyNumberFormat="1" applyFont="1" applyFill="1" applyBorder="1" applyAlignment="1">
      <x:alignment vertical="bottom" wrapText="1"/>
    </x:xf>
    <x:xf numFmtId="0" fontId="5" fillId="0" borderId="0" xfId="0" applyNumberFormat="1" applyFont="1" applyFill="1" applyBorder="1" applyAlignment="1">
      <x:alignment vertical="bottom" wrapText="1"/>
    </x:xf>
    <x:xf numFmtId="0" fontId="0" fillId="10" borderId="0" xfId="0" applyNumberFormat="1" applyFont="1" applyFill="1" applyBorder="1" applyAlignment="1">
      <x:alignment vertical="bottom" wrapText="0"/>
    </x:xf>
    <x:xf numFmtId="0" fontId="6" fillId="10" borderId="0" xfId="0" applyNumberFormat="1" applyFont="1" applyFill="1" applyBorder="1" applyAlignment="1">
      <x:alignment vertical="bottom" wrapText="0"/>
    </x:xf>
    <x:xf numFmtId="0" fontId="6" fillId="10" borderId="0" xfId="0" applyNumberFormat="1" applyFont="1" applyFill="1" applyBorder="1" applyAlignment="1">
      <x:alignment vertical="bottom" wrapText="1"/>
    </x:xf>
    <x:xf numFmtId="0" fontId="6" fillId="10" borderId="0" xfId="0" applyNumberFormat="1" applyFont="1" applyFill="1" applyBorder="1" applyAlignment="1">
      <x:alignment horizontal="center" vertical="bottom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18" xfId="0" applyNumberFormat="1" applyFont="1" applyFill="1" applyBorder="1" applyAlignment="1">
      <x:alignment horizontal="center" vertical="center" wrapText="1"/>
    </x:xf>
    <x:xf numFmtId="0" fontId="6" fillId="10" borderId="19" xfId="0" applyNumberFormat="1" applyFont="1" applyFill="1" applyBorder="1" applyAlignment="1">
      <x:alignment horizontal="center" vertical="center" wrapText="1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bottom" wrapText="1"/>
    </x:xf>
    <x:xf numFmtId="0" fontId="0" fillId="0" xfId="0" applyNumberFormat="1" applyFont="1" applyFill="1" applyBorder="0" applyAlignment="1">
      <x:alignment vertical="bottom" wrapText="1"/>
    </x:xf>
    <x:xf numFmtId="0" fontId="0" fillId="0" borderId="22" xfId="0" applyNumberFormat="1" applyFont="1" applyFill="1" applyBorder="1" applyAlignment="1">
      <x:alignment vertical="bottom" wrapText="1"/>
    </x:xf>
    <x:xf numFmtId="0" fontId="0" fillId="0" borderId="23" xfId="0" applyNumberFormat="1" applyFont="1" applyFill="1" applyBorder="1" applyAlignment="1">
      <x:alignment vertical="bottom" wrapText="1"/>
    </x:xf>
    <x:xf numFmtId="0" fontId="0" fillId="0" borderId="24" xfId="0" applyNumberFormat="1" applyFont="1" applyFill="1" applyBorder="1" applyAlignment="1">
      <x:alignment vertical="bottom" wrapText="1"/>
    </x:xf>
    <x:xf numFmtId="0" fontId="0" fillId="0" borderId="25" xfId="0" applyNumberFormat="1" applyFont="1" applyFill="1" applyBorder="1" applyAlignment="1">
      <x:alignment vertical="bottom" wrapText="1"/>
    </x:xf>
    <x:xf numFmtId="202" fontId="0" fillId="0" xfId="0" applyNumberFormat="1" applyFont="1" applyFill="1" applyBorder="0" applyAlignment="1">
      <x:alignment vertical="bottom" wrapText="1"/>
    </x:xf>
    <x:xf numFmtId="202" fontId="0" fillId="0" borderId="24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ffe043122469b" /><Relationship Type="http://schemas.openxmlformats.org/officeDocument/2006/relationships/theme" Target="/xl/theme/theme1.xml" Id="Rbd2767b08d634e0b" /><Relationship Type="http://schemas.openxmlformats.org/officeDocument/2006/relationships/sharedStrings" Target="/xl/sharedStrings.xml" Id="Rb3a77b31a07e42f3" /><Relationship Type="http://schemas.openxmlformats.org/officeDocument/2006/relationships/worksheet" Target="/xl/worksheets/sheet1.xml" Id="R9b92bee9ca0d4781" /><Relationship Type="http://schemas.openxmlformats.org/officeDocument/2006/relationships/worksheet" Target="/xl/worksheets/sheet2.xml" Id="R1cea016343294444" /><Relationship Type="http://schemas.openxmlformats.org/officeDocument/2006/relationships/worksheet" Target="/xl/worksheets/sheet3.xml" Id="R56440d0491f948f2" /><Relationship Type="http://schemas.openxmlformats.org/officeDocument/2006/relationships/worksheet" Target="/xl/worksheets/sheet4.xml" Id="Rbfc400438466498b" /><Relationship Type="http://schemas.openxmlformats.org/officeDocument/2006/relationships/worksheet" Target="/xl/worksheets/sheet5.xml" Id="R1aedc7f095994f85" /><Relationship Type="http://schemas.openxmlformats.org/officeDocument/2006/relationships/worksheet" Target="/xl/worksheets/sheet6.xml" Id="R32f42a1bca89489a" /><Relationship Type="http://schemas.openxmlformats.org/officeDocument/2006/relationships/worksheet" Target="/xl/worksheets/sheet7.xml" Id="Ra735ab7f97fa416b" /></Relationships>
</file>

<file path=xl/tables/table1.xml><?xml version="1.0" encoding="utf-8"?>
<x:table xmlns:x="http://schemas.openxmlformats.org/spreadsheetml/2006/main" id="1" name="PiaciAlaparIndoklasTable" displayName="PiaciAlaparIndoklasTable" ref="A1:F14" headerRowCount="1">
  <x:tableColumns count="6">
    <x:tableColumn id="1" name="Weboldal"/>
    <x:tableColumn id="2" name="Technológia"/>
    <x:tableColumn id="3" name="Új alapár (Ft/m²)"/>
    <x:tableColumn id="4" name="Árazási pozíció"/>
    <x:tableColumn id="5" name="Webes műszaki / árpiaci indoklás"/>
    <x:tableColumn id="6" name="Forrás"/>
  </x:tableColumns>
  <x:tableStyleInfo name="TableStyleMedium2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c71ede206bb9406f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9.3799991607666" customWidth="1"/>
    <x:col min="11" max="11" width="14.380000114440918" customWidth="1"/>
    <x:col min="12" max="12" width="18.8799991607666" customWidth="1"/>
    <x:col min="13" max="13" width="23.1299991607666" customWidth="1"/>
    <x:col min="14" max="14" width="19.5" customWidth="1"/>
    <x:col min="15" max="15" width="16" customWidth="1"/>
  </x:cols>
  <x:sheetData>
    <x:row r="1" ht="15.75" customHeight="1">
      <x:c r="A1" s="1"/>
      <x:c r="B1" s="2"/>
      <x:c r="C1" s="3"/>
      <x:c r="D1" s="4"/>
      <x:c r="E1" s="4"/>
      <x:c r="F1" s="4"/>
    </x:row>
    <x:row r="2" ht="15.75" customHeight="1">
      <x:c r="A2" s="5" t="s">
        <x:v>0</x:v>
      </x:c>
      <x:c r="B2" s="36">
        <x:v>599500.0</x:v>
      </x:c>
      <x:c r="C2" s="6"/>
      <x:c r="D2" s="4"/>
      <x:c r="E2" s="4"/>
      <x:c r="F2" s="4"/>
      <x:c r="G2" s="4"/>
      <x:c r="H2" s="4"/>
    </x:row>
    <x:row r="3" ht="15.75" customHeight="1">
      <x:c r="A3" s="5" t="s">
        <x:v>1</x:v>
      </x:c>
      <x:c r="B3" s="36">
        <x:v>670000.0</x:v>
      </x:c>
      <x:c r="C3" s="3"/>
      <x:c r="D3" s="4"/>
      <x:c r="E3" s="4"/>
      <x:c r="F3" s="4"/>
      <x:c r="G3" s="4"/>
      <x:c r="H3" s="4"/>
    </x:row>
    <x:row r="4" ht="15.75" customHeight="1">
      <x:c r="A4" s="5" t="s">
        <x:v>2</x:v>
      </x:c>
      <x:c r="B4" s="37" t="n">
        <x:v>680000</x:v>
      </x:c>
      <x:c r="C4" s="3"/>
      <x:c r="D4" s="4"/>
      <x:c r="E4" s="4"/>
      <x:c r="F4" s="4"/>
      <x:c r="G4" s="4"/>
      <x:c r="H4" s="4"/>
    </x:row>
    <x:row r="5" ht="15.75" customHeight="1">
      <x:c r="A5" s="5" t="s">
        <x:v>3</x:v>
      </x:c>
      <x:c r="B5" s="37" t="n">
        <x:v>790000</x:v>
      </x:c>
      <x:c r="C5" s="4"/>
      <x:c r="D5" s="4"/>
      <x:c r="E5" s="4"/>
      <x:c r="F5" s="4"/>
      <x:c r="G5" s="4"/>
      <x:c r="H5" s="4"/>
    </x:row>
    <x:row r="6" ht="15.75" customHeight="1">
      <x:c r="A6" s="5" t="s">
        <x:v>4</x:v>
      </x:c>
      <x:c r="B6" s="37" t="n">
        <x:v>810000</x:v>
      </x:c>
      <x:c r="C6" s="4"/>
      <x:c r="D6" s="4"/>
      <x:c r="E6" s="4"/>
      <x:c r="F6" s="4"/>
      <x:c r="G6" s="4"/>
      <x:c r="H6" s="4"/>
    </x:row>
    <x:row r="7" ht="15.75" customHeight="1">
      <x:c r="A7" s="5" t="s">
        <x:v>5</x:v>
      </x:c>
      <x:c r="B7" s="37" t="n">
        <x:v>750000</x:v>
      </x:c>
      <x:c r="C7" s="4"/>
      <x:c r="D7" s="4"/>
      <x:c r="E7" s="4"/>
      <x:c r="F7" s="4"/>
      <x:c r="G7" s="4"/>
      <x:c r="H7" s="4"/>
    </x:row>
    <x:row r="8" ht="15.75" customHeight="1">
      <x:c r="A8" s="5" t="s">
        <x:v>6</x:v>
      </x:c>
      <x:c r="B8" s="36">
        <x:v>659500.0</x:v>
      </x:c>
      <x:c r="C8" s="4"/>
      <x:c r="D8" s="4"/>
      <x:c r="E8" s="4"/>
      <x:c r="F8" s="4"/>
      <x:c r="G8" s="4"/>
      <x:c r="H8" s="4"/>
    </x:row>
    <x:row r="9" ht="15.75" customHeight="1">
      <x:c r="A9" s="5" t="s">
        <x:v>7</x:v>
      </x:c>
      <x:c r="B9" s="36">
        <x:v>610000.0</x:v>
      </x:c>
      <x:c r="C9" s="4"/>
      <x:c r="D9" s="4"/>
      <x:c r="E9" s="4"/>
      <x:c r="F9" s="4"/>
      <x:c r="G9" s="4"/>
      <x:c r="H9" s="4"/>
    </x:row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23" hidden="0" customWidth="1"/>
    <x:col min="11" max="11" width="14.380000114440918" customWidth="1"/>
    <x:col min="13" max="13" width="23.1299991607666" customWidth="1"/>
    <x:col min="2" max="2" width="23" hidden="0" customWidth="1"/>
  </x:cols>
  <x:sheetData>
    <x:row r="1" ht="15.75" customHeight="1">
      <x:c r="A1" s="1"/>
      <x:c r="B1" s="73"/>
      <x:c r="C1" s="8"/>
      <x:c r="D1" s="8"/>
      <x:c r="E1" s="8"/>
      <x:c r="F1" s="8"/>
    </x:row>
    <x:row r="2" ht="15.75" customHeight="1">
      <x:c r="A2" s="5" t="s">
        <x:v>2</x:v>
      </x:c>
      <x:c r="B2" s="73" t="n">
        <x:v>625000</x:v>
      </x:c>
      <x:c r="C2" s="8"/>
      <x:c r="D2" s="8"/>
      <x:c r="E2" s="8"/>
      <x:c r="F2" s="8"/>
    </x:row>
    <x:row r="3" ht="15.75" customHeight="1">
      <x:c r="A3" s="5" t="s">
        <x:v>3</x:v>
      </x:c>
      <x:c r="B3" s="73" t="n">
        <x:v>735000</x:v>
      </x:c>
      <x:c r="C3" s="8"/>
      <x:c r="D3" s="8"/>
      <x:c r="E3" s="8"/>
      <x:c r="F3" s="8"/>
    </x:row>
    <x:row r="4" ht="15.75" customHeight="1">
      <x:c r="A4" s="5" t="s">
        <x:v>4</x:v>
      </x:c>
      <x:c r="B4" s="73" t="n">
        <x:v>760000</x:v>
      </x:c>
      <x:c r="C4" s="8"/>
      <x:c r="D4" s="8"/>
      <x:c r="E4" s="8"/>
      <x:c r="F4" s="8"/>
    </x:row>
    <x:row r="5" ht="15.75" customHeight="1">
      <x:c r="A5" s="5" t="s">
        <x:v>5</x:v>
      </x:c>
      <x:c r="B5" s="73" t="n">
        <x:v>675000</x:v>
      </x:c>
      <x:c r="C5" s="8"/>
      <x:c r="D5" s="8"/>
      <x:c r="E5" s="8"/>
      <x:c r="F5" s="8"/>
    </x:row>
    <x:row r="6" ht="15.75" customHeight="1">
      <x:c r="C6" s="8"/>
      <x:c r="D6" s="8"/>
      <x:c r="E6" s="8"/>
      <x:c r="F6" s="8"/>
    </x:row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>
      <x:c r="O13" s="9"/>
    </x:row>
    <x:row r="14" ht="15.75" customHeight="1">
      <x:c r="O14" s="9"/>
    </x:row>
    <x:row r="15" ht="15.75" customHeight="1">
      <x:c r="O15" s="9"/>
    </x:row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23" hidden="0" customWidth="1"/>
    <x:col min="11" max="11" width="14.380000114440918" customWidth="1"/>
    <x:col min="13" max="13" width="23.1299991607666" customWidth="1"/>
    <x:col min="2" max="2" width="23" hidden="0" customWidth="1"/>
  </x:cols>
  <x:sheetData>
    <x:row r="1" ht="15.75" customHeight="1">
      <x:c r="A1" s="10"/>
      <x:c r="B1" s="74" t="s">
        <x:v>8</x:v>
      </x:c>
      <x:c r="C1" s="12"/>
      <x:c r="D1" s="12"/>
    </x:row>
    <x:row r="2" ht="15.75" customHeight="1">
      <x:c r="A2" s="13" t="s">
        <x:v>2</x:v>
      </x:c>
      <x:c r="B2" s="75" t="n">
        <x:v>630000</x:v>
      </x:c>
    </x:row>
    <x:row r="3" ht="15.75" customHeight="1">
      <x:c r="A3" s="13" t="s">
        <x:v>3</x:v>
      </x:c>
      <x:c r="B3" s="75" t="n">
        <x:v>735000</x:v>
      </x:c>
    </x:row>
    <x:row r="4" ht="15.75" customHeight="1">
      <x:c r="A4" s="13" t="s">
        <x:v>4</x:v>
      </x:c>
      <x:c r="B4" s="75" t="n">
        <x:v>760000</x:v>
      </x:c>
    </x:row>
    <x:row r="5" ht="15.75" customHeight="1">
      <x:c r="A5" s="13" t="s">
        <x:v>5</x:v>
      </x:c>
      <x:c r="B5" s="75" t="n">
        <x:v>700000</x:v>
      </x:c>
    </x:row>
    <x:row r="6" ht="15.75" customHeight="1">
      <x:c r="A6" s="12"/>
      <x:c r="B6" s="12"/>
    </x:row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>
      <x:c r="O13" s="9"/>
    </x:row>
    <x:row r="14" ht="15.75" customHeight="1">
      <x:c r="O14" s="9"/>
    </x:row>
    <x:row r="15" ht="15.75" customHeight="1">
      <x:c r="O15" s="9"/>
    </x:row>
    <x:row r="16" ht="15.75" customHeight="1">
      <x:c r="O16" s="9"/>
    </x:row>
    <x:row r="17" ht="15.75" customHeight="1">
      <x:c r="O17" s="9"/>
    </x:row>
    <x:row r="18" ht="15.75" customHeight="1"/>
    <x:row r="19" ht="15.75" customHeight="1"/>
    <x:row r="20" ht="15.75" customHeight="1"/>
    <x:row r="21" ht="15.75" customHeight="1"/>
    <x:row r="22" ht="15.75" customHeight="1">
      <x:c r="N22" s="15"/>
    </x:row>
    <x:row r="23" ht="15.75" customHeight="1">
      <x:c r="N23" s="15"/>
    </x:row>
    <x:row r="24" ht="15.75" customHeight="1"/>
    <x:row r="25" ht="15.75" customHeight="1">
      <x:c r="L25" s="16"/>
      <x:c r="M25" s="16"/>
      <x:c r="N25" s="16"/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23" hidden="0" customWidth="1"/>
    <x:col min="4" max="4" width="30.5" customWidth="1"/>
    <x:col min="5" max="5" width="26.1299991607666" customWidth="1"/>
    <x:col min="6" max="6" width="24.3799991607666" customWidth="1"/>
    <x:col min="11" max="11" width="14.380000114440918" customWidth="1"/>
    <x:col min="13" max="13" width="23.1299991607666" customWidth="1"/>
    <x:col min="2" max="2" width="23" hidden="0" customWidth="1"/>
  </x:cols>
  <x:sheetData>
    <x:row r="1" ht="15.75" customHeight="1">
      <x:c r="A1" s="1"/>
      <x:c r="B1" s="74"/>
      <x:c r="C1" s="8"/>
      <x:c r="D1" s="8"/>
      <x:c r="E1" s="8"/>
      <x:c r="F1" s="8"/>
    </x:row>
    <x:row r="2" ht="15.75" customHeight="1">
      <x:c r="A2" s="5" t="s">
        <x:v>2</x:v>
      </x:c>
      <x:c r="B2" s="74" t="n">
        <x:v>610000</x:v>
      </x:c>
      <x:c r="C2" s="8"/>
      <x:c r="D2" s="8"/>
      <x:c r="E2" s="8"/>
      <x:c r="F2" s="8"/>
    </x:row>
    <x:row r="3" ht="15.75" customHeight="1"/>
    <x:row r="4" ht="15.75" customHeight="1"/>
    <x:row r="5" ht="15.75" customHeight="1"/>
    <x:row r="6" ht="15.75" customHeight="1">
      <x:c r="O6" s="9"/>
    </x:row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>
      <x:c r="F13" s="9"/>
    </x:row>
    <x:row r="14" ht="15.75" customHeight="1">
      <x:c r="F14" s="9"/>
      <x:c r="L14" s="15"/>
    </x:row>
    <x:row r="15" ht="15.75" customHeight="1">
      <x:c r="F15" s="9"/>
      <x:c r="K15" s="15"/>
      <x:c r="L15" s="15"/>
      <x:c r="M15" s="15"/>
      <x:c r="N15" s="15"/>
    </x:row>
    <x:row r="16" ht="15.75" customHeight="1">
      <x:c r="K16" s="15"/>
      <x:c r="L16" s="15"/>
      <x:c r="N16" s="15"/>
    </x:row>
    <x:row r="17" ht="15.75" customHeight="1">
      <x:c r="B17" s="15"/>
      <x:c r="C17" s="15"/>
      <x:c r="K17" s="15"/>
    </x:row>
    <x:row r="18" ht="15.75" customHeight="1">
      <x:c r="B18" s="15"/>
      <x:c r="C18" s="15"/>
      <x:c r="K18" s="16"/>
      <x:c r="L18" s="16"/>
      <x:c r="M18" s="16"/>
      <x:c r="N18" s="16"/>
    </x:row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23" hidden="0" customWidth="1"/>
    <x:col min="4" max="5" width="24.1299991607666" customWidth="1"/>
    <x:col min="13" max="13" width="14.380000114440918" customWidth="1"/>
    <x:col min="15" max="15" width="23.1299991607666" customWidth="1"/>
    <x:col min="2" max="2" width="23" hidden="0" customWidth="1"/>
  </x:cols>
  <x:sheetData>
    <x:row r="1" ht="15.75" customHeight="1">
      <x:c r="A1" s="1"/>
      <x:c r="B1" s="74"/>
      <x:c r="C1" s="8"/>
      <x:c r="D1" s="8"/>
      <x:c r="E1" s="8"/>
      <x:c r="F1" s="8"/>
      <x:c r="G1" s="8"/>
      <x:c r="H1" s="8"/>
    </x:row>
    <x:row r="2" ht="15.75" customHeight="1">
      <x:c r="A2" s="5" t="s">
        <x:v>2</x:v>
      </x:c>
      <x:c r="B2" s="74" t="n">
        <x:v>640000</x:v>
      </x:c>
      <x:c r="C2" s="8"/>
      <x:c r="D2" s="8"/>
      <x:c r="E2" s="8"/>
      <x:c r="F2" s="8"/>
      <x:c r="G2" s="8"/>
      <x:c r="H2" s="8"/>
    </x:row>
    <x:row r="3" ht="15.75" customHeight="1">
      <x:c r="A3" s="5" t="s">
        <x:v>3</x:v>
      </x:c>
      <x:c r="B3" s="74" t="n">
        <x:v>750000</x:v>
      </x:c>
      <x:c r="C3" s="8"/>
      <x:c r="D3" s="8"/>
      <x:c r="E3" s="8"/>
      <x:c r="F3" s="8"/>
      <x:c r="G3" s="8"/>
      <x:c r="H3" s="8"/>
      <x:c r="I3" s="9"/>
    </x:row>
    <x:row r="4" ht="15.75" customHeight="1">
      <x:c r="A4" s="5" t="s">
        <x:v>4</x:v>
      </x:c>
      <x:c r="B4" s="74" t="n">
        <x:v>775000</x:v>
      </x:c>
      <x:c r="C4" s="8"/>
      <x:c r="D4" s="8"/>
      <x:c r="E4" s="8"/>
      <x:c r="F4" s="8"/>
      <x:c r="G4" s="8"/>
      <x:c r="H4" s="8"/>
      <x:c r="I4" s="9"/>
    </x:row>
    <x:row r="5" ht="15.75" customHeight="1">
      <x:c r="A5" s="5" t="s">
        <x:v>5</x:v>
      </x:c>
      <x:c r="B5" s="74" t="n">
        <x:v>690000</x:v>
      </x:c>
      <x:c r="C5" s="8"/>
      <x:c r="D5" s="8"/>
      <x:c r="E5" s="8"/>
      <x:c r="F5" s="8"/>
      <x:c r="G5" s="8"/>
      <x:c r="H5" s="8"/>
      <x:c r="I5" s="9"/>
    </x:row>
    <x:row r="6" ht="15.75" customHeight="1">
      <x:c r="C6" s="8"/>
      <x:c r="D6" s="8"/>
      <x:c r="E6" s="8"/>
      <x:c r="F6" s="8"/>
      <x:c r="G6" s="8"/>
      <x:c r="H6" s="8"/>
      <x:c r="I6" s="9"/>
    </x:row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>
      <x:c r="Q13" s="9"/>
    </x:row>
    <x:row r="14" ht="15.75" customHeight="1">
      <x:c r="Q14" s="9"/>
    </x:row>
    <x:row r="15" ht="15.75" customHeight="1">
      <x:c r="Q15" s="9"/>
    </x:row>
    <x:row r="16" ht="15.75" customHeight="1">
      <x:c r="Q16" s="9"/>
    </x:row>
    <x:row r="17" ht="15.75" customHeight="1">
      <x:c r="Q17" s="9"/>
    </x:row>
    <x:row r="18" ht="15.75" customHeight="1"/>
    <x:row r="19" ht="15.75" customHeight="1"/>
    <x:row r="20" ht="15.75" customHeight="1"/>
    <x:row r="21" ht="15.75" customHeight="1"/>
    <x:row r="22" ht="15.75" customHeight="1">
      <x:c r="O22" s="15"/>
      <x:c r="P22" s="15"/>
    </x:row>
    <x:row r="23" ht="15.75" customHeight="1">
      <x:c r="P23" s="15"/>
    </x:row>
    <x:row r="24" ht="15.75" customHeight="1"/>
    <x:row r="25" ht="15.75" customHeight="1">
      <x:c r="O25" s="16"/>
      <x:c r="P25" s="16"/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7" t="str">
        <x:v>Átadási állapot</x:v>
      </x:c>
      <x:c r="B1" s="48" t="str">
        <x:v>Alap</x:v>
      </x:c>
      <x:c r="C1" s="48" t="str">
        <x:v>Közép</x:v>
      </x:c>
      <x:c r="D1" s="49" t="str">
        <x:v>Prémium</x:v>
      </x:c>
    </x:row>
    <x:row r="2">
      <x:c r="A2" s="50" t="str">
        <x:v>Szerkezetkész</x:v>
      </x:c>
      <x:c r="B2" s="51" t="n">
        <x:v>0.64</x:v>
      </x:c>
      <x:c r="C2" s="51" t="n">
        <x:v>0.75</x:v>
      </x:c>
      <x:c r="D2" s="52" t="n">
        <x:v>0.84</x:v>
      </x:c>
    </x:row>
    <x:row r="3">
      <x:c r="A3" s="50" t="str">
        <x:v>Fűtéskész</x:v>
      </x:c>
      <x:c r="B3" s="51" t="n">
        <x:v>0.86</x:v>
      </x:c>
      <x:c r="C3" s="51" t="n">
        <x:v>1</x:v>
      </x:c>
      <x:c r="D3" s="52" t="n">
        <x:v>1.13</x:v>
      </x:c>
    </x:row>
    <x:row r="4">
      <x:c r="A4" s="53" t="str">
        <x:v>Kulcsrakész</x:v>
      </x:c>
      <x:c r="B4" s="54" t="n">
        <x:v>1</x:v>
      </x:c>
      <x:c r="C4" s="54" t="n">
        <x:v>1.16</x:v>
      </x:c>
      <x:c r="D4" s="55" t="n">
        <x:v>1.31</x:v>
      </x:c>
    </x:row>
    <x:row r="7">
      <x:c r="A7" s="61" t="str">
        <x:v>Technológia</x:v>
      </x:c>
      <x:c r="B7" s="62" t="str">
        <x:v>Alapár</x:v>
      </x:c>
      <x:c r="C7" s="62" t="str">
        <x:v>Szerk. Alap</x:v>
      </x:c>
      <x:c r="D7" s="62" t="str">
        <x:v>Szerk. Közép</x:v>
      </x:c>
      <x:c r="E7" s="62" t="str">
        <x:v>Szerk. Prémium</x:v>
      </x:c>
      <x:c r="F7" s="62" t="str">
        <x:v>Fűt. Alap</x:v>
      </x:c>
      <x:c r="G7" s="62" t="str">
        <x:v>Fűt. Közép</x:v>
      </x:c>
      <x:c r="H7" s="62" t="str">
        <x:v>Fűt. Prémium</x:v>
      </x:c>
      <x:c r="I7" s="62" t="str">
        <x:v>Kulcs Közép</x:v>
      </x:c>
      <x:c r="J7" s="63" t="str">
        <x:v>Kulcs Prémium</x:v>
      </x:c>
    </x:row>
    <x:row r="8">
      <x:c r="A8" s="64" t="str">
        <x:v>Danish Fabrik</x:v>
      </x:c>
      <x:c r="B8" s="65" t="n">
        <x:v>680000</x:v>
      </x:c>
      <x:c r="C8" s="65" t="n">
        <x:f>B8*$B$2</x:f>
        <x:v>435200</x:v>
      </x:c>
      <x:c r="D8" s="65" t="n">
        <x:f>B8*$C$2</x:f>
        <x:v>510000</x:v>
      </x:c>
      <x:c r="E8" s="65" t="n">
        <x:f>B8*$D$2</x:f>
        <x:v>571200</x:v>
      </x:c>
      <x:c r="F8" s="65" t="n">
        <x:f>B8*$B$3</x:f>
        <x:v>584800</x:v>
      </x:c>
      <x:c r="G8" s="65" t="n">
        <x:f>B8*$C$3</x:f>
        <x:v>680000</x:v>
      </x:c>
      <x:c r="H8" s="65" t="n">
        <x:f>B8*$D$3</x:f>
        <x:v>768399.9999999999</x:v>
      </x:c>
      <x:c r="I8" s="65" t="n">
        <x:f>B8*$C$4</x:f>
        <x:v>788800</x:v>
      </x:c>
      <x:c r="J8" s="66" t="n">
        <x:f>B8*$D$4</x:f>
        <x:v>890800</x:v>
      </x:c>
    </x:row>
    <x:row r="9">
      <x:c r="A9" s="64" t="str">
        <x:v>Tégla</x:v>
      </x:c>
      <x:c r="B9" s="65" t="n">
        <x:v>750000</x:v>
      </x:c>
      <x:c r="C9" s="65" t="n">
        <x:f>B9*$B$2</x:f>
        <x:v>480000</x:v>
      </x:c>
      <x:c r="D9" s="65" t="n">
        <x:f>B9*$C$2</x:f>
        <x:v>562500</x:v>
      </x:c>
      <x:c r="E9" s="65" t="n">
        <x:f>B9*$D$2</x:f>
        <x:v>630000</x:v>
      </x:c>
      <x:c r="F9" s="65" t="n">
        <x:f>B9*$B$3</x:f>
        <x:v>645000</x:v>
      </x:c>
      <x:c r="G9" s="65" t="n">
        <x:f>B9*$C$3</x:f>
        <x:v>750000</x:v>
      </x:c>
      <x:c r="H9" s="65" t="n">
        <x:f>B9*$D$3</x:f>
        <x:v>847499.9999999999</x:v>
      </x:c>
      <x:c r="I9" s="65" t="n">
        <x:f>B9*$C$4</x:f>
        <x:v>869999.9999999999</x:v>
      </x:c>
      <x:c r="J9" s="66" t="n">
        <x:f>B9*$D$4</x:f>
        <x:v>982500</x:v>
      </x:c>
    </x:row>
    <x:row r="10">
      <x:c r="A10" s="64" t="str">
        <x:v>Leier</x:v>
      </x:c>
      <x:c r="B10" s="65" t="n">
        <x:v>790000</x:v>
      </x:c>
      <x:c r="C10" s="65" t="n">
        <x:f>B10*$B$2</x:f>
        <x:v>505600</x:v>
      </x:c>
      <x:c r="D10" s="65" t="n">
        <x:f>B10*$C$2</x:f>
        <x:v>592500</x:v>
      </x:c>
      <x:c r="E10" s="65" t="n">
        <x:f>B10*$D$2</x:f>
        <x:v>663600</x:v>
      </x:c>
      <x:c r="F10" s="65" t="n">
        <x:f>B10*$B$3</x:f>
        <x:v>679400</x:v>
      </x:c>
      <x:c r="G10" s="65" t="n">
        <x:f>B10*$C$3</x:f>
        <x:v>790000</x:v>
      </x:c>
      <x:c r="H10" s="65" t="n">
        <x:f>B10*$D$3</x:f>
        <x:v>892699.9999999999</x:v>
      </x:c>
      <x:c r="I10" s="65" t="n">
        <x:f>B10*$C$4</x:f>
        <x:v>916399.9999999999</x:v>
      </x:c>
      <x:c r="J10" s="66" t="n">
        <x:f>B10*$D$4</x:f>
        <x:v>1034900</x:v>
      </x:c>
    </x:row>
    <x:row r="11">
      <x:c r="A11" s="67" t="str">
        <x:v>Liapor</x:v>
      </x:c>
      <x:c r="B11" s="68" t="n">
        <x:v>810000</x:v>
      </x:c>
      <x:c r="C11" s="68" t="n">
        <x:f>B11*$B$2</x:f>
        <x:v>518400</x:v>
      </x:c>
      <x:c r="D11" s="68" t="n">
        <x:f>B11*$C$2</x:f>
        <x:v>607500</x:v>
      </x:c>
      <x:c r="E11" s="68" t="n">
        <x:f>B11*$D$2</x:f>
        <x:v>680400</x:v>
      </x:c>
      <x:c r="F11" s="68" t="n">
        <x:f>B11*$B$3</x:f>
        <x:v>696600</x:v>
      </x:c>
      <x:c r="G11" s="68" t="n">
        <x:f>B11*$C$3</x:f>
        <x:v>810000</x:v>
      </x:c>
      <x:c r="H11" s="68" t="n">
        <x:f>B11*$D$3</x:f>
        <x:v>915299.9999999999</x:v>
      </x:c>
      <x:c r="I11" s="68" t="n">
        <x:f>B11*$C$4</x:f>
        <x:v>939599.9999999999</x:v>
      </x:c>
      <x:c r="J11" s="69" t="n">
        <x:f>B11*$D$4</x:f>
        <x:v>1061100</x:v>
      </x:c>
    </x:row>
    <x:row r="13">
      <x:c r="A13" s="71" t="str">
        <x:v>Megjegyzés</x:v>
      </x:c>
      <x:c r="B13" s="72" t="str">
        <x:v>A technológiai alapár a Kulcsrakész Alap kategória 1,000 tényezőjének felel meg.</x:v>
      </x:c>
      <x:c r="C13" s="72"/>
      <x:c r="D13" s="72"/>
      <x:c r="E13" s="72"/>
      <x:c r="F13" s="72"/>
      <x:c r="G13" s="72"/>
      <x:c r="H13" s="72"/>
      <x:c r="I13" s="72"/>
      <x:c r="J13" s="72"/>
    </x:row>
    <x:row r="14">
      <x:c r="A14" s="77" t="str">
        <x:v>Hatókör</x:v>
      </x:c>
      <x:c r="B14" s="72" t="str">
        <x:v>Az Imperial, Bautica, Prefab, Danish Fabrik és BauFreund technológiai alapárai 2026. júliusi piaci és műszaki tartalom alapján frissítve. Az átadási állapot- és kategóriatényezők változatlanok.</x:v>
      </x:c>
      <x:c r="C14" s="72"/>
      <x:c r="D14" s="72"/>
      <x:c r="E14" s="72"/>
      <x:c r="F14" s="72"/>
      <x:c r="G14" s="72"/>
      <x:c r="H14" s="72"/>
      <x:c r="I14" s="72"/>
      <x:c r="J14" s="72"/>
    </x:row>
    <x:row r="15">
      <x:c r="A15" s="77" t="str">
        <x:v>Dátum</x:v>
      </x:c>
      <x:c r="B15" s="72" t="str">
        <x:v>2026-07-14</x:v>
      </x:c>
      <x:c r="C15" s="72"/>
      <x:c r="D15" s="72"/>
      <x:c r="E15" s="72"/>
      <x:c r="F15" s="72"/>
      <x:c r="G15" s="72"/>
      <x:c r="H15" s="72"/>
      <x:c r="I15" s="72"/>
      <x:c r="J15" s="72"/>
    </x:row>
    <x:row r="16">
      <x:c r="A16" s="78" t="str">
        <x:v>Alapelv</x:v>
      </x:c>
      <x:c r="B16" s="72" t="str">
        <x:v>A technológiai alapár a Kulcsrakész Alap kategória kiinduló Ft/m² értéke; a sávkorrekciók és kategóriatényezők ehhez képest számolódnak.</x:v>
      </x:c>
    </x:row>
  </x:sheetData>
  <x:mergeCells>
    <x:mergeCell ref="B13:J13"/>
    <x:mergeCell ref="B14:J14"/>
    <x:mergeCell ref="B15:J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24" hidden="0" customWidth="1"/>
    <x:col min="5" max="5" width="72" hidden="0" customWidth="1"/>
    <x:col min="6" max="6" width="54" hidden="0" customWidth="1"/>
  </x:cols>
  <x:sheetData>
    <x:row r="1">
      <x:c r="A1" s="84" t="str">
        <x:v>Weboldal</x:v>
      </x:c>
      <x:c r="B1" s="85" t="str">
        <x:v>Technológia</x:v>
      </x:c>
      <x:c r="C1" s="85" t="str">
        <x:v>Új alapár (Ft/m²)</x:v>
      </x:c>
      <x:c r="D1" s="85" t="str">
        <x:v>Árazási pozíció</x:v>
      </x:c>
      <x:c r="E1" s="85" t="str">
        <x:v>Webes műszaki / árpiaci indoklás</x:v>
      </x:c>
      <x:c r="F1" s="86" t="str">
        <x:v>Forrás</x:v>
      </x:c>
    </x:row>
    <x:row r="2">
      <x:c r="A2" s="87" t="str">
        <x:v>Bautica</x:v>
      </x:c>
      <x:c r="B2" s="88" t="str">
        <x:v>Danish Fabrik / faváz</x:v>
      </x:c>
      <x:c r="C2" s="93" t="n">
        <x:v>625000</x:v>
      </x:c>
      <x:c r="D2" s="88" t="str">
        <x:v>Értékorientált</x:v>
      </x:c>
      <x:c r="E2" s="88" t="str">
        <x:v>A Bautica teljes generálkivitelezést, 16 cm homlokzati szigetelést, komplett tetőt, nyílászárókat és hőszivattyús alaptartalmat kommunikál. A faváz a téglánál alacsonyabb árszinten tartható.</x:v>
      </x:c>
      <x:c r="F2" s="89" t="str">
        <x:v>https://bautica.hu/termek/anduin</x:v>
      </x:c>
    </x:row>
    <x:row r="3">
      <x:c r="A3" s="87" t="str">
        <x:v>Bautica</x:v>
      </x:c>
      <x:c r="B3" s="88" t="str">
        <x:v>Tégla</x:v>
      </x:c>
      <x:c r="C3" s="93" t="n">
        <x:v>675000</x:v>
      </x:c>
      <x:c r="D3" s="88" t="str">
        <x:v>Értékorientált</x:v>
      </x:c>
      <x:c r="E3" s="88" t="str">
        <x:v>A publikus Anduin tartalom teljes szerkezet-, gépészet- és befejező csomagot mutat, de a régi publikált fajlagos ár a 2026-os teljes körű kivitelezési kockázathoz már túl alacsony.</x:v>
      </x:c>
      <x:c r="F3" s="89" t="str">
        <x:v>https://bautica.hu/termek/anduin</x:v>
      </x:c>
    </x:row>
    <x:row r="4">
      <x:c r="A4" s="87" t="str">
        <x:v>Bautica</x:v>
      </x:c>
      <x:c r="B4" s="88" t="str">
        <x:v>Leier falpanel</x:v>
      </x:c>
      <x:c r="C4" s="93" t="n">
        <x:v>735000</x:v>
      </x:c>
      <x:c r="D4" s="88" t="str">
        <x:v>Közép-felső</x:v>
      </x:c>
      <x:c r="E4" s="88" t="str">
        <x:v>Az előregyártott betonpanelhez gyártás, daruzás, panelkapcsolatok és speciális logisztika tartozik, ezért a tégla fölött indokolt.</x:v>
      </x:c>
      <x:c r="F4" s="89" t="str">
        <x:v>https://bautica.hu/</x:v>
      </x:c>
    </x:row>
    <x:row r="5">
      <x:c r="A5" s="87" t="str">
        <x:v>Bautica</x:v>
      </x:c>
      <x:c r="B5" s="88" t="str">
        <x:v>Liapor panel</x:v>
      </x:c>
      <x:c r="C5" s="93" t="n">
        <x:v>760000</x:v>
      </x:c>
      <x:c r="D5" s="88" t="str">
        <x:v>Közép-felső</x:v>
      </x:c>
      <x:c r="E5" s="88" t="str">
        <x:v>A Liapor gyári panel, szállítás és daruzás miatt magasabb bekerülési és szervezési kockázatú a hagyományos téglánál.</x:v>
      </x:c>
      <x:c r="F5" s="89" t="str">
        <x:v>https://bautica.hu/</x:v>
      </x:c>
    </x:row>
    <x:row r="6">
      <x:c r="A6" s="87" t="str">
        <x:v>Prefab</x:v>
      </x:c>
      <x:c r="B6" s="88" t="str">
        <x:v>Danish Fabrik / készház</x:v>
      </x:c>
      <x:c r="C6" s="93" t="n">
        <x:v>630000</x:v>
      </x:c>
      <x:c r="D6" s="88" t="str">
        <x:v>Versenyképes</x:v>
      </x:c>
      <x:c r="E6" s="88" t="str">
        <x:v>A Prefab kulcsrakész szolgáltatása fix műszaki tartalmat, ár- és határidőgaranciát, valamint teljes folyamatkezelést kommunikál; a belépő 520 ezer Ft/m²-es ár csak „-tól” érték.</x:v>
      </x:c>
      <x:c r="F6" s="89" t="str">
        <x:v>https://prefab.hu/otthonteremtes-kulcsrakeszen</x:v>
      </x:c>
    </x:row>
    <x:row r="7">
      <x:c r="A7" s="87" t="str">
        <x:v>Prefab</x:v>
      </x:c>
      <x:c r="B7" s="88" t="str">
        <x:v>Tégla</x:v>
      </x:c>
      <x:c r="C7" s="93" t="n">
        <x:v>700000</x:v>
      </x:c>
      <x:c r="D7" s="88" t="str">
        <x:v>Közép</x:v>
      </x:c>
      <x:c r="E7" s="88" t="str">
        <x:v>A teljes körű generálkivitelezési és garanciális tartalom miatt a hagyományos technológia reális 2026-os alapára a belépő könnyűszerkezetes szint fölött van.</x:v>
      </x:c>
      <x:c r="F7" s="89" t="str">
        <x:v>https://prefab.hu/otthonteremtes-kulcsrakeszen</x:v>
      </x:c>
    </x:row>
    <x:row r="8">
      <x:c r="A8" s="87" t="str">
        <x:v>Prefab</x:v>
      </x:c>
      <x:c r="B8" s="88" t="str">
        <x:v>Leier falpanel</x:v>
      </x:c>
      <x:c r="C8" s="93" t="n">
        <x:v>735000</x:v>
      </x:c>
      <x:c r="D8" s="88" t="str">
        <x:v>Közép-felső</x:v>
      </x:c>
      <x:c r="E8" s="88" t="str">
        <x:v>A Prefab Leier típusházainak publikus nettó fajlagos árai jellemzően kb. 675–770 ezer Ft/m² között mozognak; az alapár a sáv közepéhez igazodik.</x:v>
      </x:c>
      <x:c r="F8" s="89" t="str">
        <x:v>https://prefab.hu/leier-rendszerhazak</x:v>
      </x:c>
    </x:row>
    <x:row r="9">
      <x:c r="A9" s="87" t="str">
        <x:v>Prefab</x:v>
      </x:c>
      <x:c r="B9" s="88" t="str">
        <x:v>Liapor panel</x:v>
      </x:c>
      <x:c r="C9" s="93" t="n">
        <x:v>760000</x:v>
      </x:c>
      <x:c r="D9" s="88" t="str">
        <x:v>Közép-felső</x:v>
      </x:c>
      <x:c r="E9" s="88" t="str">
        <x:v>A jelenlegi Liapor típusházak fajlagos árai és a gyártott panel, szállítás, daru, komplett gépészeti tartalom alapján a korábbi 707 548 Ft/m² emelése indokolt.</x:v>
      </x:c>
      <x:c r="F9" s="89" t="str">
        <x:v>https://prefab.hu/liapor-hazak</x:v>
      </x:c>
    </x:row>
    <x:row r="10">
      <x:c r="A10" s="87" t="str">
        <x:v>Danish Fabrik</x:v>
      </x:c>
      <x:c r="B10" s="88" t="str">
        <x:v>Danish Fabrik / faváz</x:v>
      </x:c>
      <x:c r="C10" s="93" t="n">
        <x:v>610000</x:v>
      </x:c>
      <x:c r="D10" s="88" t="str">
        <x:v>Árérzékeny, de tartható</x:v>
      </x:c>
      <x:c r="E10" s="88" t="str">
        <x:v>A weboldal 498 ezer Ft/m²-től kommunikál, miközben a 99–112 m²-es aktuális típusházak többnyire kb. 590–600 ezer Ft/m² körül jelennek meg. A 610 ezer Ft/m² reális kalkulátoralap.</x:v>
      </x:c>
      <x:c r="F10" s="89" t="str">
        <x:v>https://danishfabrik.hu/technologiank</x:v>
      </x:c>
    </x:row>
    <x:row r="11">
      <x:c r="A11" s="87" t="str">
        <x:v>BauFreund</x:v>
      </x:c>
      <x:c r="B11" s="88" t="str">
        <x:v>Danish Fabrik / faváz</x:v>
      </x:c>
      <x:c r="C11" s="93" t="n">
        <x:v>640000</x:v>
      </x:c>
      <x:c r="D11" s="88" t="str">
        <x:v>Közép</x:v>
      </x:c>
      <x:c r="E11" s="88" t="str">
        <x:v>A BauFreund gazdag alapfelszereltséget, 16 cm grafitos EPS-t, hőszivattyút és külső minőségellenőrzést tartalmazó csomagot ad; a faváz a téglánál kissé kedvezőbb.</x:v>
      </x:c>
      <x:c r="F11" s="89" t="str">
        <x:v>https://baufreund.hu/muszaki-tartalom</x:v>
      </x:c>
    </x:row>
    <x:row r="12">
      <x:c r="A12" s="87" t="str">
        <x:v>BauFreund</x:v>
      </x:c>
      <x:c r="B12" s="88" t="str">
        <x:v>Tégla</x:v>
      </x:c>
      <x:c r="C12" s="93" t="n">
        <x:v>690000</x:v>
      </x:c>
      <x:c r="D12" s="88" t="str">
        <x:v>Közép</x:v>
      </x:c>
      <x:c r="E12" s="88" t="str">
        <x:v>A 100 m²-es Markoth publikus ára 67,7 millió Ft, miközben az általános műszaki tartalom grafitos szigetelést, hőszivattyút és teljes kulcsrakész rendszert tartalmaz.</x:v>
      </x:c>
      <x:c r="F12" s="89" t="str">
        <x:v>https://baufreund.hu/</x:v>
      </x:c>
    </x:row>
    <x:row r="13">
      <x:c r="A13" s="87" t="str">
        <x:v>BauFreund</x:v>
      </x:c>
      <x:c r="B13" s="88" t="str">
        <x:v>Leier falpanel</x:v>
      </x:c>
      <x:c r="C13" s="93" t="n">
        <x:v>750000</x:v>
      </x:c>
      <x:c r="D13" s="88" t="str">
        <x:v>Közép-felső</x:v>
      </x:c>
      <x:c r="E13" s="88" t="str">
        <x:v>A panelgyártás, daruzás és technológiai logisztika miatt a tégla fölötti árszint indokolt, a BauFreund közép–prémium szolgáltatási pozíciójával együtt.</x:v>
      </x:c>
      <x:c r="F13" s="89" t="str">
        <x:v>https://baufreund.hu/muszaki-tartalom</x:v>
      </x:c>
    </x:row>
    <x:row r="14">
      <x:c r="A14" s="90" t="str">
        <x:v>BauFreund</x:v>
      </x:c>
      <x:c r="B14" s="91" t="str">
        <x:v>Liapor panel</x:v>
      </x:c>
      <x:c r="C14" s="94" t="n">
        <x:v>775000</x:v>
      </x:c>
      <x:c r="D14" s="91" t="str">
        <x:v>Közép-felső</x:v>
      </x:c>
      <x:c r="E14" s="91" t="str">
        <x:v>A Liapor paneles rendszer gyártási és logisztikai többlete miatt a négy vizsgált BauFreund-technológia közül ez kapta a legmagasabb alapárat.</x:v>
      </x:c>
      <x:c r="F14" s="92" t="str">
        <x:v>https://baufreund.hu/muszaki-tartalom</x:v>
      </x:c>
    </x:row>
  </x:sheetData>
  <x:pageMargins left="0.7" right="0.7" top="0.75" bottom="0.75" header="0.3" footer="0.3"/>
  <x:tableParts count="1">
    <x:tablePart xmlns:r="http://schemas.openxmlformats.org/officeDocument/2006/relationships" r:id="Rc71ede206bb9406f"/>
  </x:tableParts>
</x:worksheet>
</file>